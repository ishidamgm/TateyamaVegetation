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PC-67\Desktop\外来種調査\R7\外来植物モニタリング調査\第Ⅴ期報告書原稿\"/>
    </mc:Choice>
  </mc:AlternateContent>
  <xr:revisionPtr revIDLastSave="0" documentId="13_ncr:1_{9F17B023-CD39-49B7-9C19-F32BA977E796}" xr6:coauthVersionLast="47" xr6:coauthVersionMax="47" xr10:uidLastSave="{00000000-0000-0000-0000-000000000000}"/>
  <bookViews>
    <workbookView xWindow="-105" yWindow="60" windowWidth="19140" windowHeight="10770" tabRatio="563" firstSheet="2" activeTab="3" xr2:uid="{00000000-000D-0000-FFFF-FFFF00000000}"/>
  </bookViews>
  <sheets>
    <sheet name="R!集計" sheetId="12" r:id="rId1"/>
    <sheet name="R6のみ" sheetId="31" r:id="rId2"/>
    <sheet name="R7のみ" sheetId="34" r:id="rId3"/>
    <sheet name="表全体" sheetId="24" r:id="rId4"/>
    <sheet name="7-4-1" sheetId="46" r:id="rId5"/>
    <sheet name="地区別全体" sheetId="44" r:id="rId6"/>
    <sheet name="7-4-2" sheetId="45" r:id="rId7"/>
    <sheet name="7-4-3" sheetId="35" r:id="rId8"/>
    <sheet name="7-4-4" sheetId="36" r:id="rId9"/>
    <sheet name="7-4-5" sheetId="37" r:id="rId10"/>
    <sheet name="7-4-6" sheetId="38" r:id="rId11"/>
    <sheet name="7-4-7" sheetId="39" r:id="rId12"/>
    <sheet name="7-4-8" sheetId="40" r:id="rId13"/>
    <sheet name="7-4-9" sheetId="41" r:id="rId14"/>
    <sheet name="7-4-10" sheetId="42" r:id="rId15"/>
    <sheet name="7-4-11" sheetId="43" r:id="rId16"/>
    <sheet name="●グラフ作り" sheetId="47" r:id="rId17"/>
  </sheets>
  <definedNames>
    <definedName name="_xlnm._FilterDatabase" localSheetId="1" hidden="1">'R6のみ'!$A$5:$Z$43</definedName>
    <definedName name="_xlnm._FilterDatabase" localSheetId="2" hidden="1">'R7のみ'!$A$5:$V$40</definedName>
    <definedName name="_xlnm.Print_Area" localSheetId="0">'R!集計'!$A$1:$DO$73</definedName>
    <definedName name="_xlnm.Print_Area" localSheetId="1">'R6のみ'!$A$1:$AA$79</definedName>
    <definedName name="_xlnm.Print_Area" localSheetId="2">'R7のみ'!$A$1:$W$65</definedName>
    <definedName name="_xlnm.Print_Area" localSheetId="3">表全体!$A$1:$MT$83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6" i="24" l="1"/>
  <c r="BA435" i="46"/>
  <c r="AZ435" i="46"/>
  <c r="AY435" i="46"/>
  <c r="AX435" i="46"/>
  <c r="AW435" i="46"/>
  <c r="AV435" i="46"/>
  <c r="AU435" i="46"/>
  <c r="AT435" i="46"/>
  <c r="AS435" i="46"/>
  <c r="AR435" i="46"/>
  <c r="AQ435" i="46"/>
  <c r="AP435" i="46"/>
  <c r="AO435" i="46"/>
  <c r="AN435" i="46"/>
  <c r="AM435" i="46"/>
  <c r="AL435" i="46"/>
  <c r="AK435" i="46"/>
  <c r="AJ435" i="46"/>
  <c r="AI435" i="46"/>
  <c r="AH435" i="46"/>
  <c r="AG435" i="46"/>
  <c r="AF435" i="46"/>
  <c r="AE435" i="46"/>
  <c r="AD435" i="46"/>
  <c r="AC435" i="46"/>
  <c r="AB435" i="46"/>
  <c r="AA435" i="46"/>
  <c r="Z435" i="46"/>
  <c r="Y435" i="46"/>
  <c r="X435" i="46"/>
  <c r="W435" i="46"/>
  <c r="V435" i="46"/>
  <c r="U435" i="46"/>
  <c r="T435" i="46"/>
  <c r="S435" i="46"/>
  <c r="R435" i="46"/>
  <c r="Q435" i="46"/>
  <c r="P435" i="46"/>
  <c r="O435" i="46"/>
  <c r="N435" i="46"/>
  <c r="M435" i="46"/>
  <c r="L435" i="46"/>
  <c r="K435" i="46"/>
  <c r="J435" i="46"/>
  <c r="I435" i="46"/>
  <c r="H435" i="46"/>
  <c r="G435" i="46"/>
  <c r="F435" i="46"/>
  <c r="E435" i="46"/>
  <c r="D435" i="46"/>
  <c r="C435" i="46"/>
  <c r="B435" i="46"/>
  <c r="AY349" i="46"/>
  <c r="AX349" i="46"/>
  <c r="AW349" i="46"/>
  <c r="AV349" i="46"/>
  <c r="AU349" i="46"/>
  <c r="AT349" i="46"/>
  <c r="AS349" i="46"/>
  <c r="AR349" i="46"/>
  <c r="AQ349" i="46"/>
  <c r="AP349" i="46"/>
  <c r="AO349" i="46"/>
  <c r="AN349" i="46"/>
  <c r="AM349" i="46"/>
  <c r="AJ349" i="46"/>
  <c r="AI349" i="46"/>
  <c r="AH349" i="46"/>
  <c r="AG349" i="46"/>
  <c r="AF349" i="46"/>
  <c r="AE349" i="46"/>
  <c r="AD349" i="46"/>
  <c r="AC349" i="46"/>
  <c r="AB349" i="46"/>
  <c r="AA349" i="46"/>
  <c r="Z349" i="46"/>
  <c r="Y349" i="46"/>
  <c r="X349" i="46"/>
  <c r="W349" i="46"/>
  <c r="V349" i="46"/>
  <c r="U349" i="46"/>
  <c r="T349" i="46"/>
  <c r="S349" i="46"/>
  <c r="R349" i="46"/>
  <c r="Q349" i="46"/>
  <c r="P349" i="46"/>
  <c r="O349" i="46"/>
  <c r="N349" i="46"/>
  <c r="M349" i="46"/>
  <c r="L349" i="46"/>
  <c r="J349" i="46"/>
  <c r="I349" i="46"/>
  <c r="H349" i="46"/>
  <c r="G349" i="46"/>
  <c r="F349" i="46"/>
  <c r="E349" i="46"/>
  <c r="D349" i="46"/>
  <c r="C349" i="46"/>
  <c r="B349" i="46"/>
  <c r="BE262" i="46"/>
  <c r="BD262" i="46"/>
  <c r="BC262" i="46"/>
  <c r="BB262" i="46"/>
  <c r="BA262" i="46"/>
  <c r="AZ262" i="46"/>
  <c r="AY262" i="46"/>
  <c r="AX262" i="46"/>
  <c r="AW262" i="46"/>
  <c r="AV262" i="46"/>
  <c r="AU262" i="46"/>
  <c r="AT262" i="46"/>
  <c r="AS262" i="46"/>
  <c r="AR262" i="46"/>
  <c r="AP262" i="46"/>
  <c r="AO262" i="46"/>
  <c r="AN262" i="46"/>
  <c r="AM262" i="46"/>
  <c r="AL262" i="46"/>
  <c r="AK262" i="46"/>
  <c r="AJ262" i="46"/>
  <c r="AI262" i="46"/>
  <c r="AH262" i="46"/>
  <c r="AG262" i="46"/>
  <c r="AF262" i="46"/>
  <c r="AE262" i="46"/>
  <c r="AD262" i="46"/>
  <c r="AC262" i="46"/>
  <c r="AB262" i="46"/>
  <c r="AA262" i="46"/>
  <c r="Z262" i="46"/>
  <c r="Y262" i="46"/>
  <c r="X262" i="46"/>
  <c r="W262" i="46"/>
  <c r="V262" i="46"/>
  <c r="U262" i="46"/>
  <c r="T262" i="46"/>
  <c r="S262" i="46"/>
  <c r="R262" i="46"/>
  <c r="Q262" i="46"/>
  <c r="P262" i="46"/>
  <c r="O262" i="46"/>
  <c r="N262" i="46"/>
  <c r="M262" i="46"/>
  <c r="L262" i="46"/>
  <c r="K262" i="46"/>
  <c r="J262" i="46"/>
  <c r="I262" i="46"/>
  <c r="H262" i="46"/>
  <c r="G262" i="46"/>
  <c r="F262" i="46"/>
  <c r="E262" i="46"/>
  <c r="D262" i="46"/>
  <c r="C262" i="46"/>
  <c r="B262" i="46"/>
  <c r="BM177" i="46"/>
  <c r="BL177" i="46"/>
  <c r="BK177" i="46"/>
  <c r="BJ177" i="46"/>
  <c r="BI177" i="46"/>
  <c r="BH177" i="46"/>
  <c r="BG177" i="46"/>
  <c r="BF177" i="46"/>
  <c r="BE177" i="46"/>
  <c r="BD177" i="46"/>
  <c r="BC177" i="46"/>
  <c r="BB177" i="46"/>
  <c r="BA177" i="46"/>
  <c r="AZ177" i="46"/>
  <c r="AY177" i="46"/>
  <c r="AX177" i="46"/>
  <c r="AW177" i="46"/>
  <c r="AV177" i="46"/>
  <c r="AU177" i="46"/>
  <c r="AT177" i="46"/>
  <c r="AS177" i="46"/>
  <c r="AR177" i="46"/>
  <c r="AQ177" i="46"/>
  <c r="AP177" i="46"/>
  <c r="AO177" i="46"/>
  <c r="AN177" i="46"/>
  <c r="AM177" i="46"/>
  <c r="AL177" i="46"/>
  <c r="AK177" i="46"/>
  <c r="AJ177" i="46"/>
  <c r="AI177" i="46"/>
  <c r="AH177" i="46"/>
  <c r="AG177" i="46"/>
  <c r="AF177" i="46"/>
  <c r="AE177" i="46"/>
  <c r="AD177" i="46"/>
  <c r="AC177" i="46"/>
  <c r="AB177" i="46"/>
  <c r="AA177" i="46"/>
  <c r="Z177" i="46"/>
  <c r="Y177" i="46"/>
  <c r="X177" i="46"/>
  <c r="W177" i="46"/>
  <c r="V177" i="46"/>
  <c r="U177" i="46"/>
  <c r="T177" i="46"/>
  <c r="S177" i="46"/>
  <c r="R177" i="46"/>
  <c r="Q177" i="46"/>
  <c r="P177" i="46"/>
  <c r="O177" i="46"/>
  <c r="N177" i="46"/>
  <c r="M177" i="46"/>
  <c r="L177" i="46"/>
  <c r="K177" i="46"/>
  <c r="J177" i="46"/>
  <c r="I177" i="46"/>
  <c r="H177" i="46"/>
  <c r="G177" i="46"/>
  <c r="F177" i="46"/>
  <c r="E177" i="46"/>
  <c r="D177" i="46"/>
  <c r="C177" i="46"/>
  <c r="B177" i="46"/>
  <c r="BL91" i="46"/>
  <c r="BK91" i="46"/>
  <c r="BJ91" i="46"/>
  <c r="BI91" i="46"/>
  <c r="BH91" i="46"/>
  <c r="BG91" i="46"/>
  <c r="BF91" i="46"/>
  <c r="BE91" i="46"/>
  <c r="BD91" i="46"/>
  <c r="BC91" i="46"/>
  <c r="BB91" i="46"/>
  <c r="BA91" i="46"/>
  <c r="AZ91" i="46"/>
  <c r="AY91" i="46"/>
  <c r="AX91" i="46"/>
  <c r="AW91" i="46"/>
  <c r="AV91" i="46"/>
  <c r="AU91" i="46"/>
  <c r="AT91" i="46"/>
  <c r="AS91" i="46"/>
  <c r="AR91" i="46"/>
  <c r="AQ91" i="46"/>
  <c r="AP91" i="46"/>
  <c r="AO91" i="46"/>
  <c r="AN91" i="46"/>
  <c r="AM91" i="46"/>
  <c r="AL91" i="46"/>
  <c r="AK91" i="46"/>
  <c r="AJ91" i="46"/>
  <c r="AI91" i="46"/>
  <c r="AH91" i="46"/>
  <c r="AG91" i="46"/>
  <c r="AF91" i="46"/>
  <c r="AE91" i="46"/>
  <c r="AD91" i="46"/>
  <c r="AC91" i="46"/>
  <c r="AB91" i="46"/>
  <c r="AA91" i="46"/>
  <c r="Z91" i="46"/>
  <c r="Y91" i="46"/>
  <c r="X91" i="46"/>
  <c r="W91" i="46"/>
  <c r="V91" i="46"/>
  <c r="U91" i="46"/>
  <c r="T91" i="46"/>
  <c r="S91" i="46"/>
  <c r="R91" i="46"/>
  <c r="Q91" i="46"/>
  <c r="P91" i="46"/>
  <c r="O91" i="46"/>
  <c r="N91" i="46"/>
  <c r="M91" i="46"/>
  <c r="L91" i="46"/>
  <c r="K91" i="46"/>
  <c r="J91" i="46"/>
  <c r="I91" i="46"/>
  <c r="H91" i="46"/>
  <c r="G91" i="46"/>
  <c r="F91" i="46"/>
  <c r="E91" i="46"/>
  <c r="D91" i="46"/>
  <c r="C91" i="46"/>
  <c r="B91" i="46"/>
  <c r="BS5" i="46"/>
  <c r="BR5" i="46"/>
  <c r="BQ5" i="46"/>
  <c r="BP5" i="46"/>
  <c r="BO5" i="46"/>
  <c r="BN5" i="46"/>
  <c r="BM5" i="46"/>
  <c r="BL5" i="46"/>
  <c r="BK5" i="46"/>
  <c r="BJ5" i="46"/>
  <c r="BI5" i="46"/>
  <c r="BH5" i="46"/>
  <c r="BG5" i="46"/>
  <c r="BF5" i="46"/>
  <c r="BE5" i="46"/>
  <c r="BD5" i="46"/>
  <c r="BC5" i="46"/>
  <c r="BB5" i="46"/>
  <c r="BA5" i="46"/>
  <c r="AZ5" i="46"/>
  <c r="AY5" i="46"/>
  <c r="AX5" i="46"/>
  <c r="AW5" i="46"/>
  <c r="AV5" i="46"/>
  <c r="AU5" i="46"/>
  <c r="AT5" i="46"/>
  <c r="AS5" i="46"/>
  <c r="AR5" i="46"/>
  <c r="AQ5" i="46"/>
  <c r="AP5" i="46"/>
  <c r="AO5" i="46"/>
  <c r="AN5" i="46"/>
  <c r="AM5" i="46"/>
  <c r="AL5" i="46"/>
  <c r="AK5" i="46"/>
  <c r="AJ5" i="46"/>
  <c r="AI5" i="46"/>
  <c r="AH5" i="46"/>
  <c r="AG5" i="46"/>
  <c r="AF5" i="46"/>
  <c r="AE5" i="46"/>
  <c r="AD5" i="46"/>
  <c r="AC5" i="46"/>
  <c r="AB5" i="46"/>
  <c r="AA5" i="46"/>
  <c r="Z5" i="46"/>
  <c r="Y5" i="46"/>
  <c r="X5" i="46"/>
  <c r="W5" i="46"/>
  <c r="V5" i="46"/>
  <c r="U5" i="46"/>
  <c r="T5" i="46"/>
  <c r="S5" i="46"/>
  <c r="R5" i="46"/>
  <c r="Q5" i="46"/>
  <c r="P5" i="46"/>
  <c r="O5" i="46"/>
  <c r="N5" i="46"/>
  <c r="M5" i="46"/>
  <c r="L5" i="46"/>
  <c r="K5" i="46"/>
  <c r="J5" i="46"/>
  <c r="I5" i="46"/>
  <c r="H5" i="46"/>
  <c r="G5" i="46"/>
  <c r="F5" i="46"/>
  <c r="E5" i="46"/>
  <c r="D5" i="46"/>
  <c r="C5" i="46"/>
  <c r="B5" i="46"/>
  <c r="HT5" i="24"/>
  <c r="J86" i="45"/>
  <c r="I86" i="45"/>
  <c r="H86" i="45"/>
  <c r="G86" i="45"/>
  <c r="F86" i="45"/>
  <c r="E86" i="45"/>
  <c r="D86" i="45"/>
  <c r="C86" i="45"/>
  <c r="B86" i="45"/>
  <c r="J85" i="45"/>
  <c r="I85" i="45"/>
  <c r="H85" i="45"/>
  <c r="G85" i="45"/>
  <c r="F85" i="45"/>
  <c r="E85" i="45"/>
  <c r="D85" i="45"/>
  <c r="C85" i="45"/>
  <c r="B85" i="45"/>
  <c r="K83" i="45"/>
  <c r="K16" i="45"/>
  <c r="K15" i="45"/>
  <c r="K81" i="45"/>
  <c r="K63" i="45"/>
  <c r="K82" i="45"/>
  <c r="K79" i="45"/>
  <c r="K24" i="45"/>
  <c r="K56" i="45"/>
  <c r="K39" i="45"/>
  <c r="K33" i="45"/>
  <c r="K19" i="45"/>
  <c r="K58" i="45"/>
  <c r="K70" i="45"/>
  <c r="K27" i="45"/>
  <c r="K34" i="45"/>
  <c r="K43" i="45"/>
  <c r="K49" i="45"/>
  <c r="K38" i="45"/>
  <c r="K68" i="45"/>
  <c r="K77" i="45"/>
  <c r="K28" i="45"/>
  <c r="K29" i="45"/>
  <c r="K52" i="45"/>
  <c r="K76" i="45"/>
  <c r="K61" i="45"/>
  <c r="K55" i="45"/>
  <c r="K22" i="45"/>
  <c r="K46" i="45"/>
  <c r="K75" i="45"/>
  <c r="K31" i="45"/>
  <c r="K40" i="45"/>
  <c r="K57" i="45"/>
  <c r="K60" i="45"/>
  <c r="K37" i="45"/>
  <c r="K50" i="45"/>
  <c r="K69" i="45"/>
  <c r="K14" i="45"/>
  <c r="K45" i="45"/>
  <c r="K36" i="45"/>
  <c r="K59" i="45"/>
  <c r="K13" i="45"/>
  <c r="K35" i="45"/>
  <c r="K12" i="45"/>
  <c r="K64" i="45"/>
  <c r="K42" i="45"/>
  <c r="K18" i="45"/>
  <c r="K54" i="45"/>
  <c r="K11" i="45"/>
  <c r="K53" i="45"/>
  <c r="K74" i="45"/>
  <c r="K67" i="45"/>
  <c r="K73" i="45"/>
  <c r="K66" i="45"/>
  <c r="K72" i="45"/>
  <c r="K80" i="45"/>
  <c r="K10" i="45"/>
  <c r="K20" i="45"/>
  <c r="K65" i="45"/>
  <c r="K78" i="45"/>
  <c r="K32" i="45"/>
  <c r="K21" i="45"/>
  <c r="K9" i="45"/>
  <c r="K30" i="45"/>
  <c r="K71" i="45"/>
  <c r="K8" i="45"/>
  <c r="K23" i="45"/>
  <c r="K7" i="45"/>
  <c r="K62" i="45"/>
  <c r="K6" i="45"/>
  <c r="K51" i="45"/>
  <c r="K41" i="45"/>
  <c r="K44" i="45"/>
  <c r="K17" i="45"/>
  <c r="K5" i="45"/>
  <c r="K26" i="45"/>
  <c r="K25" i="45"/>
  <c r="K48" i="45"/>
  <c r="K47" i="45"/>
  <c r="BO84" i="43"/>
  <c r="BO83" i="43"/>
  <c r="BO82" i="43"/>
  <c r="BO81" i="43"/>
  <c r="BO80" i="43"/>
  <c r="BO79" i="43"/>
  <c r="BO78" i="43"/>
  <c r="BO77" i="43"/>
  <c r="BO76" i="43"/>
  <c r="BO75" i="43"/>
  <c r="BO74" i="43"/>
  <c r="BO73" i="43"/>
  <c r="BO72" i="43"/>
  <c r="BO71" i="43"/>
  <c r="BO70" i="43"/>
  <c r="BO69" i="43"/>
  <c r="BO68" i="43"/>
  <c r="BO67" i="43"/>
  <c r="BO66" i="43"/>
  <c r="BO65" i="43"/>
  <c r="BO64" i="43"/>
  <c r="BO63" i="43"/>
  <c r="BO62" i="43"/>
  <c r="BO61" i="43"/>
  <c r="BO60" i="43"/>
  <c r="BO59" i="43"/>
  <c r="BO58" i="43"/>
  <c r="BO57" i="43"/>
  <c r="BO56" i="43"/>
  <c r="BO55" i="43"/>
  <c r="BO54" i="43"/>
  <c r="BO53" i="43"/>
  <c r="BO52" i="43"/>
  <c r="BO51" i="43"/>
  <c r="BO50" i="43"/>
  <c r="BO49" i="43"/>
  <c r="BO48" i="43"/>
  <c r="BO47" i="43"/>
  <c r="BO46" i="43"/>
  <c r="BO45" i="43"/>
  <c r="BO44" i="43"/>
  <c r="BO43" i="43"/>
  <c r="BO42" i="43"/>
  <c r="BO41" i="43"/>
  <c r="BO40" i="43"/>
  <c r="BO39" i="43"/>
  <c r="BO38" i="43"/>
  <c r="BO37" i="43"/>
  <c r="BO36" i="43"/>
  <c r="BO35" i="43"/>
  <c r="BO34" i="43"/>
  <c r="BO33" i="43"/>
  <c r="BO32" i="43"/>
  <c r="BO31" i="43"/>
  <c r="BO30" i="43"/>
  <c r="BO29" i="43"/>
  <c r="BO28" i="43"/>
  <c r="BO27" i="43"/>
  <c r="BO26" i="43"/>
  <c r="BO25" i="43"/>
  <c r="BO24" i="43"/>
  <c r="BO23" i="43"/>
  <c r="BO22" i="43"/>
  <c r="BO21" i="43"/>
  <c r="BO20" i="43"/>
  <c r="BO19" i="43"/>
  <c r="BO18" i="43"/>
  <c r="BO17" i="43"/>
  <c r="BO16" i="43"/>
  <c r="BO15" i="43"/>
  <c r="BO14" i="43"/>
  <c r="BO13" i="43"/>
  <c r="BO12" i="43"/>
  <c r="BO11" i="43"/>
  <c r="BO10" i="43"/>
  <c r="BO9" i="43"/>
  <c r="BO8" i="43"/>
  <c r="BO7" i="43"/>
  <c r="BO6" i="43"/>
  <c r="AX84" i="42"/>
  <c r="AX83" i="42"/>
  <c r="AX82" i="42"/>
  <c r="AX81" i="42"/>
  <c r="AX80" i="42"/>
  <c r="AX79" i="42"/>
  <c r="AX78" i="42"/>
  <c r="AX77" i="42"/>
  <c r="AX76" i="42"/>
  <c r="AX75" i="42"/>
  <c r="AX74" i="42"/>
  <c r="AX73" i="42"/>
  <c r="AX72" i="42"/>
  <c r="AX71" i="42"/>
  <c r="AX70" i="42"/>
  <c r="AX69" i="42"/>
  <c r="AX68" i="42"/>
  <c r="AX67" i="42"/>
  <c r="AX66" i="42"/>
  <c r="AX65" i="42"/>
  <c r="AX64" i="42"/>
  <c r="AX63" i="42"/>
  <c r="AX62" i="42"/>
  <c r="AX61" i="42"/>
  <c r="AX60" i="42"/>
  <c r="AX59" i="42"/>
  <c r="AX58" i="42"/>
  <c r="AX57" i="42"/>
  <c r="AX56" i="42"/>
  <c r="AX55" i="42"/>
  <c r="AX54" i="42"/>
  <c r="AX53" i="42"/>
  <c r="AX52" i="42"/>
  <c r="AX51" i="42"/>
  <c r="AX50" i="42"/>
  <c r="AX49" i="42"/>
  <c r="AX48" i="42"/>
  <c r="AX47" i="42"/>
  <c r="AX46" i="42"/>
  <c r="AX45" i="42"/>
  <c r="AX44" i="42"/>
  <c r="AX43" i="42"/>
  <c r="AX42" i="42"/>
  <c r="AX41" i="42"/>
  <c r="AX40" i="42"/>
  <c r="AX39" i="42"/>
  <c r="AX38" i="42"/>
  <c r="AX37" i="42"/>
  <c r="AX36" i="42"/>
  <c r="AX35" i="42"/>
  <c r="AX34" i="42"/>
  <c r="AX33" i="42"/>
  <c r="AX32" i="42"/>
  <c r="AX31" i="42"/>
  <c r="AX30" i="42"/>
  <c r="AX29" i="42"/>
  <c r="AX28" i="42"/>
  <c r="AX27" i="42"/>
  <c r="AX26" i="42"/>
  <c r="AX25" i="42"/>
  <c r="AX24" i="42"/>
  <c r="AX23" i="42"/>
  <c r="AX22" i="42"/>
  <c r="AX21" i="42"/>
  <c r="AX20" i="42"/>
  <c r="AX19" i="42"/>
  <c r="AX18" i="42"/>
  <c r="AX17" i="42"/>
  <c r="AX16" i="42"/>
  <c r="AX15" i="42"/>
  <c r="AX14" i="42"/>
  <c r="AX13" i="42"/>
  <c r="AX12" i="42"/>
  <c r="AX11" i="42"/>
  <c r="AX10" i="42"/>
  <c r="AX9" i="42"/>
  <c r="AX8" i="42"/>
  <c r="AX7" i="42"/>
  <c r="AX6" i="42"/>
  <c r="BD84" i="41"/>
  <c r="BD83" i="41"/>
  <c r="BD82" i="41"/>
  <c r="BD81" i="41"/>
  <c r="BD80" i="41"/>
  <c r="BD79" i="41"/>
  <c r="BD78" i="41"/>
  <c r="BD77" i="41"/>
  <c r="BD76" i="41"/>
  <c r="BD75" i="41"/>
  <c r="BD74" i="41"/>
  <c r="BD73" i="41"/>
  <c r="BD72" i="41"/>
  <c r="BD71" i="41"/>
  <c r="BD70" i="41"/>
  <c r="BD69" i="41"/>
  <c r="BD68" i="41"/>
  <c r="BD67" i="41"/>
  <c r="BD66" i="41"/>
  <c r="BD65" i="41"/>
  <c r="BD64" i="41"/>
  <c r="BD63" i="41"/>
  <c r="BD62" i="41"/>
  <c r="BD61" i="41"/>
  <c r="BD60" i="41"/>
  <c r="BD59" i="41"/>
  <c r="BD58" i="41"/>
  <c r="BD57" i="41"/>
  <c r="BD56" i="41"/>
  <c r="BD55" i="41"/>
  <c r="BD54" i="41"/>
  <c r="BD53" i="41"/>
  <c r="BD52" i="41"/>
  <c r="BD51" i="41"/>
  <c r="BD50" i="41"/>
  <c r="BD49" i="41"/>
  <c r="BD48" i="41"/>
  <c r="BD47" i="41"/>
  <c r="BD46" i="41"/>
  <c r="BD45" i="41"/>
  <c r="BD44" i="41"/>
  <c r="BD43" i="41"/>
  <c r="BD42" i="41"/>
  <c r="BD41" i="41"/>
  <c r="BD40" i="41"/>
  <c r="BD39" i="41"/>
  <c r="BD38" i="41"/>
  <c r="BD37" i="41"/>
  <c r="BD36" i="41"/>
  <c r="BD35" i="41"/>
  <c r="BD34" i="41"/>
  <c r="BD33" i="41"/>
  <c r="BD32" i="41"/>
  <c r="BD31" i="41"/>
  <c r="BD30" i="41"/>
  <c r="BD29" i="41"/>
  <c r="BD28" i="41"/>
  <c r="BD27" i="41"/>
  <c r="BD26" i="41"/>
  <c r="BD25" i="41"/>
  <c r="BD24" i="41"/>
  <c r="BD23" i="41"/>
  <c r="BD22" i="41"/>
  <c r="BD21" i="41"/>
  <c r="BD20" i="41"/>
  <c r="BD19" i="41"/>
  <c r="BD18" i="41"/>
  <c r="BD17" i="41"/>
  <c r="BD16" i="41"/>
  <c r="BD15" i="41"/>
  <c r="BD14" i="41"/>
  <c r="BD13" i="41"/>
  <c r="BD12" i="41"/>
  <c r="BD11" i="41"/>
  <c r="BD10" i="41"/>
  <c r="BD9" i="41"/>
  <c r="BD8" i="41"/>
  <c r="BD7" i="41"/>
  <c r="BD6" i="41"/>
  <c r="AD84" i="40"/>
  <c r="AD83" i="40"/>
  <c r="AD82" i="40"/>
  <c r="AD81" i="40"/>
  <c r="AD80" i="40"/>
  <c r="AD79" i="40"/>
  <c r="AD78" i="40"/>
  <c r="AD77" i="40"/>
  <c r="AD76" i="40"/>
  <c r="AD75" i="40"/>
  <c r="AD74" i="40"/>
  <c r="AD73" i="40"/>
  <c r="AD72" i="40"/>
  <c r="AD71" i="40"/>
  <c r="AD70" i="40"/>
  <c r="AD69" i="40"/>
  <c r="AD68" i="40"/>
  <c r="AD67" i="40"/>
  <c r="AD66" i="40"/>
  <c r="AD65" i="40"/>
  <c r="AD64" i="40"/>
  <c r="AD63" i="40"/>
  <c r="AD62" i="40"/>
  <c r="AD61" i="40"/>
  <c r="AD60" i="40"/>
  <c r="AD59" i="40"/>
  <c r="AD58" i="40"/>
  <c r="AD57" i="40"/>
  <c r="AD56" i="40"/>
  <c r="AD55" i="40"/>
  <c r="AD54" i="40"/>
  <c r="AD53" i="40"/>
  <c r="AD52" i="40"/>
  <c r="AD51" i="40"/>
  <c r="AD50" i="40"/>
  <c r="AD49" i="40"/>
  <c r="AD48" i="40"/>
  <c r="AD47" i="40"/>
  <c r="AD46" i="40"/>
  <c r="AD45" i="40"/>
  <c r="AD44" i="40"/>
  <c r="AD43" i="40"/>
  <c r="AD42" i="40"/>
  <c r="AD41" i="40"/>
  <c r="AD40" i="40"/>
  <c r="AD39" i="40"/>
  <c r="AD38" i="40"/>
  <c r="AD37" i="40"/>
  <c r="AD36" i="40"/>
  <c r="AD35" i="40"/>
  <c r="AD34" i="40"/>
  <c r="AD33" i="40"/>
  <c r="AD32" i="40"/>
  <c r="AD31" i="40"/>
  <c r="AD30" i="40"/>
  <c r="AD29" i="40"/>
  <c r="AD28" i="40"/>
  <c r="AD27" i="40"/>
  <c r="AD26" i="40"/>
  <c r="AD25" i="40"/>
  <c r="AD24" i="40"/>
  <c r="AD23" i="40"/>
  <c r="AD22" i="40"/>
  <c r="AD21" i="40"/>
  <c r="AD20" i="40"/>
  <c r="AD19" i="40"/>
  <c r="AD18" i="40"/>
  <c r="AD17" i="40"/>
  <c r="AD16" i="40"/>
  <c r="AD15" i="40"/>
  <c r="AD14" i="40"/>
  <c r="AD13" i="40"/>
  <c r="AD12" i="40"/>
  <c r="AD11" i="40"/>
  <c r="AD10" i="40"/>
  <c r="AD9" i="40"/>
  <c r="AD8" i="40"/>
  <c r="AD7" i="40"/>
  <c r="AD6" i="40"/>
  <c r="AX84" i="39"/>
  <c r="AX83" i="39"/>
  <c r="AX82" i="39"/>
  <c r="AX81" i="39"/>
  <c r="AX80" i="39"/>
  <c r="AX79" i="39"/>
  <c r="AX78" i="39"/>
  <c r="AX77" i="39"/>
  <c r="AX76" i="39"/>
  <c r="AX75" i="39"/>
  <c r="AX74" i="39"/>
  <c r="AX73" i="39"/>
  <c r="AX72" i="39"/>
  <c r="AX71" i="39"/>
  <c r="AX70" i="39"/>
  <c r="AX69" i="39"/>
  <c r="AX68" i="39"/>
  <c r="AX67" i="39"/>
  <c r="AX66" i="39"/>
  <c r="AX65" i="39"/>
  <c r="AX64" i="39"/>
  <c r="AX63" i="39"/>
  <c r="AX62" i="39"/>
  <c r="AX61" i="39"/>
  <c r="AX60" i="39"/>
  <c r="AX59" i="39"/>
  <c r="AX58" i="39"/>
  <c r="AX57" i="39"/>
  <c r="AX56" i="39"/>
  <c r="AX55" i="39"/>
  <c r="AX54" i="39"/>
  <c r="AX53" i="39"/>
  <c r="AX52" i="39"/>
  <c r="AX51" i="39"/>
  <c r="AX50" i="39"/>
  <c r="AX49" i="39"/>
  <c r="AX48" i="39"/>
  <c r="AX47" i="39"/>
  <c r="AX46" i="39"/>
  <c r="AX45" i="39"/>
  <c r="AX44" i="39"/>
  <c r="AX43" i="39"/>
  <c r="AX42" i="39"/>
  <c r="AX41" i="39"/>
  <c r="AX40" i="39"/>
  <c r="AX39" i="39"/>
  <c r="AX38" i="39"/>
  <c r="AX37" i="39"/>
  <c r="AX36" i="39"/>
  <c r="AX35" i="39"/>
  <c r="AX34" i="39"/>
  <c r="AX33" i="39"/>
  <c r="AX32" i="39"/>
  <c r="AX31" i="39"/>
  <c r="AX30" i="39"/>
  <c r="AX29" i="39"/>
  <c r="AX28" i="39"/>
  <c r="AX27" i="39"/>
  <c r="AX26" i="39"/>
  <c r="AX25" i="39"/>
  <c r="AX24" i="39"/>
  <c r="AX23" i="39"/>
  <c r="AX22" i="39"/>
  <c r="AX21" i="39"/>
  <c r="AX20" i="39"/>
  <c r="AX19" i="39"/>
  <c r="AX18" i="39"/>
  <c r="AX17" i="39"/>
  <c r="AX16" i="39"/>
  <c r="AX15" i="39"/>
  <c r="AX14" i="39"/>
  <c r="AX13" i="39"/>
  <c r="AX12" i="39"/>
  <c r="AX11" i="39"/>
  <c r="AX10" i="39"/>
  <c r="AX9" i="39"/>
  <c r="AX8" i="39"/>
  <c r="AX7" i="39"/>
  <c r="AX6" i="39"/>
  <c r="T84" i="38"/>
  <c r="T83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T68" i="38"/>
  <c r="T67" i="38"/>
  <c r="T66" i="38"/>
  <c r="T65" i="38"/>
  <c r="T64" i="38"/>
  <c r="T63" i="38"/>
  <c r="T62" i="38"/>
  <c r="T61" i="38"/>
  <c r="T60" i="38"/>
  <c r="T59" i="38"/>
  <c r="T58" i="38"/>
  <c r="T57" i="38"/>
  <c r="T56" i="38"/>
  <c r="T55" i="38"/>
  <c r="T54" i="38"/>
  <c r="T53" i="38"/>
  <c r="T52" i="38"/>
  <c r="T51" i="38"/>
  <c r="T50" i="38"/>
  <c r="T49" i="38"/>
  <c r="T48" i="38"/>
  <c r="T47" i="38"/>
  <c r="T46" i="38"/>
  <c r="T45" i="38"/>
  <c r="T44" i="38"/>
  <c r="T43" i="38"/>
  <c r="T42" i="38"/>
  <c r="T41" i="38"/>
  <c r="T40" i="38"/>
  <c r="T39" i="38"/>
  <c r="T38" i="38"/>
  <c r="T37" i="38"/>
  <c r="T36" i="38"/>
  <c r="T35" i="38"/>
  <c r="T34" i="38"/>
  <c r="T33" i="38"/>
  <c r="T32" i="38"/>
  <c r="T31" i="38"/>
  <c r="T30" i="38"/>
  <c r="T29" i="38"/>
  <c r="T28" i="38"/>
  <c r="T27" i="38"/>
  <c r="T26" i="38"/>
  <c r="T25" i="38"/>
  <c r="T24" i="38"/>
  <c r="T23" i="38"/>
  <c r="T22" i="38"/>
  <c r="T21" i="38"/>
  <c r="T20" i="38"/>
  <c r="T19" i="38"/>
  <c r="T18" i="38"/>
  <c r="T17" i="38"/>
  <c r="T16" i="38"/>
  <c r="T15" i="38"/>
  <c r="T14" i="38"/>
  <c r="T13" i="38"/>
  <c r="T12" i="38"/>
  <c r="T11" i="38"/>
  <c r="T10" i="38"/>
  <c r="T9" i="38"/>
  <c r="T8" i="38"/>
  <c r="T7" i="38"/>
  <c r="T6" i="38"/>
  <c r="AD84" i="37"/>
  <c r="AD83" i="37"/>
  <c r="AD82" i="37"/>
  <c r="AD81" i="37"/>
  <c r="AD80" i="37"/>
  <c r="AD79" i="37"/>
  <c r="AD78" i="37"/>
  <c r="AD77" i="37"/>
  <c r="AD76" i="37"/>
  <c r="AD75" i="37"/>
  <c r="AD74" i="37"/>
  <c r="AD73" i="37"/>
  <c r="AD72" i="37"/>
  <c r="AD71" i="37"/>
  <c r="AD70" i="37"/>
  <c r="AD69" i="37"/>
  <c r="AD68" i="37"/>
  <c r="AD67" i="37"/>
  <c r="AD66" i="37"/>
  <c r="AD65" i="37"/>
  <c r="AD64" i="37"/>
  <c r="AD63" i="37"/>
  <c r="AD62" i="37"/>
  <c r="AD61" i="37"/>
  <c r="AD60" i="37"/>
  <c r="AD59" i="37"/>
  <c r="AD58" i="37"/>
  <c r="AD57" i="37"/>
  <c r="AD56" i="37"/>
  <c r="AD55" i="37"/>
  <c r="AD54" i="37"/>
  <c r="AD53" i="37"/>
  <c r="AD52" i="37"/>
  <c r="AD51" i="37"/>
  <c r="AD50" i="37"/>
  <c r="AD49" i="37"/>
  <c r="AD48" i="37"/>
  <c r="AD47" i="37"/>
  <c r="AD46" i="37"/>
  <c r="AD45" i="37"/>
  <c r="AD44" i="37"/>
  <c r="AD43" i="37"/>
  <c r="AD42" i="37"/>
  <c r="AD41" i="37"/>
  <c r="AD40" i="37"/>
  <c r="AD39" i="37"/>
  <c r="AD38" i="37"/>
  <c r="AD37" i="37"/>
  <c r="AD36" i="37"/>
  <c r="AD35" i="37"/>
  <c r="AD34" i="37"/>
  <c r="AD33" i="37"/>
  <c r="AD32" i="37"/>
  <c r="AD31" i="37"/>
  <c r="AD30" i="37"/>
  <c r="AD29" i="37"/>
  <c r="AD28" i="37"/>
  <c r="AD27" i="37"/>
  <c r="AD26" i="37"/>
  <c r="AD25" i="37"/>
  <c r="AD24" i="37"/>
  <c r="AD23" i="37"/>
  <c r="AD22" i="37"/>
  <c r="AD21" i="37"/>
  <c r="AD20" i="37"/>
  <c r="AD19" i="37"/>
  <c r="AD18" i="37"/>
  <c r="AD17" i="37"/>
  <c r="AD16" i="37"/>
  <c r="AD15" i="37"/>
  <c r="AD14" i="37"/>
  <c r="AD13" i="37"/>
  <c r="AD12" i="37"/>
  <c r="AD11" i="37"/>
  <c r="AD10" i="37"/>
  <c r="AD9" i="37"/>
  <c r="AD8" i="37"/>
  <c r="AD7" i="37"/>
  <c r="AD6" i="37"/>
  <c r="AD84" i="36"/>
  <c r="AD83" i="36"/>
  <c r="AD82" i="36"/>
  <c r="AD81" i="36"/>
  <c r="AD80" i="36"/>
  <c r="AD79" i="36"/>
  <c r="AD78" i="36"/>
  <c r="AD77" i="36"/>
  <c r="AD76" i="36"/>
  <c r="AD75" i="36"/>
  <c r="AD74" i="36"/>
  <c r="AD73" i="36"/>
  <c r="AD72" i="36"/>
  <c r="AD71" i="36"/>
  <c r="AD70" i="36"/>
  <c r="AD69" i="36"/>
  <c r="AD68" i="36"/>
  <c r="AD67" i="36"/>
  <c r="AD66" i="36"/>
  <c r="AD65" i="36"/>
  <c r="AD64" i="36"/>
  <c r="AD63" i="36"/>
  <c r="AD62" i="36"/>
  <c r="AD61" i="36"/>
  <c r="AD60" i="36"/>
  <c r="AD59" i="36"/>
  <c r="AD58" i="36"/>
  <c r="AD57" i="36"/>
  <c r="AD56" i="36"/>
  <c r="AD55" i="36"/>
  <c r="AD54" i="36"/>
  <c r="AD53" i="36"/>
  <c r="AD52" i="36"/>
  <c r="AD51" i="36"/>
  <c r="AD50" i="36"/>
  <c r="AD49" i="36"/>
  <c r="AD48" i="36"/>
  <c r="AD47" i="36"/>
  <c r="AD46" i="36"/>
  <c r="AD45" i="36"/>
  <c r="AD44" i="36"/>
  <c r="AD43" i="36"/>
  <c r="AD42" i="36"/>
  <c r="AD41" i="36"/>
  <c r="AD40" i="36"/>
  <c r="AD39" i="36"/>
  <c r="AD38" i="36"/>
  <c r="AD37" i="36"/>
  <c r="AD36" i="36"/>
  <c r="AD35" i="36"/>
  <c r="AD34" i="36"/>
  <c r="AD33" i="36"/>
  <c r="AD32" i="36"/>
  <c r="AD31" i="36"/>
  <c r="AD30" i="36"/>
  <c r="AD29" i="36"/>
  <c r="AD28" i="36"/>
  <c r="AD27" i="36"/>
  <c r="AD26" i="36"/>
  <c r="AD25" i="36"/>
  <c r="AD24" i="36"/>
  <c r="AD23" i="36"/>
  <c r="AD22" i="36"/>
  <c r="AD21" i="36"/>
  <c r="AD20" i="36"/>
  <c r="AD19" i="36"/>
  <c r="AD18" i="36"/>
  <c r="AD17" i="36"/>
  <c r="AD16" i="36"/>
  <c r="AD15" i="36"/>
  <c r="AD14" i="36"/>
  <c r="AD13" i="36"/>
  <c r="AD12" i="36"/>
  <c r="AD11" i="36"/>
  <c r="AD10" i="36"/>
  <c r="AD9" i="36"/>
  <c r="AD8" i="36"/>
  <c r="AD7" i="36"/>
  <c r="AD6" i="36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86" i="44"/>
  <c r="BN5" i="43"/>
  <c r="BM5" i="43"/>
  <c r="BL5" i="43"/>
  <c r="BK5" i="43"/>
  <c r="BJ5" i="43"/>
  <c r="BI5" i="43"/>
  <c r="BH5" i="43"/>
  <c r="BG5" i="43"/>
  <c r="BF5" i="43"/>
  <c r="BE5" i="43"/>
  <c r="BD5" i="43"/>
  <c r="BC5" i="43"/>
  <c r="BB5" i="43"/>
  <c r="BA5" i="43"/>
  <c r="AZ5" i="43"/>
  <c r="AY5" i="43"/>
  <c r="AX5" i="43"/>
  <c r="AW5" i="43"/>
  <c r="AV5" i="43"/>
  <c r="AU5" i="43"/>
  <c r="AT5" i="43"/>
  <c r="AS5" i="43"/>
  <c r="AR5" i="43"/>
  <c r="AQ5" i="43"/>
  <c r="AP5" i="43"/>
  <c r="AO5" i="43"/>
  <c r="AN5" i="43"/>
  <c r="AM5" i="43"/>
  <c r="AL5" i="43"/>
  <c r="AK5" i="43"/>
  <c r="AJ5" i="43"/>
  <c r="AI5" i="43"/>
  <c r="AH5" i="43"/>
  <c r="AG5" i="43"/>
  <c r="AF5" i="43"/>
  <c r="AE5" i="43"/>
  <c r="AD5" i="43"/>
  <c r="AC5" i="43"/>
  <c r="AB5" i="43"/>
  <c r="AA5" i="43"/>
  <c r="Z5" i="43"/>
  <c r="Y5" i="43"/>
  <c r="X5" i="43"/>
  <c r="W5" i="43"/>
  <c r="V5" i="43"/>
  <c r="U5" i="43"/>
  <c r="T5" i="43"/>
  <c r="S5" i="43"/>
  <c r="R5" i="43"/>
  <c r="Q5" i="43"/>
  <c r="P5" i="43"/>
  <c r="O5" i="43"/>
  <c r="N5" i="43"/>
  <c r="M5" i="43"/>
  <c r="L5" i="43"/>
  <c r="K5" i="43"/>
  <c r="J5" i="43"/>
  <c r="I5" i="43"/>
  <c r="H5" i="43"/>
  <c r="G5" i="43"/>
  <c r="F5" i="43"/>
  <c r="E5" i="43"/>
  <c r="D5" i="43"/>
  <c r="C5" i="43"/>
  <c r="B5" i="43"/>
  <c r="A87" i="43"/>
  <c r="AV5" i="42"/>
  <c r="AU5" i="42"/>
  <c r="AT5" i="42"/>
  <c r="AS5" i="42"/>
  <c r="AR5" i="42"/>
  <c r="AQ5" i="42"/>
  <c r="AP5" i="42"/>
  <c r="AO5" i="42"/>
  <c r="AN5" i="42"/>
  <c r="AM5" i="42"/>
  <c r="AL5" i="42"/>
  <c r="AK5" i="42"/>
  <c r="AJ5" i="42"/>
  <c r="AI5" i="42"/>
  <c r="AH5" i="42"/>
  <c r="AG5" i="42"/>
  <c r="AF5" i="42"/>
  <c r="AE5" i="42"/>
  <c r="AD5" i="42"/>
  <c r="AC5" i="42"/>
  <c r="AB5" i="42"/>
  <c r="AA5" i="42"/>
  <c r="Z5" i="42"/>
  <c r="Y5" i="42"/>
  <c r="X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D5" i="42"/>
  <c r="C5" i="42"/>
  <c r="B5" i="42"/>
  <c r="A87" i="42"/>
  <c r="BB5" i="41"/>
  <c r="BA5" i="41"/>
  <c r="AZ5" i="41"/>
  <c r="AY5" i="41"/>
  <c r="AX5" i="41"/>
  <c r="AW5" i="41"/>
  <c r="AV5" i="41"/>
  <c r="AU5" i="41"/>
  <c r="AT5" i="41"/>
  <c r="AS5" i="41"/>
  <c r="AR5" i="41"/>
  <c r="AQ5" i="41"/>
  <c r="AP5" i="41"/>
  <c r="AO5" i="41"/>
  <c r="AN5" i="41"/>
  <c r="AM5" i="41"/>
  <c r="AL5" i="41"/>
  <c r="AK5" i="41"/>
  <c r="AJ5" i="41"/>
  <c r="AI5" i="41"/>
  <c r="AH5" i="41"/>
  <c r="AG5" i="41"/>
  <c r="AF5" i="41"/>
  <c r="AE5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C5" i="41"/>
  <c r="B5" i="41"/>
  <c r="A87" i="41"/>
  <c r="AC5" i="40"/>
  <c r="AB5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L5" i="40"/>
  <c r="K5" i="40"/>
  <c r="J5" i="40"/>
  <c r="I5" i="40"/>
  <c r="H5" i="40"/>
  <c r="G5" i="40"/>
  <c r="F5" i="40"/>
  <c r="E5" i="40"/>
  <c r="D5" i="40"/>
  <c r="C5" i="40"/>
  <c r="B5" i="40"/>
  <c r="A87" i="40"/>
  <c r="AW5" i="39"/>
  <c r="AV5" i="39"/>
  <c r="AU5" i="39"/>
  <c r="AT5" i="39"/>
  <c r="AS5" i="39"/>
  <c r="AR5" i="39"/>
  <c r="AQ5" i="39"/>
  <c r="AP5" i="39"/>
  <c r="AO5" i="39"/>
  <c r="AN5" i="39"/>
  <c r="AM5" i="39"/>
  <c r="AL5" i="39"/>
  <c r="AK5" i="39"/>
  <c r="AJ5" i="39"/>
  <c r="AI5" i="39"/>
  <c r="AH5" i="39"/>
  <c r="AG5" i="39"/>
  <c r="AF5" i="39"/>
  <c r="AE5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87" i="39"/>
  <c r="S5" i="38"/>
  <c r="R5" i="38"/>
  <c r="Q5" i="38"/>
  <c r="P5" i="38"/>
  <c r="O5" i="38"/>
  <c r="N5" i="38"/>
  <c r="M5" i="38"/>
  <c r="L5" i="38"/>
  <c r="K5" i="38"/>
  <c r="J5" i="38"/>
  <c r="I5" i="38"/>
  <c r="H5" i="38"/>
  <c r="G5" i="38"/>
  <c r="F5" i="38"/>
  <c r="E5" i="38"/>
  <c r="D5" i="38"/>
  <c r="C5" i="38"/>
  <c r="B5" i="38"/>
  <c r="A87" i="38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87" i="37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B5" i="36"/>
  <c r="A87" i="36"/>
  <c r="AJ5" i="35"/>
  <c r="AI5" i="35"/>
  <c r="AH5" i="35"/>
  <c r="AG5" i="35"/>
  <c r="AF5" i="35"/>
  <c r="AE5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87" i="35"/>
  <c r="AX5" i="24" l="1"/>
  <c r="LB5" i="24"/>
  <c r="LD5" i="24"/>
  <c r="LE5" i="24"/>
  <c r="B4" i="34"/>
  <c r="T4" i="34"/>
  <c r="S4" i="34"/>
  <c r="R4" i="34"/>
  <c r="K4" i="34"/>
  <c r="J4" i="34"/>
  <c r="I4" i="34"/>
  <c r="H4" i="34"/>
  <c r="G4" i="34"/>
  <c r="F4" i="34"/>
  <c r="E4" i="34"/>
  <c r="V8" i="34"/>
  <c r="Q4" i="34"/>
  <c r="P4" i="34"/>
  <c r="N4" i="34"/>
  <c r="M4" i="34"/>
  <c r="L4" i="34"/>
  <c r="D4" i="34"/>
  <c r="C4" i="34"/>
  <c r="V32" i="34"/>
  <c r="V64" i="34"/>
  <c r="V63" i="34"/>
  <c r="V61" i="34"/>
  <c r="V60" i="34"/>
  <c r="V59" i="34"/>
  <c r="V58" i="34"/>
  <c r="V57" i="34"/>
  <c r="V56" i="34"/>
  <c r="V55" i="34"/>
  <c r="V54" i="34"/>
  <c r="V52" i="34"/>
  <c r="V53" i="34"/>
  <c r="V51" i="34"/>
  <c r="V50" i="34"/>
  <c r="V62" i="34"/>
  <c r="V49" i="34"/>
  <c r="V48" i="34"/>
  <c r="V13" i="34"/>
  <c r="V34" i="34"/>
  <c r="V47" i="34"/>
  <c r="V46" i="34"/>
  <c r="V45" i="34"/>
  <c r="V44" i="34"/>
  <c r="V43" i="34"/>
  <c r="V42" i="34"/>
  <c r="V41" i="34"/>
  <c r="V40" i="34"/>
  <c r="V38" i="34"/>
  <c r="V39" i="34"/>
  <c r="V37" i="34"/>
  <c r="V36" i="34"/>
  <c r="V35" i="34"/>
  <c r="V33" i="34"/>
  <c r="V31" i="34"/>
  <c r="V30" i="34"/>
  <c r="V29" i="34"/>
  <c r="V28" i="34"/>
  <c r="V27" i="34"/>
  <c r="V26" i="34"/>
  <c r="V25" i="34"/>
  <c r="V24" i="34"/>
  <c r="V23" i="34"/>
  <c r="V22" i="34"/>
  <c r="V21" i="34"/>
  <c r="V20" i="34"/>
  <c r="V19" i="34"/>
  <c r="V18" i="34"/>
  <c r="V17" i="34"/>
  <c r="V16" i="34"/>
  <c r="V15" i="34"/>
  <c r="V14" i="34"/>
  <c r="V12" i="34"/>
  <c r="V11" i="34"/>
  <c r="V10" i="34"/>
  <c r="V5" i="34"/>
  <c r="V9" i="34"/>
  <c r="V7" i="34"/>
  <c r="V6" i="34"/>
  <c r="MT83" i="24"/>
  <c r="MT82" i="24"/>
  <c r="MT81" i="24"/>
  <c r="MT80" i="24"/>
  <c r="MT79" i="24"/>
  <c r="MT78" i="24"/>
  <c r="MT77" i="24"/>
  <c r="MT76" i="24"/>
  <c r="MT75" i="24"/>
  <c r="MT74" i="24"/>
  <c r="MT73" i="24"/>
  <c r="MT72" i="24"/>
  <c r="MT71" i="24"/>
  <c r="MT70" i="24"/>
  <c r="MT69" i="24"/>
  <c r="MT68" i="24"/>
  <c r="MT67" i="24"/>
  <c r="MT66" i="24"/>
  <c r="MT65" i="24"/>
  <c r="MT64" i="24"/>
  <c r="MT63" i="24"/>
  <c r="MT62" i="24"/>
  <c r="MT61" i="24"/>
  <c r="MT60" i="24"/>
  <c r="MT59" i="24"/>
  <c r="MT58" i="24"/>
  <c r="MT57" i="24"/>
  <c r="MT56" i="24"/>
  <c r="MT14" i="24"/>
  <c r="MT55" i="24"/>
  <c r="MT54" i="24"/>
  <c r="MT53" i="24"/>
  <c r="MT52" i="24"/>
  <c r="MT51" i="24"/>
  <c r="MT50" i="24"/>
  <c r="MT49" i="24"/>
  <c r="MT48" i="24"/>
  <c r="MT47" i="24"/>
  <c r="MT46" i="24"/>
  <c r="MT45" i="24"/>
  <c r="MT44" i="24"/>
  <c r="MT43" i="24"/>
  <c r="MT42" i="24"/>
  <c r="MT41" i="24"/>
  <c r="MT40" i="24"/>
  <c r="MT39" i="24"/>
  <c r="MT38" i="24"/>
  <c r="MT37" i="24"/>
  <c r="MT36" i="24"/>
  <c r="MT35" i="24"/>
  <c r="MT34" i="24"/>
  <c r="MT33" i="24"/>
  <c r="MT32" i="24"/>
  <c r="MT31" i="24"/>
  <c r="MT30" i="24"/>
  <c r="MT29" i="24"/>
  <c r="MT28" i="24"/>
  <c r="MT27" i="24"/>
  <c r="MT26" i="24"/>
  <c r="MT25" i="24"/>
  <c r="MT24" i="24"/>
  <c r="MT23" i="24"/>
  <c r="MT22" i="24"/>
  <c r="MT21" i="24"/>
  <c r="MT20" i="24"/>
  <c r="MT19" i="24"/>
  <c r="MT18" i="24"/>
  <c r="MT17" i="24"/>
  <c r="MT16" i="24"/>
  <c r="MT15" i="24"/>
  <c r="MT13" i="24"/>
  <c r="MT12" i="24"/>
  <c r="MT11" i="24"/>
  <c r="MT10" i="24"/>
  <c r="MT9" i="24"/>
  <c r="MT8" i="24"/>
  <c r="MT7" i="24"/>
  <c r="MT6" i="24"/>
  <c r="MR5" i="24"/>
  <c r="ME5" i="24"/>
  <c r="LR5" i="24" l="1"/>
  <c r="KR5" i="24" l="1"/>
  <c r="CN5" i="24"/>
  <c r="CG5" i="24"/>
  <c r="BZ5" i="24"/>
  <c r="BS5" i="24"/>
  <c r="BL5" i="24"/>
  <c r="BE5" i="24"/>
  <c r="AQ5" i="24"/>
  <c r="H5" i="24"/>
  <c r="O5" i="24"/>
  <c r="V5" i="24"/>
  <c r="AC5" i="24"/>
  <c r="AB5" i="24"/>
  <c r="AJ5" i="24"/>
  <c r="X4" i="31"/>
  <c r="W4" i="31"/>
  <c r="V4" i="31"/>
  <c r="U4" i="31"/>
  <c r="T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B4" i="31"/>
  <c r="Z5" i="31"/>
  <c r="Z6" i="31"/>
  <c r="Z7" i="31"/>
  <c r="Z8" i="31"/>
  <c r="Z9" i="31"/>
  <c r="Z10" i="31"/>
  <c r="Z11" i="31"/>
  <c r="Z12" i="31"/>
  <c r="Z13" i="31"/>
  <c r="Z14" i="31"/>
  <c r="Z15" i="31"/>
  <c r="Z16" i="31"/>
  <c r="Z17" i="31"/>
  <c r="Z18" i="31"/>
  <c r="Z19" i="31"/>
  <c r="Z20" i="31"/>
  <c r="Z21" i="31"/>
  <c r="Z22" i="31"/>
  <c r="Z23" i="31"/>
  <c r="Z24" i="31"/>
  <c r="Z25" i="31"/>
  <c r="Z26" i="31"/>
  <c r="Z27" i="31"/>
  <c r="Z28" i="31"/>
  <c r="Z29" i="31"/>
  <c r="Z30" i="31"/>
  <c r="Z31" i="31"/>
  <c r="Z32" i="31"/>
  <c r="Z33" i="31"/>
  <c r="Z34" i="31"/>
  <c r="Z35" i="31"/>
  <c r="Z36" i="31"/>
  <c r="Z37" i="31"/>
  <c r="Z38" i="31"/>
  <c r="Z39" i="31"/>
  <c r="Z40" i="31"/>
  <c r="Z41" i="31"/>
  <c r="Z42" i="31"/>
  <c r="Z43" i="31"/>
  <c r="GP5" i="24" l="1"/>
  <c r="MQ5" i="24"/>
  <c r="MD5" i="24"/>
  <c r="LQ5" i="24"/>
  <c r="KQ5" i="24"/>
  <c r="JX5" i="24"/>
  <c r="JR5" i="24"/>
  <c r="JL5" i="24"/>
  <c r="GJ5" i="24"/>
  <c r="GV5" i="24"/>
  <c r="HB5" i="24"/>
  <c r="HH5" i="24"/>
  <c r="HN5" i="24"/>
  <c r="HZ5" i="24"/>
  <c r="IN5" i="24"/>
  <c r="IT5" i="24"/>
  <c r="IZ5" i="24"/>
  <c r="IY5" i="24"/>
  <c r="JF5" i="24"/>
  <c r="MP5" i="24" l="1"/>
  <c r="MB5" i="24"/>
  <c r="LO5" i="24"/>
  <c r="KO5" i="24"/>
  <c r="FR5" i="24" l="1"/>
  <c r="FQ5" i="24"/>
  <c r="FP5" i="24"/>
  <c r="FO5" i="24"/>
  <c r="EV5" i="24" l="1"/>
  <c r="EU5" i="24"/>
  <c r="ET5" i="24"/>
  <c r="ES5" i="24"/>
  <c r="ER5" i="24"/>
  <c r="EQ5" i="24"/>
  <c r="GC5" i="24" l="1"/>
  <c r="FW5" i="24"/>
  <c r="FM5" i="24"/>
  <c r="FG5" i="24"/>
  <c r="FA5" i="24"/>
  <c r="EO5" i="24"/>
  <c r="EI5" i="24"/>
  <c r="ED5" i="24"/>
  <c r="DW5" i="24"/>
  <c r="DQ5" i="24"/>
  <c r="DK5" i="24"/>
  <c r="DE5" i="24"/>
  <c r="CZ5" i="24"/>
  <c r="CT5" i="24"/>
  <c r="MT106" i="24" l="1"/>
  <c r="MT105" i="24"/>
  <c r="MT104" i="24"/>
  <c r="MT103" i="24"/>
  <c r="MT102" i="24"/>
  <c r="MT101" i="24"/>
  <c r="MT100" i="24"/>
  <c r="MT99" i="24"/>
  <c r="MT98" i="24"/>
  <c r="MT97" i="24"/>
  <c r="MT96" i="24"/>
  <c r="MT95" i="24"/>
  <c r="CM5" i="24" l="1"/>
  <c r="CF5" i="24"/>
  <c r="BY5" i="24"/>
  <c r="BR5" i="24"/>
  <c r="BK5" i="24"/>
  <c r="BD5" i="24"/>
  <c r="AW5" i="24"/>
  <c r="AP5" i="24"/>
  <c r="AI5" i="24"/>
  <c r="U5" i="24"/>
  <c r="N5" i="24"/>
  <c r="G5" i="24"/>
  <c r="MO5" i="24"/>
  <c r="MN5" i="24"/>
  <c r="MC5" i="24"/>
  <c r="LP5" i="24"/>
  <c r="LC5" i="24"/>
  <c r="KP5" i="24"/>
  <c r="NE5" i="24" l="1"/>
  <c r="ND5" i="24"/>
  <c r="NC5" i="24"/>
  <c r="NB5" i="24"/>
  <c r="MM5" i="24"/>
  <c r="ML5" i="24"/>
  <c r="MK5" i="24"/>
  <c r="MJ5" i="24"/>
  <c r="MI5" i="24"/>
  <c r="MH5" i="24"/>
  <c r="MG5" i="24"/>
  <c r="MF5" i="24"/>
  <c r="MA5" i="24"/>
  <c r="LZ5" i="24"/>
  <c r="LY5" i="24"/>
  <c r="LX5" i="24"/>
  <c r="LW5" i="24"/>
  <c r="LV5" i="24"/>
  <c r="LU5" i="24"/>
  <c r="LT5" i="24"/>
  <c r="LS5" i="24"/>
  <c r="LN5" i="24"/>
  <c r="LM5" i="24"/>
  <c r="LL5" i="24"/>
  <c r="LK5" i="24"/>
  <c r="LJ5" i="24"/>
  <c r="LI5" i="24"/>
  <c r="LH5" i="24"/>
  <c r="LG5" i="24"/>
  <c r="LF5" i="24"/>
  <c r="LA5" i="24"/>
  <c r="KZ5" i="24"/>
  <c r="KY5" i="24"/>
  <c r="KX5" i="24"/>
  <c r="KW5" i="24"/>
  <c r="KV5" i="24"/>
  <c r="KU5" i="24"/>
  <c r="KT5" i="24"/>
  <c r="KS5" i="24"/>
  <c r="KN5" i="24"/>
  <c r="KM5" i="24"/>
  <c r="KL5" i="24"/>
  <c r="KK5" i="24"/>
  <c r="KJ5" i="24"/>
  <c r="KI5" i="24"/>
  <c r="KH5" i="24"/>
  <c r="KG5" i="24"/>
  <c r="KF5" i="24"/>
  <c r="KC5" i="24"/>
  <c r="KB5" i="24"/>
  <c r="KA5" i="24"/>
  <c r="JZ5" i="24"/>
  <c r="JY5" i="24"/>
  <c r="JW5" i="24"/>
  <c r="JV5" i="24"/>
  <c r="JU5" i="24"/>
  <c r="JT5" i="24"/>
  <c r="JS5" i="24"/>
  <c r="JQ5" i="24"/>
  <c r="JP5" i="24"/>
  <c r="JO5" i="24"/>
  <c r="JN5" i="24"/>
  <c r="JM5" i="24"/>
  <c r="JK5" i="24"/>
  <c r="JJ5" i="24"/>
  <c r="JI5" i="24"/>
  <c r="JH5" i="24"/>
  <c r="JG5" i="24"/>
  <c r="JE5" i="24"/>
  <c r="JC5" i="24"/>
  <c r="JB5" i="24"/>
  <c r="JA5" i="24"/>
  <c r="IX5" i="24"/>
  <c r="IW5" i="24"/>
  <c r="IV5" i="24"/>
  <c r="IU5" i="24"/>
  <c r="IS5" i="24"/>
  <c r="IR5" i="24"/>
  <c r="IQ5" i="24"/>
  <c r="IP5" i="24"/>
  <c r="IO5" i="24"/>
  <c r="IM5" i="24"/>
  <c r="IL5" i="24"/>
  <c r="IK5" i="24"/>
  <c r="IJ5" i="24"/>
  <c r="II5" i="24"/>
  <c r="IH5" i="24"/>
  <c r="IG5" i="24"/>
  <c r="IE5" i="24"/>
  <c r="ID5" i="24"/>
  <c r="IC5" i="24"/>
  <c r="IB5" i="24"/>
  <c r="IA5" i="24"/>
  <c r="HY5" i="24"/>
  <c r="HX5" i="24"/>
  <c r="HW5" i="24"/>
  <c r="HV5" i="24"/>
  <c r="HU5" i="24"/>
  <c r="HS5" i="24"/>
  <c r="HR5" i="24"/>
  <c r="HQ5" i="24"/>
  <c r="HP5" i="24"/>
  <c r="HO5" i="24"/>
  <c r="HM5" i="24"/>
  <c r="HL5" i="24"/>
  <c r="HK5" i="24"/>
  <c r="HJ5" i="24"/>
  <c r="HI5" i="24"/>
  <c r="HG5" i="24"/>
  <c r="HF5" i="24"/>
  <c r="HE5" i="24"/>
  <c r="HD5" i="24"/>
  <c r="HC5" i="24"/>
  <c r="HA5" i="24"/>
  <c r="GZ5" i="24"/>
  <c r="GY5" i="24"/>
  <c r="GX5" i="24"/>
  <c r="GW5" i="24"/>
  <c r="GU5" i="24"/>
  <c r="GT5" i="24"/>
  <c r="GS5" i="24"/>
  <c r="GR5" i="24"/>
  <c r="GQ5" i="24"/>
  <c r="GO5" i="24"/>
  <c r="GN5" i="24"/>
  <c r="GM5" i="24"/>
  <c r="GL5" i="24"/>
  <c r="GK5" i="24"/>
  <c r="GI5" i="24"/>
  <c r="GH5" i="24"/>
  <c r="GG5" i="24"/>
  <c r="GF5" i="24"/>
  <c r="GE5" i="24"/>
  <c r="GD5" i="24"/>
  <c r="GB5" i="24"/>
  <c r="GA5" i="24"/>
  <c r="FZ5" i="24"/>
  <c r="FY5" i="24"/>
  <c r="FX5" i="24"/>
  <c r="FV5" i="24"/>
  <c r="FU5" i="24"/>
  <c r="FT5" i="24"/>
  <c r="FS5" i="24"/>
  <c r="FN5" i="24"/>
  <c r="FL5" i="24"/>
  <c r="FK5" i="24"/>
  <c r="FJ5" i="24"/>
  <c r="FI5" i="24"/>
  <c r="FH5" i="24"/>
  <c r="FF5" i="24"/>
  <c r="FE5" i="24"/>
  <c r="FD5" i="24"/>
  <c r="FC5" i="24"/>
  <c r="FB5" i="24"/>
  <c r="EZ5" i="24"/>
  <c r="EY5" i="24"/>
  <c r="EX5" i="24"/>
  <c r="EW5" i="24"/>
  <c r="EP5" i="24"/>
  <c r="EN5" i="24"/>
  <c r="EM5" i="24"/>
  <c r="EL5" i="24"/>
  <c r="EK5" i="24"/>
  <c r="EJ5" i="24"/>
  <c r="EH5" i="24"/>
  <c r="EG5" i="24"/>
  <c r="EF5" i="24"/>
  <c r="EE5" i="24"/>
  <c r="EC5" i="24"/>
  <c r="EB5" i="24"/>
  <c r="EA5" i="24"/>
  <c r="DZ5" i="24"/>
  <c r="DY5" i="24"/>
  <c r="DX5" i="24"/>
  <c r="DV5" i="24"/>
  <c r="DU5" i="24"/>
  <c r="DT5" i="24"/>
  <c r="DS5" i="24"/>
  <c r="DR5" i="24"/>
  <c r="DP5" i="24"/>
  <c r="DO5" i="24"/>
  <c r="DN5" i="24"/>
  <c r="DM5" i="24"/>
  <c r="DL5" i="24"/>
  <c r="DJ5" i="24"/>
  <c r="DI5" i="24"/>
  <c r="DH5" i="24"/>
  <c r="DG5" i="24"/>
  <c r="DF5" i="24"/>
  <c r="DD5" i="24"/>
  <c r="DC5" i="24"/>
  <c r="DB5" i="24"/>
  <c r="DA5" i="24"/>
  <c r="CY5" i="24"/>
  <c r="CX5" i="24"/>
  <c r="CW5" i="24"/>
  <c r="CV5" i="24"/>
  <c r="CU5" i="24"/>
  <c r="CS5" i="24"/>
  <c r="CR5" i="24"/>
  <c r="CQ5" i="24"/>
  <c r="CP5" i="24"/>
  <c r="CO5" i="24"/>
  <c r="CL5" i="24"/>
  <c r="CK5" i="24"/>
  <c r="CJ5" i="24"/>
  <c r="CI5" i="24"/>
  <c r="CH5" i="24"/>
  <c r="CE5" i="24"/>
  <c r="CD5" i="24"/>
  <c r="CC5" i="24"/>
  <c r="CB5" i="24"/>
  <c r="CA5" i="24"/>
  <c r="BX5" i="24"/>
  <c r="BW5" i="24"/>
  <c r="BV5" i="24"/>
  <c r="BU5" i="24"/>
  <c r="BT5" i="24"/>
  <c r="BQ5" i="24"/>
  <c r="BP5" i="24"/>
  <c r="BO5" i="24"/>
  <c r="BN5" i="24"/>
  <c r="BM5" i="24"/>
  <c r="BJ5" i="24"/>
  <c r="BI5" i="24"/>
  <c r="BH5" i="24"/>
  <c r="BG5" i="24"/>
  <c r="BF5" i="24"/>
  <c r="BC5" i="24"/>
  <c r="BB5" i="24"/>
  <c r="BA5" i="24"/>
  <c r="AZ5" i="24"/>
  <c r="AY5" i="24"/>
  <c r="AV5" i="24"/>
  <c r="AU5" i="24"/>
  <c r="AT5" i="24"/>
  <c r="AS5" i="24"/>
  <c r="AR5" i="24"/>
  <c r="AO5" i="24"/>
  <c r="AN5" i="24"/>
  <c r="AM5" i="24"/>
  <c r="AL5" i="24"/>
  <c r="AK5" i="24"/>
  <c r="AH5" i="24"/>
  <c r="AG5" i="24"/>
  <c r="AF5" i="24"/>
  <c r="AE5" i="24"/>
  <c r="AD5" i="24"/>
  <c r="AA5" i="24"/>
  <c r="Z5" i="24"/>
  <c r="Y5" i="24"/>
  <c r="X5" i="24"/>
  <c r="W5" i="24"/>
  <c r="T5" i="24"/>
  <c r="S5" i="24"/>
  <c r="R5" i="24"/>
  <c r="Q5" i="24"/>
  <c r="P5" i="24"/>
  <c r="M5" i="24"/>
  <c r="L5" i="24"/>
  <c r="K5" i="24"/>
  <c r="J5" i="24"/>
  <c r="I5" i="24"/>
  <c r="F5" i="24"/>
  <c r="E5" i="24"/>
  <c r="D5" i="24"/>
  <c r="C5" i="24"/>
  <c r="B5" i="24"/>
  <c r="DN38" i="12" l="1"/>
  <c r="DN72" i="12"/>
  <c r="DN94" i="12"/>
  <c r="DN71" i="12"/>
  <c r="DN33" i="12"/>
  <c r="DN95" i="12"/>
  <c r="DN70" i="12"/>
  <c r="DN69" i="12"/>
  <c r="DN68" i="12"/>
  <c r="DN67" i="12"/>
  <c r="DN66" i="12"/>
  <c r="DN65" i="12"/>
  <c r="DN73" i="12"/>
  <c r="DN64" i="12"/>
  <c r="DN63" i="12"/>
  <c r="DN62" i="12"/>
  <c r="DN61" i="12"/>
  <c r="DN60" i="12"/>
  <c r="DN52" i="12"/>
  <c r="DN59" i="12"/>
  <c r="DN58" i="12"/>
  <c r="DN57" i="12"/>
  <c r="DN56" i="12"/>
  <c r="DN55" i="12"/>
  <c r="DN54" i="12"/>
  <c r="DN53" i="12"/>
  <c r="DN46" i="12"/>
  <c r="DN51" i="12"/>
  <c r="DN50" i="12"/>
  <c r="DN49" i="12"/>
  <c r="DN48" i="12"/>
  <c r="DN47" i="12"/>
  <c r="DN45" i="12"/>
  <c r="DN44" i="12"/>
  <c r="DN43" i="12"/>
  <c r="DN32" i="12"/>
  <c r="DN42" i="12"/>
  <c r="DN41" i="12"/>
  <c r="DN40" i="12"/>
  <c r="DN39" i="12"/>
  <c r="DN31" i="12"/>
  <c r="DN37" i="12"/>
  <c r="DN36" i="12"/>
  <c r="DN35" i="12"/>
  <c r="DN34" i="12"/>
  <c r="DN30" i="12"/>
  <c r="DN27" i="12"/>
  <c r="DN28" i="12"/>
  <c r="DN29" i="12"/>
  <c r="DN26" i="12"/>
  <c r="DN25" i="12"/>
  <c r="DN23" i="12"/>
  <c r="DN24" i="12"/>
  <c r="DN19" i="12"/>
  <c r="DN22" i="12"/>
  <c r="DN16" i="12"/>
  <c r="DN21" i="12"/>
  <c r="DN18" i="12"/>
  <c r="DN20" i="12"/>
  <c r="DN17" i="12"/>
  <c r="DN9" i="12"/>
  <c r="DN15" i="12"/>
  <c r="DN14" i="12"/>
  <c r="DN13" i="12"/>
  <c r="DN12" i="12"/>
  <c r="DN7" i="12"/>
  <c r="DN11" i="12"/>
  <c r="DN8" i="12"/>
  <c r="DN10" i="12"/>
  <c r="DN6" i="12"/>
  <c r="DO72" i="12"/>
  <c r="BU94" i="12"/>
  <c r="BU95" i="12"/>
  <c r="BU93" i="12"/>
  <c r="BU69" i="12"/>
  <c r="BU68" i="12"/>
  <c r="BU67" i="12"/>
  <c r="BU66" i="12"/>
  <c r="BU65" i="12"/>
  <c r="BU73" i="12"/>
  <c r="DO73" i="12" s="1"/>
  <c r="BU64" i="12"/>
  <c r="DO64" i="12" s="1"/>
  <c r="BU63" i="12"/>
  <c r="BU62" i="12"/>
  <c r="BU61" i="12"/>
  <c r="DO61" i="12" s="1"/>
  <c r="BU60" i="12"/>
  <c r="DO60" i="12" s="1"/>
  <c r="BU52" i="12"/>
  <c r="BU59" i="12"/>
  <c r="BU58" i="12"/>
  <c r="BU57" i="12"/>
  <c r="BU56" i="12"/>
  <c r="BU55" i="12"/>
  <c r="BU54" i="12"/>
  <c r="DO54" i="12" s="1"/>
  <c r="BU53" i="12"/>
  <c r="DO53" i="12" s="1"/>
  <c r="BU46" i="12"/>
  <c r="BU51" i="12"/>
  <c r="BU50" i="12"/>
  <c r="DO50" i="12" s="1"/>
  <c r="BU49" i="12"/>
  <c r="DO49" i="12" s="1"/>
  <c r="BU48" i="12"/>
  <c r="BU47" i="12"/>
  <c r="BU45" i="12"/>
  <c r="BU44" i="12"/>
  <c r="BU43" i="12"/>
  <c r="BU32" i="12"/>
  <c r="BU42" i="12"/>
  <c r="DO42" i="12" s="1"/>
  <c r="BU41" i="12"/>
  <c r="DO41" i="12" s="1"/>
  <c r="BU40" i="12"/>
  <c r="BU39" i="12"/>
  <c r="BU31" i="12"/>
  <c r="DO31" i="12" s="1"/>
  <c r="BU37" i="12"/>
  <c r="DO37" i="12" s="1"/>
  <c r="BU36" i="12"/>
  <c r="BU35" i="12"/>
  <c r="BU34" i="12"/>
  <c r="BU30" i="12"/>
  <c r="BU27" i="12"/>
  <c r="BU28" i="12"/>
  <c r="BU29" i="12"/>
  <c r="DO29" i="12" s="1"/>
  <c r="BU26" i="12"/>
  <c r="DO26" i="12" s="1"/>
  <c r="BU25" i="12"/>
  <c r="BU23" i="12"/>
  <c r="BU24" i="12"/>
  <c r="DO24" i="12" s="1"/>
  <c r="BU19" i="12"/>
  <c r="DO19" i="12" s="1"/>
  <c r="BU22" i="12"/>
  <c r="BU16" i="12"/>
  <c r="BU21" i="12"/>
  <c r="BU18" i="12"/>
  <c r="BU20" i="12"/>
  <c r="BU17" i="12"/>
  <c r="BU9" i="12"/>
  <c r="DO9" i="12" s="1"/>
  <c r="BU15" i="12"/>
  <c r="DO15" i="12" s="1"/>
  <c r="BU14" i="12"/>
  <c r="BU13" i="12"/>
  <c r="BU12" i="12"/>
  <c r="DO12" i="12" s="1"/>
  <c r="BU7" i="12"/>
  <c r="DO7" i="12" s="1"/>
  <c r="BU11" i="12"/>
  <c r="BU8" i="12"/>
  <c r="BU10" i="12"/>
  <c r="BU6" i="12"/>
  <c r="DO44" i="12" l="1"/>
  <c r="DO67" i="12"/>
  <c r="DO21" i="12"/>
  <c r="DO45" i="12"/>
  <c r="DO58" i="12"/>
  <c r="DO68" i="12"/>
  <c r="DO18" i="12"/>
  <c r="DO10" i="12"/>
  <c r="DO30" i="12"/>
  <c r="DO34" i="12"/>
  <c r="DO57" i="12"/>
  <c r="DO6" i="12"/>
  <c r="BU5" i="12"/>
  <c r="DO11" i="12"/>
  <c r="DO14" i="12"/>
  <c r="DO20" i="12"/>
  <c r="DO22" i="12"/>
  <c r="DO25" i="12"/>
  <c r="DO27" i="12"/>
  <c r="DO36" i="12"/>
  <c r="DO40" i="12"/>
  <c r="DO43" i="12"/>
  <c r="DO48" i="12"/>
  <c r="DO46" i="12"/>
  <c r="DO56" i="12"/>
  <c r="DO52" i="12"/>
  <c r="DO63" i="12"/>
  <c r="DO66" i="12"/>
  <c r="DO70" i="12"/>
  <c r="DO8" i="12"/>
  <c r="DO13" i="12"/>
  <c r="DO17" i="12"/>
  <c r="DO16" i="12"/>
  <c r="DO23" i="12"/>
  <c r="DO28" i="12"/>
  <c r="DO35" i="12"/>
  <c r="DO39" i="12"/>
  <c r="DO32" i="12"/>
  <c r="DO47" i="12"/>
  <c r="DO51" i="12"/>
  <c r="DO55" i="12"/>
  <c r="DO59" i="12"/>
  <c r="DO62" i="12"/>
  <c r="DO65" i="12"/>
  <c r="DO69" i="12"/>
  <c r="DO33" i="12"/>
  <c r="DO38" i="12"/>
  <c r="DO71" i="12"/>
  <c r="BW76" i="12"/>
  <c r="DM16" i="12"/>
  <c r="DM38" i="12"/>
  <c r="DM94" i="12"/>
  <c r="DM46" i="12"/>
  <c r="DM30" i="12"/>
  <c r="DM31" i="12"/>
  <c r="DM23" i="12"/>
  <c r="DM33" i="12"/>
  <c r="DM8" i="12"/>
  <c r="DM21" i="12"/>
  <c r="DM12" i="12"/>
  <c r="DM95" i="12"/>
  <c r="DM11" i="12"/>
  <c r="DM9" i="12"/>
  <c r="DM92" i="12"/>
  <c r="DM18" i="12"/>
  <c r="DM10" i="12"/>
  <c r="DM6" i="12"/>
  <c r="DM19" i="12"/>
  <c r="DM15" i="12"/>
  <c r="DM93" i="12"/>
  <c r="DM27" i="12"/>
  <c r="DM7" i="12"/>
  <c r="DM28" i="12"/>
  <c r="DM52" i="12"/>
  <c r="DG16" i="12"/>
  <c r="DG38" i="12"/>
  <c r="DG94" i="12"/>
  <c r="DG31" i="12"/>
  <c r="DG23" i="12"/>
  <c r="DG33" i="12"/>
  <c r="DG8" i="12"/>
  <c r="DG21" i="12"/>
  <c r="DG12" i="12"/>
  <c r="DG95" i="12"/>
  <c r="DG11" i="12"/>
  <c r="DG9" i="12"/>
  <c r="DG92" i="12"/>
  <c r="DG18" i="12"/>
  <c r="DG10" i="12"/>
  <c r="DG6" i="12"/>
  <c r="DG19" i="12"/>
  <c r="DG15" i="12"/>
  <c r="DG93" i="12"/>
  <c r="DG27" i="12"/>
  <c r="DG7" i="12"/>
  <c r="DG28" i="12"/>
  <c r="DG52" i="12"/>
  <c r="DA16" i="12"/>
  <c r="DA38" i="12"/>
  <c r="DA94" i="12"/>
  <c r="DA31" i="12"/>
  <c r="DA23" i="12"/>
  <c r="DA33" i="12"/>
  <c r="DA8" i="12"/>
  <c r="DA12" i="12"/>
  <c r="DA95" i="12"/>
  <c r="DA11" i="12"/>
  <c r="DA9" i="12"/>
  <c r="DA92" i="12"/>
  <c r="DA18" i="12"/>
  <c r="DA10" i="12"/>
  <c r="DA6" i="12"/>
  <c r="DA19" i="12"/>
  <c r="DA93" i="12"/>
  <c r="DA7" i="12"/>
  <c r="DA28" i="12"/>
  <c r="CU16" i="12"/>
  <c r="CU38" i="12"/>
  <c r="CU94" i="12"/>
  <c r="CU26" i="12"/>
  <c r="CU23" i="12"/>
  <c r="CU33" i="12"/>
  <c r="CU8" i="12"/>
  <c r="CU12" i="12"/>
  <c r="CU95" i="12"/>
  <c r="CU11" i="12"/>
  <c r="CU9" i="12"/>
  <c r="CU92" i="12"/>
  <c r="CU18" i="12"/>
  <c r="CU10" i="12"/>
  <c r="CU6" i="12"/>
  <c r="CU19" i="12"/>
  <c r="CU15" i="12"/>
  <c r="CU93" i="12"/>
  <c r="CU27" i="12"/>
  <c r="CU7" i="12"/>
  <c r="CO38" i="12"/>
  <c r="CO94" i="12"/>
  <c r="CO23" i="12"/>
  <c r="CO33" i="12"/>
  <c r="CO8" i="12"/>
  <c r="CO12" i="12"/>
  <c r="CO95" i="12"/>
  <c r="CO9" i="12"/>
  <c r="CO92" i="12"/>
  <c r="CO70" i="12"/>
  <c r="CO6" i="12"/>
  <c r="CO19" i="12"/>
  <c r="CO15" i="12"/>
  <c r="CO93" i="12"/>
  <c r="CO27" i="12"/>
  <c r="CO7" i="12"/>
  <c r="CI16" i="12"/>
  <c r="CI72" i="12"/>
  <c r="CI94" i="12"/>
  <c r="CI71" i="12"/>
  <c r="CI33" i="12"/>
  <c r="CI8" i="12"/>
  <c r="CI95" i="12"/>
  <c r="CI9" i="12"/>
  <c r="CI92" i="12"/>
  <c r="CI6" i="12"/>
  <c r="CI19" i="12"/>
  <c r="CI15" i="12"/>
  <c r="CI93" i="12"/>
  <c r="CI27" i="12"/>
  <c r="CI7" i="12"/>
  <c r="CC94" i="12"/>
  <c r="CC95" i="12"/>
  <c r="CC9" i="12"/>
  <c r="CC92" i="12"/>
  <c r="CC6" i="12"/>
  <c r="CC93" i="12"/>
  <c r="CC7" i="12"/>
  <c r="BT16" i="12"/>
  <c r="BT14" i="12"/>
  <c r="BT63" i="12"/>
  <c r="BT56" i="12"/>
  <c r="BT55" i="12"/>
  <c r="BT13" i="12"/>
  <c r="BT94" i="12"/>
  <c r="BT25" i="12"/>
  <c r="BT46" i="12"/>
  <c r="BT68" i="12"/>
  <c r="BT22" i="12"/>
  <c r="BT35" i="12"/>
  <c r="BT51" i="12"/>
  <c r="BT59" i="12"/>
  <c r="BT30" i="12"/>
  <c r="BT45" i="12"/>
  <c r="BT31" i="12"/>
  <c r="BT26" i="12"/>
  <c r="BT23" i="12"/>
  <c r="BT34" i="12"/>
  <c r="BT20" i="12"/>
  <c r="BT32" i="12"/>
  <c r="BT8" i="12"/>
  <c r="BT21" i="12"/>
  <c r="BT12" i="12"/>
  <c r="BT53" i="12"/>
  <c r="BT95" i="12"/>
  <c r="BT11" i="12"/>
  <c r="BT39" i="12"/>
  <c r="BT9" i="12"/>
  <c r="BT92" i="12"/>
  <c r="BT37" i="12"/>
  <c r="BT41" i="12"/>
  <c r="BT17" i="12"/>
  <c r="BT42" i="12"/>
  <c r="BT65" i="12"/>
  <c r="BT18" i="12"/>
  <c r="BT10" i="12"/>
  <c r="BT24" i="12"/>
  <c r="BT6" i="12"/>
  <c r="BT58" i="12"/>
  <c r="BT19" i="12"/>
  <c r="BT47" i="12"/>
  <c r="BT15" i="12"/>
  <c r="BT93" i="12"/>
  <c r="BT36" i="12"/>
  <c r="BT29" i="12"/>
  <c r="BT57" i="12"/>
  <c r="BT64" i="12"/>
  <c r="BT27" i="12"/>
  <c r="BT7" i="12"/>
  <c r="BT28" i="12"/>
  <c r="BT52" i="12"/>
  <c r="BT44" i="12"/>
  <c r="BF16" i="12"/>
  <c r="BF14" i="12"/>
  <c r="BF63" i="12"/>
  <c r="BF69" i="12"/>
  <c r="BF62" i="12"/>
  <c r="BF56" i="12"/>
  <c r="BF55" i="12"/>
  <c r="BF40" i="12"/>
  <c r="BF43" i="12"/>
  <c r="BF13" i="12"/>
  <c r="BF38" i="12"/>
  <c r="BF72" i="12"/>
  <c r="BF94" i="12"/>
  <c r="BF25" i="12"/>
  <c r="BF54" i="12"/>
  <c r="BF46" i="12"/>
  <c r="BF68" i="12"/>
  <c r="BF22" i="12"/>
  <c r="BF35" i="12"/>
  <c r="BF51" i="12"/>
  <c r="BF59" i="12"/>
  <c r="BF50" i="12"/>
  <c r="BF61" i="12"/>
  <c r="BF30" i="12"/>
  <c r="BF45" i="12"/>
  <c r="BF31" i="12"/>
  <c r="BF49" i="12"/>
  <c r="BF26" i="12"/>
  <c r="BF23" i="12"/>
  <c r="BF71" i="12"/>
  <c r="BF34" i="12"/>
  <c r="BF67" i="12"/>
  <c r="BF33" i="12"/>
  <c r="BF20" i="12"/>
  <c r="BF32" i="12"/>
  <c r="BF8" i="12"/>
  <c r="BF21" i="12"/>
  <c r="BF12" i="12"/>
  <c r="BF53" i="12"/>
  <c r="BF95" i="12"/>
  <c r="BF11" i="12"/>
  <c r="BF39" i="12"/>
  <c r="BF9" i="12"/>
  <c r="BF92" i="12"/>
  <c r="BF37" i="12"/>
  <c r="BF66" i="12"/>
  <c r="BF48" i="12"/>
  <c r="BF41" i="12"/>
  <c r="BF17" i="12"/>
  <c r="BF42" i="12"/>
  <c r="BF65" i="12"/>
  <c r="BF73" i="12"/>
  <c r="BF18" i="12"/>
  <c r="BF10" i="12"/>
  <c r="BF24" i="12"/>
  <c r="BF70" i="12"/>
  <c r="BF6" i="12"/>
  <c r="BF58" i="12"/>
  <c r="BF19" i="12"/>
  <c r="BF47" i="12"/>
  <c r="BF60" i="12"/>
  <c r="BF15" i="12"/>
  <c r="BF93" i="12"/>
  <c r="BF36" i="12"/>
  <c r="BF29" i="12"/>
  <c r="BF57" i="12"/>
  <c r="BF64" i="12"/>
  <c r="BF27" i="12"/>
  <c r="BF7" i="12"/>
  <c r="BF28" i="12"/>
  <c r="BF52" i="12"/>
  <c r="BF44" i="12"/>
  <c r="AR16" i="12"/>
  <c r="AR14" i="12"/>
  <c r="AR63" i="12"/>
  <c r="AR69" i="12"/>
  <c r="AR62" i="12"/>
  <c r="AR56" i="12"/>
  <c r="AR55" i="12"/>
  <c r="AR40" i="12"/>
  <c r="AR43" i="12"/>
  <c r="AR13" i="12"/>
  <c r="AR38" i="12"/>
  <c r="AR72" i="12"/>
  <c r="AR94" i="12"/>
  <c r="AR25" i="12"/>
  <c r="AR54" i="12"/>
  <c r="AR46" i="12"/>
  <c r="AR68" i="12"/>
  <c r="AR22" i="12"/>
  <c r="AR35" i="12"/>
  <c r="AR51" i="12"/>
  <c r="AR59" i="12"/>
  <c r="AR50" i="12"/>
  <c r="AR61" i="12"/>
  <c r="AR30" i="12"/>
  <c r="AR45" i="12"/>
  <c r="AR31" i="12"/>
  <c r="AR49" i="12"/>
  <c r="AR26" i="12"/>
  <c r="AR23" i="12"/>
  <c r="AR71" i="12"/>
  <c r="AR34" i="12"/>
  <c r="AR67" i="12"/>
  <c r="AR33" i="12"/>
  <c r="AR20" i="12"/>
  <c r="AR32" i="12"/>
  <c r="AR8" i="12"/>
  <c r="AR21" i="12"/>
  <c r="AR12" i="12"/>
  <c r="AR53" i="12"/>
  <c r="AR95" i="12"/>
  <c r="AR11" i="12"/>
  <c r="AR39" i="12"/>
  <c r="AR9" i="12"/>
  <c r="AR92" i="12"/>
  <c r="AR37" i="12"/>
  <c r="AR66" i="12"/>
  <c r="AR48" i="12"/>
  <c r="AR41" i="12"/>
  <c r="AR17" i="12"/>
  <c r="AR42" i="12"/>
  <c r="AR65" i="12"/>
  <c r="AR73" i="12"/>
  <c r="AR18" i="12"/>
  <c r="AR10" i="12"/>
  <c r="AR24" i="12"/>
  <c r="AR70" i="12"/>
  <c r="AR6" i="12"/>
  <c r="AR58" i="12"/>
  <c r="AR19" i="12"/>
  <c r="AR47" i="12"/>
  <c r="AR60" i="12"/>
  <c r="AR15" i="12"/>
  <c r="AR93" i="12"/>
  <c r="AR36" i="12"/>
  <c r="AR29" i="12"/>
  <c r="AR57" i="12"/>
  <c r="AR64" i="12"/>
  <c r="AR27" i="12"/>
  <c r="AR7" i="12"/>
  <c r="AR28" i="12"/>
  <c r="AR52" i="12"/>
  <c r="AR44" i="12"/>
  <c r="AD16" i="12"/>
  <c r="AD14" i="12"/>
  <c r="AD63" i="12"/>
  <c r="AD69" i="12"/>
  <c r="AD62" i="12"/>
  <c r="AD56" i="12"/>
  <c r="AD55" i="12"/>
  <c r="AD40" i="12"/>
  <c r="AD43" i="12"/>
  <c r="AD13" i="12"/>
  <c r="AD38" i="12"/>
  <c r="AD72" i="12"/>
  <c r="AD94" i="12"/>
  <c r="AD25" i="12"/>
  <c r="AD54" i="12"/>
  <c r="AD46" i="12"/>
  <c r="AD68" i="12"/>
  <c r="AD22" i="12"/>
  <c r="AD35" i="12"/>
  <c r="AD51" i="12"/>
  <c r="AD59" i="12"/>
  <c r="AD50" i="12"/>
  <c r="AD61" i="12"/>
  <c r="AD30" i="12"/>
  <c r="AD45" i="12"/>
  <c r="AD31" i="12"/>
  <c r="AD49" i="12"/>
  <c r="AD26" i="12"/>
  <c r="AD23" i="12"/>
  <c r="AD71" i="12"/>
  <c r="AD34" i="12"/>
  <c r="AD67" i="12"/>
  <c r="AD33" i="12"/>
  <c r="AD20" i="12"/>
  <c r="AD32" i="12"/>
  <c r="AD8" i="12"/>
  <c r="AD21" i="12"/>
  <c r="AD12" i="12"/>
  <c r="AD53" i="12"/>
  <c r="AD95" i="12"/>
  <c r="AD11" i="12"/>
  <c r="AD39" i="12"/>
  <c r="AD9" i="12"/>
  <c r="AD92" i="12"/>
  <c r="AD37" i="12"/>
  <c r="AD66" i="12"/>
  <c r="AD48" i="12"/>
  <c r="AD41" i="12"/>
  <c r="AD17" i="12"/>
  <c r="AD42" i="12"/>
  <c r="AD65" i="12"/>
  <c r="AD73" i="12"/>
  <c r="AD18" i="12"/>
  <c r="AD10" i="12"/>
  <c r="AD24" i="12"/>
  <c r="AD70" i="12"/>
  <c r="AD6" i="12"/>
  <c r="AD58" i="12"/>
  <c r="AD19" i="12"/>
  <c r="AD47" i="12"/>
  <c r="AD60" i="12"/>
  <c r="AD15" i="12"/>
  <c r="AD93" i="12"/>
  <c r="AD36" i="12"/>
  <c r="AD29" i="12"/>
  <c r="AD57" i="12"/>
  <c r="AD64" i="12"/>
  <c r="AD27" i="12"/>
  <c r="AD7" i="12"/>
  <c r="AD28" i="12"/>
  <c r="AD52" i="12"/>
  <c r="AD44" i="12"/>
  <c r="P14" i="12"/>
  <c r="P69" i="12"/>
  <c r="P40" i="12"/>
  <c r="P43" i="12"/>
  <c r="P13" i="12"/>
  <c r="P94" i="12"/>
  <c r="P25" i="12"/>
  <c r="P22" i="12"/>
  <c r="P35" i="12"/>
  <c r="P50" i="12"/>
  <c r="P49" i="12"/>
  <c r="P26" i="12"/>
  <c r="P23" i="12"/>
  <c r="P34" i="12"/>
  <c r="P67" i="12"/>
  <c r="P20" i="12"/>
  <c r="P8" i="12"/>
  <c r="P21" i="12"/>
  <c r="P12" i="12"/>
  <c r="P95" i="12"/>
  <c r="P11" i="12"/>
  <c r="P92" i="12"/>
  <c r="P48" i="12"/>
  <c r="P17" i="12"/>
  <c r="P18" i="12"/>
  <c r="P10" i="12"/>
  <c r="P24" i="12"/>
  <c r="P6" i="12"/>
  <c r="P47" i="12"/>
  <c r="P60" i="12"/>
  <c r="P15" i="12"/>
  <c r="P93" i="12"/>
  <c r="P7" i="12"/>
  <c r="AS5" i="12"/>
  <c r="A76" i="12"/>
  <c r="DL5" i="12"/>
  <c r="DF5" i="12"/>
  <c r="CZ5" i="12"/>
  <c r="CT5" i="12"/>
  <c r="CN5" i="12"/>
  <c r="CH5" i="12"/>
  <c r="CB5" i="12"/>
  <c r="DK5" i="12"/>
  <c r="DE5" i="12"/>
  <c r="CY5" i="12"/>
  <c r="CS5" i="12"/>
  <c r="CM5" i="12"/>
  <c r="CG5" i="12"/>
  <c r="CA5" i="12"/>
  <c r="DJ5" i="12"/>
  <c r="DD5" i="12"/>
  <c r="CX5" i="12"/>
  <c r="CR5" i="12"/>
  <c r="CL5" i="12"/>
  <c r="CF5" i="12"/>
  <c r="BZ5" i="12"/>
  <c r="DI5" i="12"/>
  <c r="DC5" i="12"/>
  <c r="CW5" i="12"/>
  <c r="CQ5" i="12"/>
  <c r="CK5" i="12"/>
  <c r="CE5" i="12"/>
  <c r="BY5" i="12"/>
  <c r="DH5" i="12"/>
  <c r="DB5" i="12"/>
  <c r="CV5" i="12"/>
  <c r="CP5" i="12"/>
  <c r="CJ5" i="12"/>
  <c r="CD5" i="12"/>
  <c r="BX5" i="12"/>
  <c r="BS5" i="12"/>
  <c r="BE5" i="12"/>
  <c r="AQ5" i="12"/>
  <c r="AC5" i="12"/>
  <c r="O5" i="12"/>
  <c r="BR5" i="12"/>
  <c r="BD5" i="12"/>
  <c r="AP5" i="12"/>
  <c r="AB5" i="12"/>
  <c r="N5" i="12"/>
  <c r="DS5" i="12"/>
  <c r="DR5" i="12"/>
  <c r="BQ5" i="12"/>
  <c r="BC5" i="12"/>
  <c r="AO5" i="12"/>
  <c r="AA5" i="12"/>
  <c r="M5" i="12"/>
  <c r="BP5" i="12"/>
  <c r="BB5" i="12"/>
  <c r="AN5" i="12"/>
  <c r="Z5" i="12"/>
  <c r="L5" i="12"/>
  <c r="BO5" i="12"/>
  <c r="BA5" i="12"/>
  <c r="AM5" i="12"/>
  <c r="Y5" i="12"/>
  <c r="K5" i="12"/>
  <c r="BN5" i="12"/>
  <c r="AZ5" i="12"/>
  <c r="AL5" i="12"/>
  <c r="X5" i="12"/>
  <c r="J5" i="12"/>
  <c r="BM5" i="12"/>
  <c r="AY5" i="12"/>
  <c r="AK5" i="12"/>
  <c r="W5" i="12"/>
  <c r="I5" i="12"/>
  <c r="BL5" i="12"/>
  <c r="AX5" i="12"/>
  <c r="AJ5" i="12"/>
  <c r="V5" i="12"/>
  <c r="H5" i="12"/>
  <c r="BK5" i="12"/>
  <c r="AW5" i="12"/>
  <c r="AI5" i="12"/>
  <c r="U5" i="12"/>
  <c r="G5" i="12"/>
  <c r="BJ5" i="12"/>
  <c r="AV5" i="12"/>
  <c r="AH5" i="12"/>
  <c r="T5" i="12"/>
  <c r="F5" i="12"/>
  <c r="BI5" i="12"/>
  <c r="AU5" i="12"/>
  <c r="AG5" i="12"/>
  <c r="S5" i="12"/>
  <c r="E5" i="12"/>
  <c r="BH5" i="12"/>
  <c r="AT5" i="12"/>
  <c r="AF5" i="12"/>
  <c r="R5" i="12"/>
  <c r="D5" i="12"/>
  <c r="BG5" i="12"/>
  <c r="AE5" i="12"/>
  <c r="Q5" i="12"/>
  <c r="C5" i="12"/>
  <c r="CO5" i="12" l="1"/>
  <c r="CU5" i="12"/>
  <c r="DM5" i="12"/>
  <c r="CC5" i="12"/>
  <c r="BT5" i="12"/>
  <c r="CI5" i="12"/>
  <c r="DG5" i="12"/>
  <c r="P5" i="12"/>
  <c r="DA5" i="12"/>
  <c r="BU92" i="12"/>
</calcChain>
</file>

<file path=xl/sharedStrings.xml><?xml version="1.0" encoding="utf-8"?>
<sst xmlns="http://schemas.openxmlformats.org/spreadsheetml/2006/main" count="4811" uniqueCount="301">
  <si>
    <t>No.</t>
    <phoneticPr fontId="1"/>
  </si>
  <si>
    <t>地点名</t>
    <rPh sb="0" eb="2">
      <t>チテン</t>
    </rPh>
    <rPh sb="2" eb="3">
      <t>メイ</t>
    </rPh>
    <phoneticPr fontId="1"/>
  </si>
  <si>
    <t>弘法トイレ</t>
    <rPh sb="0" eb="2">
      <t>コウボウ</t>
    </rPh>
    <phoneticPr fontId="1"/>
  </si>
  <si>
    <t>弘法バス停</t>
    <rPh sb="0" eb="2">
      <t>コウボウ</t>
    </rPh>
    <rPh sb="4" eb="5">
      <t>テイ</t>
    </rPh>
    <phoneticPr fontId="1"/>
  </si>
  <si>
    <t>オオバコ</t>
    <phoneticPr fontId="1"/>
  </si>
  <si>
    <t>オノエヤナギ</t>
  </si>
  <si>
    <t>ササガヤ</t>
    <phoneticPr fontId="1"/>
  </si>
  <si>
    <t>フキ</t>
    <phoneticPr fontId="1"/>
  </si>
  <si>
    <t>備考</t>
    <rPh sb="0" eb="2">
      <t>ビコウ</t>
    </rPh>
    <phoneticPr fontId="1"/>
  </si>
  <si>
    <t>追分花壇</t>
    <rPh sb="0" eb="2">
      <t>オイワケ</t>
    </rPh>
    <rPh sb="2" eb="4">
      <t>カダン</t>
    </rPh>
    <phoneticPr fontId="1"/>
  </si>
  <si>
    <t>ネジバナ</t>
    <phoneticPr fontId="1"/>
  </si>
  <si>
    <t>ススキ</t>
    <phoneticPr fontId="1"/>
  </si>
  <si>
    <t>イタドリ</t>
    <phoneticPr fontId="1"/>
  </si>
  <si>
    <t>イヌコリヤナギ</t>
    <phoneticPr fontId="1"/>
  </si>
  <si>
    <t>エゾノギシギシ</t>
    <phoneticPr fontId="1"/>
  </si>
  <si>
    <t>オニウシノケグサ</t>
    <phoneticPr fontId="1"/>
  </si>
  <si>
    <t>クサイ</t>
    <phoneticPr fontId="1"/>
  </si>
  <si>
    <t>コナスビ</t>
    <phoneticPr fontId="1"/>
  </si>
  <si>
    <t>コヌカグサ</t>
    <phoneticPr fontId="1"/>
  </si>
  <si>
    <t>シロツメクサ</t>
    <phoneticPr fontId="1"/>
  </si>
  <si>
    <t>スギナ</t>
    <phoneticPr fontId="1"/>
  </si>
  <si>
    <t>スズメノカタビラ</t>
    <phoneticPr fontId="1"/>
  </si>
  <si>
    <t>ノコンギク</t>
    <phoneticPr fontId="1"/>
  </si>
  <si>
    <t>ハルジオン</t>
    <phoneticPr fontId="1"/>
  </si>
  <si>
    <t>ヨモギ</t>
    <phoneticPr fontId="1"/>
  </si>
  <si>
    <t>タチオランダゲンゲ</t>
    <phoneticPr fontId="1"/>
  </si>
  <si>
    <t>エゾノミツモトソウ</t>
    <phoneticPr fontId="1"/>
  </si>
  <si>
    <t>タニソバ</t>
    <phoneticPr fontId="1"/>
  </si>
  <si>
    <t>ニワゼキショウ</t>
    <phoneticPr fontId="1"/>
  </si>
  <si>
    <t>エゾノタカネヤナギ</t>
    <phoneticPr fontId="1"/>
  </si>
  <si>
    <t>ウツボグサ</t>
    <phoneticPr fontId="1"/>
  </si>
  <si>
    <t>弥陀ヶ原　焼却炉跡</t>
    <rPh sb="0" eb="4">
      <t>ミダガハラ</t>
    </rPh>
    <rPh sb="5" eb="8">
      <t>ショウキャクロ</t>
    </rPh>
    <rPh sb="8" eb="9">
      <t>アト</t>
    </rPh>
    <phoneticPr fontId="1"/>
  </si>
  <si>
    <t>フランスギク</t>
    <phoneticPr fontId="1"/>
  </si>
  <si>
    <t>イヌガラシ</t>
    <phoneticPr fontId="1"/>
  </si>
  <si>
    <t>クロコヌカグサ</t>
    <phoneticPr fontId="1"/>
  </si>
  <si>
    <t>セイヨウタンポポ</t>
    <phoneticPr fontId="1"/>
  </si>
  <si>
    <t>ツメクサ</t>
    <phoneticPr fontId="1"/>
  </si>
  <si>
    <t>スカシタゴボウ</t>
    <phoneticPr fontId="1"/>
  </si>
  <si>
    <t>タニウツギ</t>
    <phoneticPr fontId="1"/>
  </si>
  <si>
    <t>11A</t>
    <phoneticPr fontId="1"/>
  </si>
  <si>
    <t>11B</t>
    <phoneticPr fontId="1"/>
  </si>
  <si>
    <t>ヒメジョオン</t>
    <phoneticPr fontId="1"/>
  </si>
  <si>
    <t>ミスジナガハグサ</t>
    <phoneticPr fontId="1"/>
  </si>
  <si>
    <t>アライドツメクサ</t>
    <phoneticPr fontId="1"/>
  </si>
  <si>
    <t>オオウシノケグサ</t>
    <phoneticPr fontId="1"/>
  </si>
  <si>
    <t>キバナカワラマツバ</t>
    <phoneticPr fontId="1"/>
  </si>
  <si>
    <t>外来ミミナグサ</t>
    <rPh sb="0" eb="2">
      <t>ガイライ</t>
    </rPh>
    <phoneticPr fontId="1"/>
  </si>
  <si>
    <t>スイバ×タカネスイバ</t>
    <phoneticPr fontId="1"/>
  </si>
  <si>
    <t>ハンゴンソウ</t>
    <phoneticPr fontId="1"/>
  </si>
  <si>
    <t>ゴマナ</t>
    <phoneticPr fontId="1"/>
  </si>
  <si>
    <t>ツボスミレ</t>
    <phoneticPr fontId="1"/>
  </si>
  <si>
    <t>オオイタドリ</t>
    <phoneticPr fontId="1"/>
  </si>
  <si>
    <t>バッコヤナギ</t>
    <phoneticPr fontId="1"/>
  </si>
  <si>
    <t>イ</t>
    <phoneticPr fontId="1"/>
  </si>
  <si>
    <t>ヨモギ雑種</t>
    <rPh sb="3" eb="5">
      <t>ザッシュ</t>
    </rPh>
    <phoneticPr fontId="1"/>
  </si>
  <si>
    <t>カリヤス</t>
    <phoneticPr fontId="1"/>
  </si>
  <si>
    <t>ヌカボ</t>
    <phoneticPr fontId="1"/>
  </si>
  <si>
    <t>ナガハグサ</t>
    <phoneticPr fontId="1"/>
  </si>
  <si>
    <t>ドロノキ</t>
    <phoneticPr fontId="1"/>
  </si>
  <si>
    <t>種数</t>
    <rPh sb="0" eb="1">
      <t>シュ</t>
    </rPh>
    <rPh sb="1" eb="2">
      <t>スウ</t>
    </rPh>
    <phoneticPr fontId="1"/>
  </si>
  <si>
    <t>アイバソウ</t>
    <phoneticPr fontId="1"/>
  </si>
  <si>
    <t>ホッスガヤ</t>
    <phoneticPr fontId="1"/>
  </si>
  <si>
    <t>コツブアメリカヤガミスゲ</t>
    <phoneticPr fontId="1"/>
  </si>
  <si>
    <t>H22</t>
    <phoneticPr fontId="1"/>
  </si>
  <si>
    <t>H25</t>
    <phoneticPr fontId="1"/>
  </si>
  <si>
    <t>H20</t>
    <phoneticPr fontId="1"/>
  </si>
  <si>
    <t>ヤマハギ</t>
    <phoneticPr fontId="1"/>
  </si>
  <si>
    <t>タガラシ</t>
    <phoneticPr fontId="1"/>
  </si>
  <si>
    <t>スイバ</t>
    <phoneticPr fontId="1"/>
  </si>
  <si>
    <t>セイヨウオダマキ</t>
    <phoneticPr fontId="1"/>
  </si>
  <si>
    <t>ケキツネノボタン</t>
    <phoneticPr fontId="1"/>
  </si>
  <si>
    <t>セイヨウウツボグサ</t>
    <phoneticPr fontId="1"/>
  </si>
  <si>
    <t>ホソイ</t>
    <phoneticPr fontId="1"/>
  </si>
  <si>
    <t>ナデシコ</t>
    <phoneticPr fontId="1"/>
  </si>
  <si>
    <t>カヤツリグサ</t>
    <phoneticPr fontId="1"/>
  </si>
  <si>
    <t>タデ</t>
    <phoneticPr fontId="1"/>
  </si>
  <si>
    <t>アブラナ</t>
    <phoneticPr fontId="1"/>
  </si>
  <si>
    <t>ヤナギ</t>
    <phoneticPr fontId="1"/>
  </si>
  <si>
    <t>シソ</t>
    <phoneticPr fontId="1"/>
  </si>
  <si>
    <t>バラ</t>
    <phoneticPr fontId="1"/>
  </si>
  <si>
    <t>イネ</t>
    <phoneticPr fontId="1"/>
  </si>
  <si>
    <t>アカネ</t>
    <phoneticPr fontId="1"/>
  </si>
  <si>
    <t>キンポウゲ</t>
    <phoneticPr fontId="1"/>
  </si>
  <si>
    <t>サクラソウ</t>
    <phoneticPr fontId="1"/>
  </si>
  <si>
    <t>キク</t>
    <phoneticPr fontId="1"/>
  </si>
  <si>
    <t>マメ</t>
    <phoneticPr fontId="1"/>
  </si>
  <si>
    <t>メギ</t>
    <phoneticPr fontId="1"/>
  </si>
  <si>
    <t>スイカズラ</t>
    <phoneticPr fontId="1"/>
  </si>
  <si>
    <t>スミレ</t>
    <phoneticPr fontId="1"/>
  </si>
  <si>
    <t>アヤメ</t>
    <phoneticPr fontId="1"/>
  </si>
  <si>
    <t>ラン</t>
    <phoneticPr fontId="1"/>
  </si>
  <si>
    <t>ヒメヌカボ</t>
    <phoneticPr fontId="1"/>
  </si>
  <si>
    <t>H26</t>
    <phoneticPr fontId="1"/>
  </si>
  <si>
    <t>アイイタドリ</t>
    <phoneticPr fontId="1"/>
  </si>
  <si>
    <t>タチツボスミレ</t>
    <phoneticPr fontId="1"/>
  </si>
  <si>
    <t>ヒメムカシヨモギ</t>
    <phoneticPr fontId="1"/>
  </si>
  <si>
    <t>ヤマホタルブクロ</t>
    <phoneticPr fontId="1"/>
  </si>
  <si>
    <t>キキョウ</t>
    <phoneticPr fontId="1"/>
  </si>
  <si>
    <t>トクサ</t>
    <phoneticPr fontId="1"/>
  </si>
  <si>
    <t>表3</t>
    <rPh sb="0" eb="1">
      <t>ヒョウ</t>
    </rPh>
    <phoneticPr fontId="1"/>
  </si>
  <si>
    <t>H28</t>
    <phoneticPr fontId="1"/>
  </si>
  <si>
    <t>H27</t>
    <phoneticPr fontId="1"/>
  </si>
  <si>
    <t>トウバナ</t>
    <phoneticPr fontId="1"/>
  </si>
  <si>
    <t>ヌマイチゴツナギ</t>
    <phoneticPr fontId="1"/>
  </si>
  <si>
    <t>エゾコヌカグサ？</t>
    <phoneticPr fontId="1"/>
  </si>
  <si>
    <t>アカメヤナギ</t>
    <phoneticPr fontId="1"/>
  </si>
  <si>
    <t>メノマンネングサ</t>
    <phoneticPr fontId="1"/>
  </si>
  <si>
    <t>ウツボグサは白花</t>
    <rPh sb="6" eb="8">
      <t>シロバナ</t>
    </rPh>
    <phoneticPr fontId="1"/>
  </si>
  <si>
    <t>弥陀ヶ原ホテル前　　　      駐車場</t>
    <rPh sb="0" eb="4">
      <t>ミダガハラ</t>
    </rPh>
    <rPh sb="7" eb="8">
      <t>マエ</t>
    </rPh>
    <rPh sb="17" eb="19">
      <t>チュウシャ</t>
    </rPh>
    <rPh sb="19" eb="20">
      <t>ジョウ</t>
    </rPh>
    <phoneticPr fontId="1"/>
  </si>
  <si>
    <t>（カノコソウ）</t>
    <phoneticPr fontId="1"/>
  </si>
  <si>
    <t>ゼニゴケ</t>
    <phoneticPr fontId="1"/>
  </si>
  <si>
    <t>ヒョウタンゴケ</t>
    <phoneticPr fontId="1"/>
  </si>
  <si>
    <t>オオヨモギ</t>
    <phoneticPr fontId="1"/>
  </si>
  <si>
    <t>追分松尾峠口</t>
    <rPh sb="0" eb="2">
      <t>オイワケ</t>
    </rPh>
    <rPh sb="2" eb="4">
      <t>マツオ</t>
    </rPh>
    <rPh sb="4" eb="5">
      <t>トウゲ</t>
    </rPh>
    <rPh sb="5" eb="6">
      <t>クチ</t>
    </rPh>
    <phoneticPr fontId="1"/>
  </si>
  <si>
    <t>R1</t>
    <phoneticPr fontId="1"/>
  </si>
  <si>
    <t>弥陀ヶ原ホテルと                         休憩所の中間地点</t>
    <rPh sb="0" eb="4">
      <t>ミダガハラ</t>
    </rPh>
    <rPh sb="33" eb="35">
      <t>キュウケイ</t>
    </rPh>
    <rPh sb="35" eb="36">
      <t>ショ</t>
    </rPh>
    <rPh sb="37" eb="39">
      <t>チュウカン</t>
    </rPh>
    <rPh sb="39" eb="41">
      <t>チテン</t>
    </rPh>
    <phoneticPr fontId="1"/>
  </si>
  <si>
    <t>弥陀ヶ原休憩所上部</t>
    <rPh sb="0" eb="4">
      <t>ミダガハラ</t>
    </rPh>
    <rPh sb="4" eb="6">
      <t>キュウケイ</t>
    </rPh>
    <rPh sb="6" eb="7">
      <t>ショ</t>
    </rPh>
    <rPh sb="7" eb="9">
      <t>ジョウブ</t>
    </rPh>
    <phoneticPr fontId="1"/>
  </si>
  <si>
    <t>弥陀ヶ原休憩所下部</t>
    <rPh sb="0" eb="4">
      <t>ミダガハラ</t>
    </rPh>
    <rPh sb="4" eb="6">
      <t>キュウケイ</t>
    </rPh>
    <rPh sb="6" eb="7">
      <t>ショ</t>
    </rPh>
    <rPh sb="7" eb="9">
      <t>カブ</t>
    </rPh>
    <phoneticPr fontId="1"/>
  </si>
  <si>
    <t>弥陀ヶ原遊歩道                         内回り分岐点</t>
    <rPh sb="0" eb="4">
      <t>ミダガハラ</t>
    </rPh>
    <rPh sb="4" eb="7">
      <t>ユウホドウ</t>
    </rPh>
    <rPh sb="32" eb="34">
      <t>ウチマワ</t>
    </rPh>
    <rPh sb="35" eb="38">
      <t>ブンキテン</t>
    </rPh>
    <phoneticPr fontId="1"/>
  </si>
  <si>
    <t>弥陀ヶ原遊歩道 T字路</t>
    <rPh sb="0" eb="4">
      <t>ミダガハラ</t>
    </rPh>
    <rPh sb="4" eb="7">
      <t>ユウホドウ</t>
    </rPh>
    <rPh sb="9" eb="10">
      <t>ジ</t>
    </rPh>
    <rPh sb="10" eb="11">
      <t>ロ</t>
    </rPh>
    <phoneticPr fontId="1"/>
  </si>
  <si>
    <t>H25</t>
    <phoneticPr fontId="1"/>
  </si>
  <si>
    <t>H29</t>
    <phoneticPr fontId="1"/>
  </si>
  <si>
    <t>H30</t>
    <phoneticPr fontId="1"/>
  </si>
  <si>
    <t>H28</t>
    <phoneticPr fontId="1"/>
  </si>
  <si>
    <t>追分料金所花壇</t>
    <rPh sb="0" eb="2">
      <t>オイワケ</t>
    </rPh>
    <rPh sb="2" eb="4">
      <t>リョウキン</t>
    </rPh>
    <rPh sb="4" eb="5">
      <t>ジョ</t>
    </rPh>
    <rPh sb="5" eb="7">
      <t>カダン</t>
    </rPh>
    <phoneticPr fontId="1"/>
  </si>
  <si>
    <t>弥陀ヶ原大駐車場</t>
    <rPh sb="0" eb="4">
      <t>ミダガハラ</t>
    </rPh>
    <rPh sb="4" eb="5">
      <t>ダイ</t>
    </rPh>
    <rPh sb="5" eb="8">
      <t>チュウシャジョウ</t>
    </rPh>
    <phoneticPr fontId="1"/>
  </si>
  <si>
    <t>弥陀ヶ原六甲学院前</t>
    <rPh sb="0" eb="4">
      <t>ミダガハラ</t>
    </rPh>
    <rPh sb="4" eb="6">
      <t>ロッコウ</t>
    </rPh>
    <rPh sb="6" eb="8">
      <t>ガクイン</t>
    </rPh>
    <rPh sb="8" eb="9">
      <t>マエ</t>
    </rPh>
    <phoneticPr fontId="1"/>
  </si>
  <si>
    <t>弥陀ヶ原バス停</t>
    <rPh sb="0" eb="4">
      <t>ミダガハラ</t>
    </rPh>
    <rPh sb="6" eb="7">
      <t>テイ</t>
    </rPh>
    <phoneticPr fontId="1"/>
  </si>
  <si>
    <t>弥陀ヶ原散策路入口</t>
    <rPh sb="0" eb="4">
      <t>ミダガハラ</t>
    </rPh>
    <rPh sb="4" eb="6">
      <t>サンサク</t>
    </rPh>
    <rPh sb="6" eb="7">
      <t>ロ</t>
    </rPh>
    <rPh sb="7" eb="9">
      <t>イリグチ</t>
    </rPh>
    <phoneticPr fontId="1"/>
  </si>
  <si>
    <t>弥陀ヶ原ホテル裏</t>
    <rPh sb="0" eb="4">
      <t>ミダガハラ</t>
    </rPh>
    <rPh sb="7" eb="8">
      <t>ウラ</t>
    </rPh>
    <phoneticPr fontId="1"/>
  </si>
  <si>
    <t>弥陀ヶ原立山荘前</t>
    <rPh sb="0" eb="4">
      <t>ミダガハラ</t>
    </rPh>
    <rPh sb="4" eb="6">
      <t>タテヤマ</t>
    </rPh>
    <rPh sb="6" eb="7">
      <t>ソウ</t>
    </rPh>
    <rPh sb="7" eb="8">
      <t>マエ</t>
    </rPh>
    <phoneticPr fontId="1"/>
  </si>
  <si>
    <t>カルデラ展望台入口</t>
    <rPh sb="4" eb="7">
      <t>テンボウダイ</t>
    </rPh>
    <rPh sb="7" eb="9">
      <t>イリグチ</t>
    </rPh>
    <phoneticPr fontId="1"/>
  </si>
  <si>
    <t>ノボロギク</t>
    <phoneticPr fontId="1"/>
  </si>
  <si>
    <t>カモガヤ</t>
    <phoneticPr fontId="1"/>
  </si>
  <si>
    <t>アライドツメクサ</t>
    <phoneticPr fontId="1"/>
  </si>
  <si>
    <t>美松駐車場</t>
    <rPh sb="0" eb="1">
      <t>ミ</t>
    </rPh>
    <rPh sb="1" eb="2">
      <t>マツ</t>
    </rPh>
    <rPh sb="2" eb="4">
      <t>チュウシャ</t>
    </rPh>
    <rPh sb="4" eb="5">
      <t>ジョウ</t>
    </rPh>
    <phoneticPr fontId="1"/>
  </si>
  <si>
    <t>天狗の鼻第２駐車場</t>
    <rPh sb="0" eb="2">
      <t>テング</t>
    </rPh>
    <rPh sb="3" eb="4">
      <t>ハナ</t>
    </rPh>
    <rPh sb="4" eb="5">
      <t>ダイ</t>
    </rPh>
    <rPh sb="6" eb="8">
      <t>チュウシャ</t>
    </rPh>
    <rPh sb="8" eb="9">
      <t>ジョウ</t>
    </rPh>
    <phoneticPr fontId="1"/>
  </si>
  <si>
    <t>天狗平山荘周辺</t>
    <rPh sb="0" eb="2">
      <t>テング</t>
    </rPh>
    <rPh sb="2" eb="3">
      <t>ダイラ</t>
    </rPh>
    <rPh sb="3" eb="5">
      <t>サンソウ</t>
    </rPh>
    <rPh sb="5" eb="7">
      <t>シュウヘン</t>
    </rPh>
    <phoneticPr fontId="1"/>
  </si>
  <si>
    <t>天狗平駐車場</t>
    <rPh sb="0" eb="2">
      <t>テング</t>
    </rPh>
    <rPh sb="2" eb="3">
      <t>ダイラ</t>
    </rPh>
    <rPh sb="3" eb="6">
      <t>チュウシャジョウ</t>
    </rPh>
    <phoneticPr fontId="1"/>
  </si>
  <si>
    <t>天狗平歩道起点</t>
    <rPh sb="0" eb="2">
      <t>テング</t>
    </rPh>
    <rPh sb="2" eb="3">
      <t>ダイラ</t>
    </rPh>
    <rPh sb="3" eb="5">
      <t>ホドウ</t>
    </rPh>
    <rPh sb="5" eb="7">
      <t>キテン</t>
    </rPh>
    <phoneticPr fontId="1"/>
  </si>
  <si>
    <t>国見第1駐車場</t>
    <rPh sb="0" eb="2">
      <t>クニミ</t>
    </rPh>
    <rPh sb="2" eb="3">
      <t>ダイ</t>
    </rPh>
    <rPh sb="4" eb="7">
      <t>チュウシャジョウ</t>
    </rPh>
    <phoneticPr fontId="1"/>
  </si>
  <si>
    <t>国見第２駐車場</t>
    <rPh sb="0" eb="2">
      <t>クニミ</t>
    </rPh>
    <rPh sb="2" eb="3">
      <t>ダイ</t>
    </rPh>
    <rPh sb="4" eb="7">
      <t>チュウシャジョウ</t>
    </rPh>
    <phoneticPr fontId="1"/>
  </si>
  <si>
    <t>大谷待避所</t>
    <rPh sb="0" eb="2">
      <t>オオタニ</t>
    </rPh>
    <rPh sb="2" eb="5">
      <t>タイヒジョ</t>
    </rPh>
    <phoneticPr fontId="1"/>
  </si>
  <si>
    <t>室堂第2駐車場</t>
    <rPh sb="0" eb="1">
      <t>ムロ</t>
    </rPh>
    <rPh sb="1" eb="2">
      <t>ドウ</t>
    </rPh>
    <rPh sb="2" eb="3">
      <t>ダイ</t>
    </rPh>
    <rPh sb="4" eb="6">
      <t>チュウシャ</t>
    </rPh>
    <rPh sb="6" eb="7">
      <t>ジョウ</t>
    </rPh>
    <phoneticPr fontId="1"/>
  </si>
  <si>
    <t>室堂ロータリー</t>
    <rPh sb="0" eb="1">
      <t>ムロ</t>
    </rPh>
    <rPh sb="1" eb="2">
      <t>ドウ</t>
    </rPh>
    <phoneticPr fontId="1"/>
  </si>
  <si>
    <t>立山センター車道</t>
    <rPh sb="0" eb="2">
      <t>タテヤマ</t>
    </rPh>
    <rPh sb="6" eb="8">
      <t>シャドウ</t>
    </rPh>
    <phoneticPr fontId="1"/>
  </si>
  <si>
    <t>立山センター周辺</t>
    <rPh sb="0" eb="2">
      <t>タテヤマ</t>
    </rPh>
    <rPh sb="6" eb="8">
      <t>シュウヘン</t>
    </rPh>
    <phoneticPr fontId="1"/>
  </si>
  <si>
    <t>室堂ターミナル園地</t>
    <rPh sb="0" eb="1">
      <t>ムロ</t>
    </rPh>
    <rPh sb="1" eb="2">
      <t>ドウ</t>
    </rPh>
    <rPh sb="7" eb="9">
      <t>エンチ</t>
    </rPh>
    <phoneticPr fontId="1"/>
  </si>
  <si>
    <t>室堂平広場遊歩道</t>
    <rPh sb="0" eb="1">
      <t>ムロ</t>
    </rPh>
    <rPh sb="1" eb="2">
      <t>ドウ</t>
    </rPh>
    <rPh sb="2" eb="3">
      <t>ダイラ</t>
    </rPh>
    <rPh sb="3" eb="5">
      <t>ヒロバ</t>
    </rPh>
    <rPh sb="5" eb="8">
      <t>ユウホドウ</t>
    </rPh>
    <phoneticPr fontId="1"/>
  </si>
  <si>
    <t>供養塔広場</t>
    <rPh sb="0" eb="2">
      <t>クヨウ</t>
    </rPh>
    <rPh sb="2" eb="3">
      <t>トウ</t>
    </rPh>
    <rPh sb="3" eb="5">
      <t>ヒロバ</t>
    </rPh>
    <phoneticPr fontId="1"/>
  </si>
  <si>
    <t>みくりが池展望台</t>
    <rPh sb="4" eb="5">
      <t>イケ</t>
    </rPh>
    <rPh sb="5" eb="8">
      <t>テンボウダイ</t>
    </rPh>
    <phoneticPr fontId="1"/>
  </si>
  <si>
    <t>みくりが池遊歩道</t>
    <rPh sb="4" eb="5">
      <t>イケ</t>
    </rPh>
    <rPh sb="5" eb="8">
      <t>ユウホドウ</t>
    </rPh>
    <phoneticPr fontId="1"/>
  </si>
  <si>
    <t>室堂山荘横</t>
    <rPh sb="0" eb="1">
      <t>ムロ</t>
    </rPh>
    <rPh sb="1" eb="2">
      <t>ドウ</t>
    </rPh>
    <rPh sb="2" eb="4">
      <t>サンソウ</t>
    </rPh>
    <rPh sb="4" eb="5">
      <t>ヨコ</t>
    </rPh>
    <phoneticPr fontId="1"/>
  </si>
  <si>
    <t>玉殿岩屋への道</t>
    <rPh sb="0" eb="1">
      <t>タマ</t>
    </rPh>
    <rPh sb="1" eb="2">
      <t>ドノ</t>
    </rPh>
    <rPh sb="2" eb="4">
      <t>イワヤ</t>
    </rPh>
    <rPh sb="6" eb="7">
      <t>ミチ</t>
    </rPh>
    <phoneticPr fontId="1"/>
  </si>
  <si>
    <t>エンマ台</t>
    <rPh sb="3" eb="4">
      <t>ダイ</t>
    </rPh>
    <phoneticPr fontId="1"/>
  </si>
  <si>
    <t>表</t>
    <rPh sb="0" eb="1">
      <t>ヒョウ</t>
    </rPh>
    <phoneticPr fontId="1"/>
  </si>
  <si>
    <t>頻度</t>
    <rPh sb="0" eb="2">
      <t>ヒンド</t>
    </rPh>
    <phoneticPr fontId="1"/>
  </si>
  <si>
    <t>天狗の鼻第1駐車場</t>
    <rPh sb="0" eb="2">
      <t>テング</t>
    </rPh>
    <rPh sb="4" eb="5">
      <t/>
    </rPh>
    <phoneticPr fontId="1"/>
  </si>
  <si>
    <t>立山高原ホテル　　  　（浄化槽）</t>
    <rPh sb="0" eb="2">
      <t>タテヤマ</t>
    </rPh>
    <rPh sb="2" eb="4">
      <t>コウゲン</t>
    </rPh>
    <rPh sb="13" eb="16">
      <t>ジョウカソウ</t>
    </rPh>
    <phoneticPr fontId="1"/>
  </si>
  <si>
    <t>立山高原ホテル周辺</t>
    <rPh sb="0" eb="2">
      <t>タテヤマ</t>
    </rPh>
    <rPh sb="2" eb="4">
      <t>コウゲン</t>
    </rPh>
    <rPh sb="7" eb="9">
      <t>シュウヘン</t>
    </rPh>
    <phoneticPr fontId="1"/>
  </si>
  <si>
    <t>立山高原ホテル～　天狗平山荘</t>
    <rPh sb="0" eb="2">
      <t>タテヤマ</t>
    </rPh>
    <rPh sb="2" eb="4">
      <t>コウゲン</t>
    </rPh>
    <rPh sb="9" eb="11">
      <t>テング</t>
    </rPh>
    <rPh sb="11" eb="12">
      <t>ダイラ</t>
    </rPh>
    <rPh sb="12" eb="14">
      <t>サンソウ</t>
    </rPh>
    <phoneticPr fontId="1"/>
  </si>
  <si>
    <t>地獄谷への遊歩道</t>
    <rPh sb="0" eb="2">
      <t>ジゴク</t>
    </rPh>
    <rPh sb="2" eb="3">
      <t>タニ</t>
    </rPh>
    <rPh sb="5" eb="8">
      <t>ユウホドウ</t>
    </rPh>
    <rPh sb="7" eb="8">
      <t>ミチ</t>
    </rPh>
    <phoneticPr fontId="1"/>
  </si>
  <si>
    <t>室堂山荘遊歩道</t>
    <rPh sb="0" eb="1">
      <t>ムロ</t>
    </rPh>
    <rPh sb="1" eb="2">
      <t>ドウ</t>
    </rPh>
    <rPh sb="2" eb="4">
      <t>サンソウ</t>
    </rPh>
    <rPh sb="4" eb="7">
      <t>ユウホドウ</t>
    </rPh>
    <phoneticPr fontId="1"/>
  </si>
  <si>
    <t>ミドリガ池遊歩道</t>
    <rPh sb="4" eb="5">
      <t>イケ</t>
    </rPh>
    <rPh sb="5" eb="8">
      <t>ユウホドウ</t>
    </rPh>
    <phoneticPr fontId="1"/>
  </si>
  <si>
    <t>ミドリガ池広場</t>
    <rPh sb="4" eb="5">
      <t>イケ</t>
    </rPh>
    <rPh sb="5" eb="7">
      <t>ヒロバ</t>
    </rPh>
    <phoneticPr fontId="1"/>
  </si>
  <si>
    <t>弥陀ヶ原ホテルと 休憩所の中間地点</t>
    <rPh sb="0" eb="4">
      <t>ミダガハラ</t>
    </rPh>
    <rPh sb="9" eb="11">
      <t>キュウケイ</t>
    </rPh>
    <rPh sb="11" eb="12">
      <t>ショ</t>
    </rPh>
    <rPh sb="13" eb="15">
      <t>チュウカン</t>
    </rPh>
    <rPh sb="15" eb="17">
      <t>チテン</t>
    </rPh>
    <phoneticPr fontId="1"/>
  </si>
  <si>
    <t>弥陀ヶ原遊歩道内回り分岐点</t>
    <rPh sb="0" eb="4">
      <t>ミダガハラ</t>
    </rPh>
    <rPh sb="4" eb="7">
      <t>ユウホドウ</t>
    </rPh>
    <rPh sb="7" eb="9">
      <t>ウチマワ</t>
    </rPh>
    <rPh sb="10" eb="13">
      <t>ブンキテン</t>
    </rPh>
    <phoneticPr fontId="1"/>
  </si>
  <si>
    <t>弥陀ヶ原遊歩道T字路</t>
    <rPh sb="0" eb="4">
      <t>ミダガハラ</t>
    </rPh>
    <rPh sb="4" eb="7">
      <t>ユウホドウ</t>
    </rPh>
    <rPh sb="8" eb="9">
      <t>ジ</t>
    </rPh>
    <rPh sb="9" eb="10">
      <t>ロ</t>
    </rPh>
    <phoneticPr fontId="1"/>
  </si>
  <si>
    <t>大 谷</t>
    <rPh sb="0" eb="1">
      <t>ダイ</t>
    </rPh>
    <rPh sb="2" eb="3">
      <t>タニ</t>
    </rPh>
    <phoneticPr fontId="1"/>
  </si>
  <si>
    <t>H21</t>
    <phoneticPr fontId="1"/>
  </si>
  <si>
    <t>H23</t>
    <phoneticPr fontId="1"/>
  </si>
  <si>
    <t>R2</t>
    <phoneticPr fontId="1"/>
  </si>
  <si>
    <t>H24</t>
    <phoneticPr fontId="1"/>
  </si>
  <si>
    <t>R3</t>
    <phoneticPr fontId="1"/>
  </si>
  <si>
    <t>ノアザミ</t>
    <phoneticPr fontId="1"/>
  </si>
  <si>
    <t>ヨシ？</t>
    <phoneticPr fontId="1"/>
  </si>
  <si>
    <t>舗装の割れ目に侵入が目立つ</t>
    <rPh sb="0" eb="2">
      <t>ホソウ</t>
    </rPh>
    <rPh sb="3" eb="4">
      <t>ワ</t>
    </rPh>
    <rPh sb="5" eb="6">
      <t>メ</t>
    </rPh>
    <rPh sb="7" eb="9">
      <t>シンニュウ</t>
    </rPh>
    <rPh sb="10" eb="12">
      <t>メダ</t>
    </rPh>
    <phoneticPr fontId="1"/>
  </si>
  <si>
    <t>在来種のアシボソスゲが増加</t>
    <rPh sb="0" eb="3">
      <t>ザイライシュ</t>
    </rPh>
    <rPh sb="11" eb="13">
      <t>ゾウカ</t>
    </rPh>
    <phoneticPr fontId="1"/>
  </si>
  <si>
    <t>ヨモギ除去直後</t>
    <rPh sb="3" eb="5">
      <t>ジョキョ</t>
    </rPh>
    <rPh sb="5" eb="7">
      <t>チョクゴ</t>
    </rPh>
    <phoneticPr fontId="1"/>
  </si>
  <si>
    <t>イタドリは除去後の出芽</t>
    <rPh sb="5" eb="7">
      <t>ジョキョ</t>
    </rPh>
    <rPh sb="7" eb="8">
      <t>ゴ</t>
    </rPh>
    <rPh sb="9" eb="11">
      <t>シュツガ</t>
    </rPh>
    <phoneticPr fontId="1"/>
  </si>
  <si>
    <t>歩道閉鎖のため欠測</t>
    <rPh sb="0" eb="2">
      <t>ホドウ</t>
    </rPh>
    <rPh sb="2" eb="4">
      <t>ヘイサ</t>
    </rPh>
    <rPh sb="7" eb="8">
      <t>ケツ</t>
    </rPh>
    <rPh sb="8" eb="9">
      <t>ソク</t>
    </rPh>
    <phoneticPr fontId="1"/>
  </si>
  <si>
    <t>カノコソウ増加</t>
    <rPh sb="5" eb="7">
      <t>ゾウカ</t>
    </rPh>
    <phoneticPr fontId="1"/>
  </si>
  <si>
    <t>H23年の</t>
    <rPh sb="3" eb="4">
      <t>ネン</t>
    </rPh>
    <phoneticPr fontId="1"/>
  </si>
  <si>
    <t>No.19～No.23は天狗平山荘従業員によってセイヨウタンポポ、ヨモギ、フランスギクを重点的に除去。</t>
    <rPh sb="12" eb="14">
      <t>テング</t>
    </rPh>
    <rPh sb="14" eb="15">
      <t>ダイラ</t>
    </rPh>
    <rPh sb="15" eb="17">
      <t>サンソウ</t>
    </rPh>
    <rPh sb="17" eb="20">
      <t>ジュウギョウイン</t>
    </rPh>
    <rPh sb="44" eb="47">
      <t>ジュウテンテキ</t>
    </rPh>
    <rPh sb="48" eb="50">
      <t>ジョキョ</t>
    </rPh>
    <phoneticPr fontId="1"/>
  </si>
  <si>
    <t>その結果、４～５年でセイヨウタンポポとフランスギクはほぼ消滅。</t>
    <rPh sb="2" eb="4">
      <t>ケッカ</t>
    </rPh>
    <rPh sb="8" eb="9">
      <t>ネン</t>
    </rPh>
    <rPh sb="28" eb="30">
      <t>ショウメツ</t>
    </rPh>
    <phoneticPr fontId="1"/>
  </si>
  <si>
    <t>ミミナグサsp.</t>
    <phoneticPr fontId="1"/>
  </si>
  <si>
    <t>ヨツバヒヨドリ</t>
    <phoneticPr fontId="1"/>
  </si>
  <si>
    <t>R4</t>
    <phoneticPr fontId="1"/>
  </si>
  <si>
    <t>弘法第一駐車場</t>
    <rPh sb="0" eb="2">
      <t>コウボウ</t>
    </rPh>
    <rPh sb="2" eb="7">
      <t>ダイイチチュウシャジョウ</t>
    </rPh>
    <phoneticPr fontId="1"/>
  </si>
  <si>
    <t>雑種ヨモギ</t>
    <rPh sb="0" eb="2">
      <t>ザッシュ</t>
    </rPh>
    <phoneticPr fontId="1"/>
  </si>
  <si>
    <t>イヌトウバナ</t>
    <phoneticPr fontId="1"/>
  </si>
  <si>
    <t>ノミノフスマ</t>
    <phoneticPr fontId="1"/>
  </si>
  <si>
    <t>2*</t>
    <phoneticPr fontId="1"/>
  </si>
  <si>
    <t>*除去</t>
    <rPh sb="1" eb="3">
      <t>ジョキョ</t>
    </rPh>
    <phoneticPr fontId="1"/>
  </si>
  <si>
    <t>Poa sp.（ヌマイチゴツナギ）</t>
    <phoneticPr fontId="1"/>
  </si>
  <si>
    <t>Juncus sp.</t>
    <phoneticPr fontId="1"/>
  </si>
  <si>
    <t>セイヨウウツボグサ（小・白花）</t>
    <rPh sb="10" eb="11">
      <t>ショウ</t>
    </rPh>
    <rPh sb="12" eb="13">
      <t>シロ</t>
    </rPh>
    <rPh sb="13" eb="14">
      <t>バナ</t>
    </rPh>
    <phoneticPr fontId="1"/>
  </si>
  <si>
    <t>セイヨウウツボグサ（大・白花）</t>
    <rPh sb="10" eb="11">
      <t>ダイ</t>
    </rPh>
    <rPh sb="12" eb="13">
      <t>シロ</t>
    </rPh>
    <rPh sb="13" eb="14">
      <t>バナ</t>
    </rPh>
    <phoneticPr fontId="1"/>
  </si>
  <si>
    <t>セイヨウウツボグサ（大・紫花）</t>
    <rPh sb="10" eb="11">
      <t>ダイ</t>
    </rPh>
    <rPh sb="12" eb="13">
      <t>ムラサキ</t>
    </rPh>
    <rPh sb="13" eb="14">
      <t>ハナ</t>
    </rPh>
    <phoneticPr fontId="1"/>
  </si>
  <si>
    <t>コガネスゲ</t>
    <phoneticPr fontId="1"/>
  </si>
  <si>
    <t>調査地</t>
    <rPh sb="0" eb="3">
      <t>チョウサチ</t>
    </rPh>
    <phoneticPr fontId="1"/>
  </si>
  <si>
    <t>弥陀ヶ原遊歩道</t>
    <rPh sb="0" eb="4">
      <t>ミダガハラ</t>
    </rPh>
    <rPh sb="4" eb="7">
      <t>ユウホドウ</t>
    </rPh>
    <phoneticPr fontId="1"/>
  </si>
  <si>
    <t>Iris ｓｐ.</t>
    <phoneticPr fontId="1"/>
  </si>
  <si>
    <t>バッコオノエヤナギ</t>
    <phoneticPr fontId="1"/>
  </si>
  <si>
    <t>R5</t>
    <phoneticPr fontId="1"/>
  </si>
  <si>
    <t>ミドリハコベ</t>
    <phoneticPr fontId="1"/>
  </si>
  <si>
    <t>天狗平休憩所跡地
（範囲内）</t>
    <rPh sb="0" eb="2">
      <t>テング</t>
    </rPh>
    <rPh sb="2" eb="3">
      <t>ダイラ</t>
    </rPh>
    <rPh sb="3" eb="5">
      <t>キュウケイ</t>
    </rPh>
    <rPh sb="5" eb="6">
      <t>ショ</t>
    </rPh>
    <rPh sb="6" eb="8">
      <t>アトチ</t>
    </rPh>
    <rPh sb="10" eb="13">
      <t>ハンイナイ</t>
    </rPh>
    <phoneticPr fontId="1"/>
  </si>
  <si>
    <t>天狗平休憩所跡地
（範囲外）</t>
    <rPh sb="0" eb="2">
      <t>テング</t>
    </rPh>
    <rPh sb="2" eb="3">
      <t>ダイラ</t>
    </rPh>
    <rPh sb="3" eb="5">
      <t>キュウケイ</t>
    </rPh>
    <rPh sb="5" eb="6">
      <t>ショ</t>
    </rPh>
    <rPh sb="6" eb="8">
      <t>アトチ</t>
    </rPh>
    <rPh sb="10" eb="13">
      <t>ハンイガイ</t>
    </rPh>
    <phoneticPr fontId="1"/>
  </si>
  <si>
    <t>(ハンゴンソウ)</t>
    <phoneticPr fontId="1"/>
  </si>
  <si>
    <t>25-2</t>
    <phoneticPr fontId="1"/>
  </si>
  <si>
    <t>R6</t>
    <phoneticPr fontId="1"/>
  </si>
  <si>
    <t>r6</t>
    <phoneticPr fontId="1"/>
  </si>
  <si>
    <t>（キオン）</t>
    <phoneticPr fontId="1"/>
  </si>
  <si>
    <t>(ヤマアゼスゲ)</t>
    <phoneticPr fontId="1"/>
  </si>
  <si>
    <t>ガキの広場上部</t>
    <rPh sb="3" eb="5">
      <t>ヒロバ</t>
    </rPh>
    <rPh sb="5" eb="7">
      <t>ジョウブ</t>
    </rPh>
    <phoneticPr fontId="1"/>
  </si>
  <si>
    <t>ガキの広場下部</t>
    <rPh sb="3" eb="5">
      <t>ヒロバ</t>
    </rPh>
    <rPh sb="5" eb="7">
      <t>カブ</t>
    </rPh>
    <phoneticPr fontId="1"/>
  </si>
  <si>
    <t>室堂平</t>
    <rPh sb="0" eb="2">
      <t>ムロドウ</t>
    </rPh>
    <rPh sb="2" eb="3">
      <t>ダイラ</t>
    </rPh>
    <phoneticPr fontId="1"/>
  </si>
  <si>
    <t>表3-5-1-1　令和6年度調査区全体での外来種出現状況</t>
    <rPh sb="0" eb="1">
      <t>ヒョウ</t>
    </rPh>
    <rPh sb="9" eb="11">
      <t>レイワ</t>
    </rPh>
    <rPh sb="12" eb="14">
      <t>ネンド</t>
    </rPh>
    <rPh sb="14" eb="16">
      <t>チョウサ</t>
    </rPh>
    <rPh sb="16" eb="19">
      <t>クゼンタイ</t>
    </rPh>
    <rPh sb="21" eb="28">
      <t>ガイライシュシュツゲンジョウキョウ</t>
    </rPh>
    <phoneticPr fontId="1"/>
  </si>
  <si>
    <t>(バッコヤナギ)</t>
    <phoneticPr fontId="1"/>
  </si>
  <si>
    <t>ヤマクルマバナ</t>
    <phoneticPr fontId="1"/>
  </si>
  <si>
    <t>R7</t>
    <phoneticPr fontId="1"/>
  </si>
  <si>
    <t>コウライシバ</t>
    <phoneticPr fontId="1"/>
  </si>
  <si>
    <t>（コシノネズミガヤ）</t>
    <phoneticPr fontId="1"/>
  </si>
  <si>
    <t>弘法第二駐車場</t>
    <rPh sb="0" eb="2">
      <t>コウボウ</t>
    </rPh>
    <rPh sb="2" eb="7">
      <t>ダイニチュウシャジョウ</t>
    </rPh>
    <phoneticPr fontId="1"/>
  </si>
  <si>
    <t>追分駐車場（立土）</t>
    <rPh sb="0" eb="2">
      <t>オイワケ</t>
    </rPh>
    <rPh sb="2" eb="5">
      <t>チュウシャジョウ</t>
    </rPh>
    <rPh sb="6" eb="7">
      <t>タチ</t>
    </rPh>
    <rPh sb="7" eb="8">
      <t>ド</t>
    </rPh>
    <phoneticPr fontId="1"/>
  </si>
  <si>
    <t>追分駐車場（松尾峠入口）</t>
    <rPh sb="0" eb="2">
      <t>オイワケ</t>
    </rPh>
    <rPh sb="2" eb="5">
      <t>チュウシャジョウ</t>
    </rPh>
    <rPh sb="6" eb="8">
      <t>マツオ</t>
    </rPh>
    <rPh sb="8" eb="9">
      <t>トウゲ</t>
    </rPh>
    <rPh sb="9" eb="10">
      <t>イ</t>
    </rPh>
    <rPh sb="10" eb="11">
      <t>クチ</t>
    </rPh>
    <phoneticPr fontId="1"/>
  </si>
  <si>
    <t>追分駐車場緑化帯</t>
    <rPh sb="0" eb="2">
      <t>オイワケ</t>
    </rPh>
    <rPh sb="2" eb="5">
      <t>チュウシャジョウ</t>
    </rPh>
    <rPh sb="5" eb="8">
      <t>リョッカタイ</t>
    </rPh>
    <phoneticPr fontId="1"/>
  </si>
  <si>
    <t>弥陀ヶ原駐車場</t>
    <rPh sb="0" eb="4">
      <t>ミダガハラ</t>
    </rPh>
    <rPh sb="4" eb="7">
      <t>チュウシャジョウ</t>
    </rPh>
    <phoneticPr fontId="1"/>
  </si>
  <si>
    <t>カノコソウ</t>
    <phoneticPr fontId="1"/>
  </si>
  <si>
    <t>タヌキラン</t>
    <phoneticPr fontId="1"/>
  </si>
  <si>
    <t>六甲学院前（緑化復元地）</t>
    <rPh sb="0" eb="2">
      <t>ロッコウ</t>
    </rPh>
    <rPh sb="2" eb="4">
      <t>ガクイン</t>
    </rPh>
    <rPh sb="4" eb="5">
      <t>マエ</t>
    </rPh>
    <rPh sb="6" eb="11">
      <t>リョッカフクゲンチ</t>
    </rPh>
    <phoneticPr fontId="1"/>
  </si>
  <si>
    <t>Juncus compressus</t>
    <phoneticPr fontId="1"/>
  </si>
  <si>
    <t>オオバヤナギ</t>
    <phoneticPr fontId="1"/>
  </si>
  <si>
    <t>弥陀ヶ原ホテル　　　      
   駐車場</t>
    <rPh sb="0" eb="4">
      <t>ミダガハラ</t>
    </rPh>
    <rPh sb="20" eb="22">
      <t>チュウシャ</t>
    </rPh>
    <rPh sb="22" eb="23">
      <t>ジョウ</t>
    </rPh>
    <phoneticPr fontId="1"/>
  </si>
  <si>
    <t>弥陀ヶ原立山荘入口</t>
    <rPh sb="0" eb="4">
      <t>ミダガハラ</t>
    </rPh>
    <rPh sb="4" eb="6">
      <t>タテヤマ</t>
    </rPh>
    <rPh sb="6" eb="7">
      <t>ソウ</t>
    </rPh>
    <rPh sb="7" eb="9">
      <t>イリグチ</t>
    </rPh>
    <phoneticPr fontId="1"/>
  </si>
  <si>
    <t>弥陀ヶ原カルデラ展望台入口</t>
    <rPh sb="0" eb="4">
      <t>ミダガハラ</t>
    </rPh>
    <rPh sb="8" eb="11">
      <t>テンボウダイ</t>
    </rPh>
    <rPh sb="11" eb="13">
      <t>イリグチ</t>
    </rPh>
    <phoneticPr fontId="1"/>
  </si>
  <si>
    <t>R7</t>
    <phoneticPr fontId="1"/>
  </si>
  <si>
    <t>表3-5-1-1　令和７年度調査区全体での外来種出現状況</t>
    <rPh sb="0" eb="1">
      <t>ヒョウ</t>
    </rPh>
    <rPh sb="9" eb="11">
      <t>レイワ</t>
    </rPh>
    <rPh sb="12" eb="14">
      <t>ネンド</t>
    </rPh>
    <rPh sb="14" eb="16">
      <t>チョウサ</t>
    </rPh>
    <rPh sb="16" eb="19">
      <t>クゼンタイ</t>
    </rPh>
    <rPh sb="21" eb="28">
      <t>ガイライシュシュツゲンジョウキョウ</t>
    </rPh>
    <phoneticPr fontId="1"/>
  </si>
  <si>
    <t>弘法～弥陀ヶ原</t>
    <rPh sb="0" eb="2">
      <t>コウボウ</t>
    </rPh>
    <rPh sb="3" eb="7">
      <t>ミダガハラ</t>
    </rPh>
    <phoneticPr fontId="1"/>
  </si>
  <si>
    <t>頻度</t>
  </si>
  <si>
    <t>頻度</t>
    <rPh sb="0" eb="2">
      <t>ヒンド</t>
    </rPh>
    <phoneticPr fontId="1"/>
  </si>
  <si>
    <t>弘法・追分</t>
    <rPh sb="0" eb="2">
      <t>コウボウ</t>
    </rPh>
    <rPh sb="3" eb="5">
      <t>オイワケ</t>
    </rPh>
    <phoneticPr fontId="1"/>
  </si>
  <si>
    <t>弥陀ヶ原P</t>
    <rPh sb="0" eb="4">
      <t>ミダガハラ</t>
    </rPh>
    <phoneticPr fontId="1"/>
  </si>
  <si>
    <t>弥陀ヶ原H</t>
    <rPh sb="0" eb="4">
      <t>ミダガハラ</t>
    </rPh>
    <phoneticPr fontId="1"/>
  </si>
  <si>
    <t>美松</t>
    <rPh sb="0" eb="2">
      <t>ミマツ</t>
    </rPh>
    <phoneticPr fontId="1"/>
  </si>
  <si>
    <t>天狗平</t>
    <rPh sb="0" eb="2">
      <t>テング</t>
    </rPh>
    <rPh sb="2" eb="3">
      <t>タイラ</t>
    </rPh>
    <phoneticPr fontId="1"/>
  </si>
  <si>
    <t>国見</t>
    <rPh sb="0" eb="2">
      <t>クニミ</t>
    </rPh>
    <phoneticPr fontId="1"/>
  </si>
  <si>
    <t>室堂園地西</t>
    <rPh sb="0" eb="1">
      <t>ムロ</t>
    </rPh>
    <rPh sb="1" eb="2">
      <t>ドウ</t>
    </rPh>
    <rPh sb="2" eb="4">
      <t>エンチ</t>
    </rPh>
    <rPh sb="4" eb="5">
      <t>ニシ</t>
    </rPh>
    <phoneticPr fontId="1"/>
  </si>
  <si>
    <t>室堂園地東</t>
    <rPh sb="0" eb="1">
      <t>ムロ</t>
    </rPh>
    <rPh sb="1" eb="2">
      <t>ドウ</t>
    </rPh>
    <rPh sb="2" eb="4">
      <t>エンチ</t>
    </rPh>
    <rPh sb="4" eb="5">
      <t>ヒガシ</t>
    </rPh>
    <phoneticPr fontId="1"/>
  </si>
  <si>
    <t>調査区数</t>
    <rPh sb="0" eb="3">
      <t>チョウサク</t>
    </rPh>
    <rPh sb="3" eb="4">
      <t>スウ</t>
    </rPh>
    <phoneticPr fontId="1"/>
  </si>
  <si>
    <t>表7-4-2</t>
    <rPh sb="0" eb="1">
      <t>ヒョウ</t>
    </rPh>
    <phoneticPr fontId="1"/>
  </si>
  <si>
    <t>●</t>
    <phoneticPr fontId="1"/>
  </si>
  <si>
    <t>室堂園地西</t>
    <rPh sb="0" eb="1">
      <t>ムロ</t>
    </rPh>
    <rPh sb="1" eb="2">
      <t>ドウ</t>
    </rPh>
    <rPh sb="2" eb="4">
      <t>エンチ</t>
    </rPh>
    <phoneticPr fontId="1"/>
  </si>
  <si>
    <t>種数（79種）</t>
    <rPh sb="0" eb="2">
      <t>シュスウ</t>
    </rPh>
    <rPh sb="5" eb="6">
      <t>シュ</t>
    </rPh>
    <phoneticPr fontId="1"/>
  </si>
  <si>
    <t>全種数に対する％</t>
    <rPh sb="0" eb="3">
      <t>ゼンシュスウ</t>
    </rPh>
    <rPh sb="4" eb="5">
      <t>タイ</t>
    </rPh>
    <phoneticPr fontId="1"/>
  </si>
  <si>
    <t>表7-4-1</t>
    <rPh sb="0" eb="1">
      <t>ヒョウ</t>
    </rPh>
    <phoneticPr fontId="1"/>
  </si>
  <si>
    <t>国見待避所</t>
    <rPh sb="0" eb="5">
      <t>クニミタイヒジョ</t>
    </rPh>
    <phoneticPr fontId="1"/>
  </si>
  <si>
    <t>国見待避所</t>
    <rPh sb="2" eb="5">
      <t>タイヒジョ</t>
    </rPh>
    <phoneticPr fontId="1"/>
  </si>
  <si>
    <t>どのポイントに外来種が多いか</t>
    <rPh sb="7" eb="10">
      <t>ガイライシュ</t>
    </rPh>
    <rPh sb="11" eb="12">
      <t>オオ</t>
    </rPh>
    <phoneticPr fontId="1"/>
  </si>
  <si>
    <t>弥陀ヶ原ホテル前駐車場</t>
    <phoneticPr fontId="1"/>
  </si>
  <si>
    <t>No.</t>
  </si>
  <si>
    <t>11A</t>
  </si>
  <si>
    <t>11B</t>
  </si>
  <si>
    <t>弥陀ヶ原ホテル前駐車場</t>
    <rPh sb="0" eb="4">
      <t>ミダガハラ</t>
    </rPh>
    <rPh sb="7" eb="8">
      <t>マエ</t>
    </rPh>
    <rPh sb="8" eb="10">
      <t>チュウシャ</t>
    </rPh>
    <rPh sb="10" eb="11">
      <t>ジョウ</t>
    </rPh>
    <phoneticPr fontId="1"/>
  </si>
  <si>
    <t>調査年</t>
    <rPh sb="0" eb="2">
      <t>チョウサ</t>
    </rPh>
    <rPh sb="2" eb="3">
      <t>ネン</t>
    </rPh>
    <phoneticPr fontId="1"/>
  </si>
  <si>
    <t>H20</t>
  </si>
  <si>
    <t>H22</t>
  </si>
  <si>
    <t>H25</t>
  </si>
  <si>
    <t>H28</t>
  </si>
  <si>
    <t>R1</t>
  </si>
  <si>
    <t>H26</t>
  </si>
  <si>
    <t>H27</t>
  </si>
  <si>
    <t>H29</t>
  </si>
  <si>
    <t>H30</t>
  </si>
  <si>
    <t>セイヨウウツボグサ</t>
  </si>
  <si>
    <t>セイヨウウツボグサ生育区の変化</t>
    <rPh sb="9" eb="11">
      <t>セイイク</t>
    </rPh>
    <rPh sb="11" eb="12">
      <t>ク</t>
    </rPh>
    <rPh sb="13" eb="15">
      <t>ヘンカ</t>
    </rPh>
    <phoneticPr fontId="1"/>
  </si>
  <si>
    <t>除去</t>
    <rPh sb="0" eb="2">
      <t>ジョキョ</t>
    </rPh>
    <phoneticPr fontId="1"/>
  </si>
  <si>
    <t>11</t>
    <phoneticPr fontId="1"/>
  </si>
  <si>
    <t>天狗の鼻第1駐車場</t>
    <rPh sb="0" eb="2">
      <t>テング</t>
    </rPh>
    <rPh sb="3" eb="4">
      <t>ハナ</t>
    </rPh>
    <rPh sb="4" eb="5">
      <t>ダイ</t>
    </rPh>
    <rPh sb="6" eb="8">
      <t>チュウシャ</t>
    </rPh>
    <rPh sb="8" eb="9">
      <t>ジョウ</t>
    </rPh>
    <phoneticPr fontId="1"/>
  </si>
  <si>
    <t>立山高原ホテル～天狗平山荘</t>
    <rPh sb="0" eb="2">
      <t>タテヤマ</t>
    </rPh>
    <rPh sb="2" eb="4">
      <t>コウゲン</t>
    </rPh>
    <rPh sb="8" eb="10">
      <t>テング</t>
    </rPh>
    <rPh sb="10" eb="11">
      <t>ダイラ</t>
    </rPh>
    <rPh sb="11" eb="13">
      <t>サンソウ</t>
    </rPh>
    <phoneticPr fontId="1"/>
  </si>
  <si>
    <t>天狗平休憩所跡地</t>
    <rPh sb="0" eb="2">
      <t>テング</t>
    </rPh>
    <rPh sb="2" eb="3">
      <t>ダイラ</t>
    </rPh>
    <rPh sb="3" eb="5">
      <t>キュウケイ</t>
    </rPh>
    <rPh sb="5" eb="6">
      <t>ショ</t>
    </rPh>
    <rPh sb="6" eb="8">
      <t>アトチ</t>
    </rPh>
    <phoneticPr fontId="1"/>
  </si>
  <si>
    <t>室堂山荘　遊歩道</t>
    <rPh sb="0" eb="1">
      <t>ムロ</t>
    </rPh>
    <rPh sb="1" eb="2">
      <t>ドウ</t>
    </rPh>
    <rPh sb="2" eb="4">
      <t>サンソウ</t>
    </rPh>
    <rPh sb="5" eb="8">
      <t>ユウホドウ</t>
    </rPh>
    <phoneticPr fontId="1"/>
  </si>
  <si>
    <t>ミドリガ池　遊歩道</t>
    <rPh sb="4" eb="5">
      <t>イケ</t>
    </rPh>
    <rPh sb="6" eb="9">
      <t>ユウホドウ</t>
    </rPh>
    <phoneticPr fontId="1"/>
  </si>
  <si>
    <t>ミドリガ池　広場</t>
    <rPh sb="4" eb="5">
      <t>イケ</t>
    </rPh>
    <rPh sb="6" eb="8">
      <t>ヒロバ</t>
    </rPh>
    <phoneticPr fontId="1"/>
  </si>
  <si>
    <t>25-2</t>
  </si>
  <si>
    <t>R4</t>
  </si>
  <si>
    <t>R7</t>
  </si>
  <si>
    <t>H21</t>
  </si>
  <si>
    <t>H23</t>
  </si>
  <si>
    <t>R2</t>
  </si>
  <si>
    <t>R5</t>
  </si>
  <si>
    <t>H24</t>
  </si>
  <si>
    <t>R3</t>
  </si>
  <si>
    <t>R6</t>
  </si>
  <si>
    <t>r6</t>
  </si>
  <si>
    <t>立山高原ホテル浄化槽）</t>
    <rPh sb="0" eb="2">
      <t>タテヤマ</t>
    </rPh>
    <rPh sb="2" eb="4">
      <t>コウゲン</t>
    </rPh>
    <rPh sb="7" eb="10">
      <t>ジョウカソウ</t>
    </rPh>
    <phoneticPr fontId="1"/>
  </si>
  <si>
    <t>立山高原ホテル周囲</t>
    <rPh sb="7" eb="9">
      <t>シュウイ</t>
    </rPh>
    <phoneticPr fontId="1"/>
  </si>
  <si>
    <t>天狗平山荘周囲</t>
    <rPh sb="0" eb="2">
      <t>テング</t>
    </rPh>
    <rPh sb="2" eb="3">
      <t>ダイラ</t>
    </rPh>
    <rPh sb="3" eb="5">
      <t>サンソウ</t>
    </rPh>
    <rPh sb="5" eb="7">
      <t>シュウイ</t>
    </rPh>
    <phoneticPr fontId="1"/>
  </si>
  <si>
    <t>立山センター周囲</t>
    <rPh sb="0" eb="2">
      <t>タテヤマ</t>
    </rPh>
    <rPh sb="6" eb="8">
      <t>シュウイ</t>
    </rPh>
    <phoneticPr fontId="1"/>
  </si>
  <si>
    <t>R5-7</t>
    <phoneticPr fontId="1"/>
  </si>
  <si>
    <t>みくりが池　遊歩道</t>
    <rPh sb="4" eb="5">
      <t>イケ</t>
    </rPh>
    <rPh sb="6" eb="9">
      <t>ユウホドウ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</si>
</sst>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00B0F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0" fillId="0" borderId="1" xfId="0" applyBorder="1">
      <alignment vertical="center"/>
    </xf>
    <xf numFmtId="0" fontId="4" fillId="0" borderId="0" xfId="0" applyFont="1" applyFill="1">
      <alignment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6" fillId="0" borderId="0" xfId="0" applyFont="1" applyFill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0" fillId="3" borderId="0" xfId="0" applyFill="1">
      <alignment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3" fillId="0" borderId="0" xfId="0" applyFont="1" applyFill="1" applyBorder="1">
      <alignment vertical="center"/>
    </xf>
    <xf numFmtId="0" fontId="5" fillId="0" borderId="0" xfId="0" applyFont="1" applyBorder="1" applyAlignment="1">
      <alignment vertical="center" wrapText="1"/>
    </xf>
    <xf numFmtId="0" fontId="0" fillId="0" borderId="0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5" fillId="4" borderId="0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8" fillId="0" borderId="0" xfId="0" applyFont="1">
      <alignment vertical="center"/>
    </xf>
    <xf numFmtId="0" fontId="5" fillId="5" borderId="0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9" fillId="0" borderId="0" xfId="0" applyFont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Border="1">
      <alignment vertical="center"/>
    </xf>
    <xf numFmtId="0" fontId="10" fillId="5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0" fillId="2" borderId="0" xfId="0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  <xf numFmtId="0" fontId="5" fillId="6" borderId="0" xfId="0" applyFont="1" applyFill="1" applyBorder="1" applyAlignment="1">
      <alignment vertical="center" wrapText="1"/>
    </xf>
    <xf numFmtId="0" fontId="0" fillId="6" borderId="0" xfId="0" applyFill="1">
      <alignment vertical="center"/>
    </xf>
    <xf numFmtId="0" fontId="0" fillId="2" borderId="0" xfId="0" applyFont="1" applyFill="1" applyBorder="1" applyAlignment="1">
      <alignment vertical="center" wrapText="1"/>
    </xf>
    <xf numFmtId="0" fontId="0" fillId="6" borderId="0" xfId="0" applyFill="1" applyBorder="1">
      <alignment vertical="center"/>
    </xf>
    <xf numFmtId="0" fontId="0" fillId="6" borderId="0" xfId="0" applyFont="1" applyFill="1" applyBorder="1" applyAlignment="1">
      <alignment vertical="center" wrapText="1"/>
    </xf>
    <xf numFmtId="0" fontId="3" fillId="6" borderId="0" xfId="0" applyFont="1" applyFill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0" borderId="0" xfId="0" applyFill="1" applyAlignment="1">
      <alignment vertical="top" textRotation="255"/>
    </xf>
    <xf numFmtId="0" fontId="5" fillId="7" borderId="0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5" fillId="7" borderId="0" xfId="0" applyFont="1" applyFill="1" applyBorder="1" applyAlignment="1">
      <alignment vertical="center" wrapText="1"/>
    </xf>
    <xf numFmtId="0" fontId="0" fillId="7" borderId="0" xfId="0" applyFill="1">
      <alignment vertical="center"/>
    </xf>
    <xf numFmtId="0" fontId="0" fillId="7" borderId="0" xfId="0" applyFont="1" applyFill="1" applyBorder="1" applyAlignment="1">
      <alignment vertical="center" wrapText="1"/>
    </xf>
    <xf numFmtId="0" fontId="0" fillId="7" borderId="0" xfId="0" applyFill="1" applyBorder="1">
      <alignment vertical="center"/>
    </xf>
    <xf numFmtId="0" fontId="5" fillId="8" borderId="0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 wrapText="1"/>
    </xf>
    <xf numFmtId="0" fontId="0" fillId="8" borderId="0" xfId="0" applyFill="1">
      <alignment vertical="center"/>
    </xf>
    <xf numFmtId="0" fontId="5" fillId="9" borderId="0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0" fillId="9" borderId="0" xfId="0" applyFill="1">
      <alignment vertical="center"/>
    </xf>
    <xf numFmtId="0" fontId="11" fillId="2" borderId="0" xfId="0" applyFont="1" applyFill="1">
      <alignment vertical="center"/>
    </xf>
    <xf numFmtId="0" fontId="11" fillId="6" borderId="0" xfId="0" applyFont="1" applyFill="1">
      <alignment vertical="center"/>
    </xf>
    <xf numFmtId="0" fontId="0" fillId="2" borderId="0" xfId="0" applyFont="1" applyFill="1">
      <alignment vertical="center"/>
    </xf>
    <xf numFmtId="0" fontId="8" fillId="10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11" borderId="0" xfId="0" applyFill="1">
      <alignment vertical="center"/>
    </xf>
    <xf numFmtId="0" fontId="0" fillId="0" borderId="0" xfId="0" applyFont="1" applyBorder="1" applyAlignment="1">
      <alignment vertical="center" wrapText="1"/>
    </xf>
    <xf numFmtId="0" fontId="0" fillId="7" borderId="0" xfId="0" applyFont="1" applyFill="1" applyBorder="1" applyAlignment="1">
      <alignment horizontal="center" vertical="center" wrapText="1"/>
    </xf>
    <xf numFmtId="0" fontId="0" fillId="6" borderId="0" xfId="0" applyFont="1" applyFill="1">
      <alignment vertical="center"/>
    </xf>
    <xf numFmtId="0" fontId="12" fillId="0" borderId="0" xfId="0" applyFont="1" applyFill="1" applyBorder="1" applyAlignment="1">
      <alignment vertical="center" wrapText="1"/>
    </xf>
    <xf numFmtId="0" fontId="12" fillId="3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12" fillId="6" borderId="0" xfId="0" applyFont="1" applyFill="1" applyBorder="1" applyAlignment="1">
      <alignment vertical="center" wrapText="1"/>
    </xf>
    <xf numFmtId="0" fontId="12" fillId="7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3" borderId="0" xfId="0" applyFont="1" applyFill="1" applyBorder="1" applyAlignment="1">
      <alignment horizontal="center" vertical="center" wrapText="1"/>
    </xf>
    <xf numFmtId="0" fontId="5" fillId="14" borderId="0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10" fillId="12" borderId="1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right" vertical="center" wrapText="1"/>
    </xf>
    <xf numFmtId="0" fontId="10" fillId="13" borderId="1" xfId="0" applyFont="1" applyFill="1" applyBorder="1" applyAlignment="1">
      <alignment vertical="center" wrapText="1"/>
    </xf>
    <xf numFmtId="0" fontId="10" fillId="14" borderId="1" xfId="0" applyFont="1" applyFill="1" applyBorder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5" fillId="12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6" borderId="0" xfId="0" applyFont="1" applyFill="1">
      <alignment vertical="center"/>
    </xf>
    <xf numFmtId="0" fontId="5" fillId="7" borderId="0" xfId="0" applyFont="1" applyFill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2" borderId="0" xfId="0" applyFill="1">
      <alignment vertical="center"/>
    </xf>
    <xf numFmtId="0" fontId="5" fillId="15" borderId="0" xfId="0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0" fillId="12" borderId="0" xfId="0" applyFont="1" applyFill="1" applyAlignment="1">
      <alignment vertical="center" wrapText="1"/>
    </xf>
    <xf numFmtId="0" fontId="0" fillId="7" borderId="0" xfId="0" applyFont="1" applyFill="1" applyAlignment="1">
      <alignment vertical="center" wrapText="1"/>
    </xf>
    <xf numFmtId="0" fontId="5" fillId="5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  <xf numFmtId="0" fontId="5" fillId="8" borderId="0" xfId="0" applyFont="1" applyFill="1" applyBorder="1" applyAlignment="1">
      <alignment vertical="center" wrapText="1"/>
    </xf>
    <xf numFmtId="0" fontId="5" fillId="13" borderId="0" xfId="0" applyFont="1" applyFill="1" applyBorder="1" applyAlignment="1">
      <alignment vertical="center" wrapText="1"/>
    </xf>
    <xf numFmtId="0" fontId="5" fillId="14" borderId="0" xfId="0" applyFont="1" applyFill="1" applyBorder="1" applyAlignment="1">
      <alignment vertical="center" wrapText="1"/>
    </xf>
    <xf numFmtId="0" fontId="0" fillId="15" borderId="0" xfId="0" applyFill="1">
      <alignment vertical="center"/>
    </xf>
    <xf numFmtId="0" fontId="0" fillId="0" borderId="0" xfId="0" applyAlignment="1">
      <alignment vertical="top" textRotation="255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8" borderId="0" xfId="0" applyFont="1" applyFill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5" fillId="8" borderId="0" xfId="0" applyFont="1" applyFill="1">
      <alignment vertical="center"/>
    </xf>
    <xf numFmtId="0" fontId="5" fillId="11" borderId="0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vertical="center" wrapText="1"/>
    </xf>
    <xf numFmtId="0" fontId="5" fillId="11" borderId="0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right" vertical="center" wrapText="1"/>
    </xf>
    <xf numFmtId="0" fontId="10" fillId="8" borderId="1" xfId="0" applyFont="1" applyFill="1" applyBorder="1" applyAlignment="1">
      <alignment horizontal="right" vertical="center" wrapText="1"/>
    </xf>
    <xf numFmtId="0" fontId="5" fillId="16" borderId="0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vertical="center" wrapText="1"/>
    </xf>
    <xf numFmtId="0" fontId="0" fillId="16" borderId="0" xfId="0" applyFill="1">
      <alignment vertical="center"/>
    </xf>
    <xf numFmtId="0" fontId="5" fillId="16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>
      <alignment vertical="center"/>
    </xf>
    <xf numFmtId="0" fontId="0" fillId="0" borderId="5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5" fillId="14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4" borderId="0" xfId="0" applyFont="1" applyFill="1" applyAlignment="1">
      <alignment vertical="center" wrapText="1"/>
    </xf>
    <xf numFmtId="0" fontId="5" fillId="17" borderId="0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vertical="center" wrapText="1"/>
    </xf>
    <xf numFmtId="0" fontId="0" fillId="17" borderId="0" xfId="0" applyFill="1">
      <alignment vertical="center"/>
    </xf>
    <xf numFmtId="0" fontId="5" fillId="17" borderId="0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8" xfId="0" applyFill="1" applyBorder="1">
      <alignment vertical="center"/>
    </xf>
    <xf numFmtId="0" fontId="3" fillId="0" borderId="9" xfId="0" applyFont="1" applyFill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10" fillId="0" borderId="2" xfId="0" applyFont="1" applyFill="1" applyBorder="1" applyAlignment="1">
      <alignment horizontal="right" vertical="center" wrapText="1"/>
    </xf>
    <xf numFmtId="0" fontId="3" fillId="0" borderId="9" xfId="0" applyFont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3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NumberFormat="1" applyBorder="1">
      <alignment vertical="center"/>
    </xf>
    <xf numFmtId="0" fontId="3" fillId="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6" borderId="1" xfId="0" applyFill="1" applyBorder="1">
      <alignment vertical="center"/>
    </xf>
    <xf numFmtId="0" fontId="0" fillId="17" borderId="1" xfId="0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2" fillId="0" borderId="0" xfId="0" applyFont="1" applyFill="1">
      <alignment vertical="center"/>
    </xf>
    <xf numFmtId="0" fontId="2" fillId="7" borderId="0" xfId="0" applyFont="1" applyFill="1">
      <alignment vertical="center"/>
    </xf>
    <xf numFmtId="0" fontId="15" fillId="0" borderId="0" xfId="0" applyFont="1" applyFill="1">
      <alignment vertical="center"/>
    </xf>
    <xf numFmtId="0" fontId="15" fillId="0" borderId="0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15" fillId="0" borderId="1" xfId="0" applyFont="1" applyFill="1" applyBorder="1">
      <alignment vertical="center"/>
    </xf>
    <xf numFmtId="0" fontId="15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2" fillId="0" borderId="1" xfId="2" applyFont="1" applyBorder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10" borderId="0" xfId="0" applyFill="1">
      <alignment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56" fontId="0" fillId="0" borderId="0" xfId="0" quotePrefix="1" applyNumberForma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0" borderId="0" xfId="0" quotePrefix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3">
    <cellStyle name="パーセント" xfId="2" builtinId="5"/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CCCC"/>
      <color rgb="FFFFFF99"/>
      <color rgb="FF99FF66"/>
      <color rgb="FFCCFFCC"/>
      <color rgb="FFCCFF66"/>
      <color rgb="FFCC99FF"/>
      <color rgb="FFCCECFF"/>
      <color rgb="FFCCFF99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●グラフ作り!$O$26</c:f>
              <c:strCache>
                <c:ptCount val="1"/>
                <c:pt idx="0">
                  <c:v>種数</c:v>
                </c:pt>
              </c:strCache>
            </c:strRef>
          </c:tx>
          <c:invertIfNegative val="0"/>
          <c:cat>
            <c:multiLvlStrRef>
              <c:f>●グラフ作り!$M$27:$N$71</c:f>
              <c:multiLvlStrCache>
                <c:ptCount val="45"/>
                <c:lvl>
                  <c:pt idx="0">
                    <c:v>弘法第一駐車場</c:v>
                  </c:pt>
                  <c:pt idx="1">
                    <c:v>弘法第二駐車場</c:v>
                  </c:pt>
                  <c:pt idx="2">
                    <c:v>追分駐車場（立土）</c:v>
                  </c:pt>
                  <c:pt idx="3">
                    <c:v>追分駐車場（松尾峠入口）</c:v>
                  </c:pt>
                  <c:pt idx="4">
                    <c:v>追分駐車場緑化帯</c:v>
                  </c:pt>
                  <c:pt idx="5">
                    <c:v>弥陀ヶ原大駐車場</c:v>
                  </c:pt>
                  <c:pt idx="6">
                    <c:v>弥陀ヶ原六甲学院前</c:v>
                  </c:pt>
                  <c:pt idx="7">
                    <c:v>弥陀ヶ原バス停</c:v>
                  </c:pt>
                  <c:pt idx="8">
                    <c:v>弥陀ヶ原ホテル前駐車場</c:v>
                  </c:pt>
                  <c:pt idx="9">
                    <c:v>弥陀ヶ原散策路入口</c:v>
                  </c:pt>
                  <c:pt idx="10">
                    <c:v>弥陀ヶ原立山荘前</c:v>
                  </c:pt>
                  <c:pt idx="11">
                    <c:v>カルデラ展望台入口</c:v>
                  </c:pt>
                  <c:pt idx="12">
                    <c:v>弥陀ヶ原ホテル裏</c:v>
                  </c:pt>
                  <c:pt idx="13">
                    <c:v>美松駐車場</c:v>
                  </c:pt>
                  <c:pt idx="14">
                    <c:v>天狗の鼻第1駐車場</c:v>
                  </c:pt>
                  <c:pt idx="15">
                    <c:v>天狗の鼻第２駐車場</c:v>
                  </c:pt>
                  <c:pt idx="16">
                    <c:v>立山高原ホテル浄化槽）</c:v>
                  </c:pt>
                  <c:pt idx="17">
                    <c:v>立山高原ホテル周囲</c:v>
                  </c:pt>
                  <c:pt idx="18">
                    <c:v>立山高原ホテル～天狗平山荘</c:v>
                  </c:pt>
                  <c:pt idx="19">
                    <c:v>天狗平山荘周囲</c:v>
                  </c:pt>
                  <c:pt idx="20">
                    <c:v>天狗平駐車場</c:v>
                  </c:pt>
                  <c:pt idx="21">
                    <c:v>天狗平休憩所跡地</c:v>
                  </c:pt>
                  <c:pt idx="22">
                    <c:v>天狗平歩道起点</c:v>
                  </c:pt>
                  <c:pt idx="23">
                    <c:v>国見第1駐車場</c:v>
                  </c:pt>
                  <c:pt idx="24">
                    <c:v>国見第２駐車場</c:v>
                  </c:pt>
                  <c:pt idx="25">
                    <c:v>国見待避所</c:v>
                  </c:pt>
                  <c:pt idx="26">
                    <c:v>大谷待避所</c:v>
                  </c:pt>
                  <c:pt idx="27">
                    <c:v>室堂第2駐車場</c:v>
                  </c:pt>
                  <c:pt idx="28">
                    <c:v>室堂ロータリー</c:v>
                  </c:pt>
                  <c:pt idx="29">
                    <c:v>立山センター車道</c:v>
                  </c:pt>
                  <c:pt idx="30">
                    <c:v>立山センター周囲</c:v>
                  </c:pt>
                  <c:pt idx="31">
                    <c:v>室堂ターミナル園地</c:v>
                  </c:pt>
                  <c:pt idx="32">
                    <c:v>室堂平広場遊歩道</c:v>
                  </c:pt>
                  <c:pt idx="33">
                    <c:v>室堂平広場遊歩道</c:v>
                  </c:pt>
                  <c:pt idx="34">
                    <c:v>供養塔広場</c:v>
                  </c:pt>
                  <c:pt idx="35">
                    <c:v>みくりが池展望台</c:v>
                  </c:pt>
                  <c:pt idx="36">
                    <c:v>みくりが池遊歩道</c:v>
                  </c:pt>
                  <c:pt idx="37">
                    <c:v>室堂山荘　遊歩道</c:v>
                  </c:pt>
                  <c:pt idx="38">
                    <c:v>室堂山荘　遊歩道</c:v>
                  </c:pt>
                  <c:pt idx="39">
                    <c:v>室堂山荘横</c:v>
                  </c:pt>
                  <c:pt idx="40">
                    <c:v>玉殿岩屋への道</c:v>
                  </c:pt>
                  <c:pt idx="41">
                    <c:v>エンマ台</c:v>
                  </c:pt>
                  <c:pt idx="42">
                    <c:v>みくりが池　遊歩道</c:v>
                  </c:pt>
                  <c:pt idx="43">
                    <c:v>ミドリガ池　遊歩道</c:v>
                  </c:pt>
                  <c:pt idx="44">
                    <c:v>ミドリガ池　広場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25-2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39</c:v>
                  </c:pt>
                  <c:pt idx="38">
                    <c:v>40</c:v>
                  </c:pt>
                  <c:pt idx="39">
                    <c:v>41</c:v>
                  </c:pt>
                  <c:pt idx="40">
                    <c:v>42</c:v>
                  </c:pt>
                  <c:pt idx="41">
                    <c:v>43</c:v>
                  </c:pt>
                  <c:pt idx="42">
                    <c:v>44</c:v>
                  </c:pt>
                  <c:pt idx="43">
                    <c:v>45</c:v>
                  </c:pt>
                  <c:pt idx="44">
                    <c:v>46</c:v>
                  </c:pt>
                </c:lvl>
              </c:multiLvlStrCache>
            </c:multiLvlStrRef>
          </c:cat>
          <c:val>
            <c:numRef>
              <c:f>●グラフ作り!$O$27:$O$71</c:f>
              <c:numCache>
                <c:formatCode>General</c:formatCode>
                <c:ptCount val="45"/>
                <c:pt idx="0">
                  <c:v>24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21</c:v>
                </c:pt>
                <c:pt idx="5">
                  <c:v>27</c:v>
                </c:pt>
                <c:pt idx="6">
                  <c:v>17</c:v>
                </c:pt>
                <c:pt idx="7">
                  <c:v>22</c:v>
                </c:pt>
                <c:pt idx="8">
                  <c:v>16</c:v>
                </c:pt>
                <c:pt idx="9">
                  <c:v>15</c:v>
                </c:pt>
                <c:pt idx="10">
                  <c:v>21</c:v>
                </c:pt>
                <c:pt idx="11">
                  <c:v>19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19</c:v>
                </c:pt>
                <c:pt idx="16">
                  <c:v>13</c:v>
                </c:pt>
                <c:pt idx="17">
                  <c:v>12</c:v>
                </c:pt>
                <c:pt idx="18">
                  <c:v>8</c:v>
                </c:pt>
                <c:pt idx="19">
                  <c:v>14</c:v>
                </c:pt>
                <c:pt idx="20">
                  <c:v>13</c:v>
                </c:pt>
                <c:pt idx="21">
                  <c:v>4</c:v>
                </c:pt>
                <c:pt idx="22">
                  <c:v>11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6</c:v>
                </c:pt>
                <c:pt idx="27">
                  <c:v>13</c:v>
                </c:pt>
                <c:pt idx="28">
                  <c:v>10</c:v>
                </c:pt>
                <c:pt idx="29">
                  <c:v>10</c:v>
                </c:pt>
                <c:pt idx="30">
                  <c:v>14</c:v>
                </c:pt>
                <c:pt idx="31">
                  <c:v>10</c:v>
                </c:pt>
                <c:pt idx="32">
                  <c:v>10</c:v>
                </c:pt>
                <c:pt idx="33">
                  <c:v>6</c:v>
                </c:pt>
                <c:pt idx="34">
                  <c:v>3</c:v>
                </c:pt>
                <c:pt idx="35">
                  <c:v>4</c:v>
                </c:pt>
                <c:pt idx="36">
                  <c:v>8</c:v>
                </c:pt>
                <c:pt idx="37">
                  <c:v>5</c:v>
                </c:pt>
                <c:pt idx="38">
                  <c:v>7</c:v>
                </c:pt>
                <c:pt idx="39">
                  <c:v>3</c:v>
                </c:pt>
                <c:pt idx="40">
                  <c:v>1</c:v>
                </c:pt>
                <c:pt idx="41">
                  <c:v>6</c:v>
                </c:pt>
                <c:pt idx="42">
                  <c:v>6</c:v>
                </c:pt>
                <c:pt idx="43">
                  <c:v>11</c:v>
                </c:pt>
                <c:pt idx="4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5-4E56-AFD2-FF3D576BA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132352"/>
        <c:axId val="420133888"/>
      </c:barChart>
      <c:catAx>
        <c:axId val="420132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0133888"/>
        <c:crosses val="autoZero"/>
        <c:auto val="1"/>
        <c:lblAlgn val="ctr"/>
        <c:lblOffset val="100"/>
        <c:noMultiLvlLbl val="0"/>
      </c:catAx>
      <c:valAx>
        <c:axId val="420133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0132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240</xdr:col>
      <xdr:colOff>304800</xdr:colOff>
      <xdr:row>5</xdr:row>
      <xdr:rowOff>0</xdr:rowOff>
    </xdr:from>
    <xdr:to>
      <xdr:col>241</xdr:col>
      <xdr:colOff>285750</xdr:colOff>
      <xdr:row>82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8299963-0807-40C1-A70A-E6E5C9203AF8}"/>
            </a:ext>
          </a:extLst>
        </xdr:cNvPr>
        <xdr:cNvSpPr>
          <a:spLocks noChangeShapeType="1"/>
        </xdr:cNvSpPr>
      </xdr:nvSpPr>
      <xdr:spPr bwMode="auto">
        <a:xfrm flipH="1">
          <a:off x="48510825" y="1590675"/>
          <a:ext cx="257175" cy="1173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304800</xdr:colOff>
      <xdr:row>262</xdr:row>
      <xdr:rowOff>0</xdr:rowOff>
    </xdr:from>
    <xdr:to>
      <xdr:col>44</xdr:col>
      <xdr:colOff>285750</xdr:colOff>
      <xdr:row>339</xdr:row>
      <xdr:rowOff>57150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26D3AB39-01AA-4A3E-8090-5CA2FE710977}"/>
            </a:ext>
          </a:extLst>
        </xdr:cNvPr>
        <xdr:cNvSpPr>
          <a:spLocks noChangeShapeType="1"/>
        </xdr:cNvSpPr>
      </xdr:nvSpPr>
      <xdr:spPr bwMode="auto">
        <a:xfrm flipH="1">
          <a:off x="65255775" y="1590675"/>
          <a:ext cx="257175" cy="13277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5</xdr:row>
      <xdr:rowOff>0</xdr:rowOff>
    </xdr:from>
    <xdr:to>
      <xdr:col>0</xdr:col>
      <xdr:colOff>285750</xdr:colOff>
      <xdr:row>83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5FB5B6D-9EC1-4B19-8586-620D9C10D12C}"/>
            </a:ext>
          </a:extLst>
        </xdr:cNvPr>
        <xdr:cNvSpPr>
          <a:spLocks noChangeShapeType="1"/>
        </xdr:cNvSpPr>
      </xdr:nvSpPr>
      <xdr:spPr bwMode="auto">
        <a:xfrm flipH="1">
          <a:off x="65255775" y="1590675"/>
          <a:ext cx="257175" cy="13449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438148</xdr:colOff>
      <xdr:row>73</xdr:row>
      <xdr:rowOff>171449</xdr:rowOff>
    </xdr:from>
    <xdr:to>
      <xdr:col>21</xdr:col>
      <xdr:colOff>600075</xdr:colOff>
      <xdr:row>102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D6FB07C-80EA-4400-8418-A3B51C67C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S95"/>
  <sheetViews>
    <sheetView zoomScale="80" zoomScaleNormal="80" workbookViewId="0">
      <selection activeCell="Z24" sqref="Z24"/>
    </sheetView>
  </sheetViews>
  <sheetFormatPr defaultRowHeight="13.5" x14ac:dyDescent="0.15"/>
  <cols>
    <col min="1" max="1" width="24" customWidth="1"/>
    <col min="2" max="2" width="13.125" style="15" customWidth="1"/>
    <col min="3" max="5" width="3.25" customWidth="1"/>
    <col min="6" max="6" width="3.25" style="4" customWidth="1"/>
    <col min="7" max="10" width="3.25" customWidth="1"/>
    <col min="11" max="11" width="3.25" style="4" customWidth="1"/>
    <col min="12" max="15" width="3.25" customWidth="1"/>
    <col min="16" max="16" width="4.25" customWidth="1"/>
    <col min="17" max="24" width="3.25" customWidth="1"/>
    <col min="25" max="25" width="3.25" style="4" customWidth="1"/>
    <col min="26" max="29" width="3.25" customWidth="1"/>
    <col min="30" max="30" width="4.625" customWidth="1"/>
    <col min="31" max="32" width="3.25" customWidth="1"/>
    <col min="33" max="33" width="3.25" style="4" customWidth="1"/>
    <col min="34" max="37" width="3.25" customWidth="1"/>
    <col min="38" max="38" width="3.25" style="4" customWidth="1"/>
    <col min="39" max="43" width="3.25" customWidth="1"/>
    <col min="44" max="44" width="3.75" customWidth="1"/>
    <col min="45" max="49" width="3.25" style="4" customWidth="1"/>
    <col min="50" max="50" width="3.25" style="8" customWidth="1"/>
    <col min="51" max="57" width="3.25" style="4" customWidth="1"/>
    <col min="58" max="58" width="3.875" style="4" customWidth="1"/>
    <col min="59" max="63" width="3.25" style="4" customWidth="1"/>
    <col min="64" max="64" width="3.25" style="8" customWidth="1"/>
    <col min="65" max="71" width="3.25" style="4" customWidth="1"/>
    <col min="72" max="72" width="3.75" style="19" customWidth="1"/>
    <col min="73" max="73" width="5.125" customWidth="1"/>
    <col min="74" max="74" width="2.125" customWidth="1"/>
    <col min="75" max="75" width="24" customWidth="1"/>
    <col min="76" max="81" width="3.5" customWidth="1"/>
    <col min="82" max="104" width="3.5" style="4" customWidth="1"/>
    <col min="105" max="105" width="4.125" style="4" customWidth="1"/>
    <col min="106" max="117" width="3.5" style="4" customWidth="1"/>
    <col min="118" max="118" width="5.25" style="4" customWidth="1"/>
    <col min="122" max="123" width="3.25" customWidth="1"/>
  </cols>
  <sheetData>
    <row r="1" spans="1:123" ht="13.5" customHeight="1" x14ac:dyDescent="0.15">
      <c r="A1" t="s">
        <v>99</v>
      </c>
      <c r="BW1" t="s">
        <v>99</v>
      </c>
      <c r="BY1" s="4"/>
      <c r="BZ1" s="4"/>
      <c r="CA1" s="4"/>
      <c r="CB1" s="4"/>
      <c r="CC1" s="4"/>
    </row>
    <row r="2" spans="1:123" x14ac:dyDescent="0.15">
      <c r="A2" t="s">
        <v>0</v>
      </c>
      <c r="C2" s="79">
        <v>1</v>
      </c>
      <c r="D2" s="79">
        <v>2</v>
      </c>
      <c r="E2" s="79">
        <v>3</v>
      </c>
      <c r="F2" s="79">
        <v>4</v>
      </c>
      <c r="G2" s="79">
        <v>5</v>
      </c>
      <c r="H2" s="79">
        <v>6</v>
      </c>
      <c r="I2" s="79">
        <v>7</v>
      </c>
      <c r="J2" s="79">
        <v>8</v>
      </c>
      <c r="K2" s="79">
        <v>9</v>
      </c>
      <c r="L2" s="79">
        <v>10</v>
      </c>
      <c r="M2" s="79" t="s">
        <v>39</v>
      </c>
      <c r="N2" s="79">
        <v>12</v>
      </c>
      <c r="O2" s="79">
        <v>13</v>
      </c>
      <c r="P2" s="79"/>
      <c r="Q2" s="79">
        <v>1</v>
      </c>
      <c r="R2" s="79">
        <v>2</v>
      </c>
      <c r="S2" s="79">
        <v>3</v>
      </c>
      <c r="T2" s="79">
        <v>4</v>
      </c>
      <c r="U2" s="79">
        <v>5</v>
      </c>
      <c r="V2" s="79">
        <v>6</v>
      </c>
      <c r="W2" s="79">
        <v>7</v>
      </c>
      <c r="X2" s="79">
        <v>8</v>
      </c>
      <c r="Y2" s="79">
        <v>9</v>
      </c>
      <c r="Z2" s="79">
        <v>10</v>
      </c>
      <c r="AA2" s="79" t="s">
        <v>39</v>
      </c>
      <c r="AB2" s="79">
        <v>12</v>
      </c>
      <c r="AC2" s="79">
        <v>13</v>
      </c>
      <c r="AD2" s="79"/>
      <c r="AE2" s="79">
        <v>1</v>
      </c>
      <c r="AF2" s="79">
        <v>2</v>
      </c>
      <c r="AG2" s="79">
        <v>3</v>
      </c>
      <c r="AH2" s="79">
        <v>4</v>
      </c>
      <c r="AI2" s="79">
        <v>5</v>
      </c>
      <c r="AJ2" s="79">
        <v>6</v>
      </c>
      <c r="AK2" s="79">
        <v>7</v>
      </c>
      <c r="AL2" s="79">
        <v>8</v>
      </c>
      <c r="AM2" s="79">
        <v>9</v>
      </c>
      <c r="AN2" s="79">
        <v>10</v>
      </c>
      <c r="AO2" s="79" t="s">
        <v>39</v>
      </c>
      <c r="AP2" s="79">
        <v>12</v>
      </c>
      <c r="AQ2" s="79">
        <v>13</v>
      </c>
      <c r="AR2" s="79"/>
      <c r="AS2" s="79">
        <v>1</v>
      </c>
      <c r="AT2" s="79">
        <v>2</v>
      </c>
      <c r="AU2" s="79">
        <v>3</v>
      </c>
      <c r="AV2" s="79">
        <v>4</v>
      </c>
      <c r="AW2" s="79">
        <v>5</v>
      </c>
      <c r="AX2" s="79">
        <v>6</v>
      </c>
      <c r="AY2" s="79">
        <v>7</v>
      </c>
      <c r="AZ2" s="79">
        <v>8</v>
      </c>
      <c r="BA2" s="79">
        <v>9</v>
      </c>
      <c r="BB2" s="79">
        <v>10</v>
      </c>
      <c r="BC2" s="79" t="s">
        <v>39</v>
      </c>
      <c r="BD2" s="79">
        <v>12</v>
      </c>
      <c r="BE2" s="79">
        <v>13</v>
      </c>
      <c r="BF2" s="79"/>
      <c r="BG2" s="79">
        <v>1</v>
      </c>
      <c r="BH2" s="79">
        <v>2</v>
      </c>
      <c r="BI2" s="79">
        <v>3</v>
      </c>
      <c r="BJ2" s="79">
        <v>4</v>
      </c>
      <c r="BK2" s="79">
        <v>5</v>
      </c>
      <c r="BL2" s="79">
        <v>6</v>
      </c>
      <c r="BM2" s="79">
        <v>7</v>
      </c>
      <c r="BN2" s="79">
        <v>8</v>
      </c>
      <c r="BO2" s="79">
        <v>9</v>
      </c>
      <c r="BP2" s="79">
        <v>10</v>
      </c>
      <c r="BQ2" s="79" t="s">
        <v>39</v>
      </c>
      <c r="BR2" s="79">
        <v>12</v>
      </c>
      <c r="BS2" s="79">
        <v>13</v>
      </c>
      <c r="BT2" s="79"/>
      <c r="BW2" t="s">
        <v>0</v>
      </c>
      <c r="BX2" s="79">
        <v>51</v>
      </c>
      <c r="BY2" s="79">
        <v>52</v>
      </c>
      <c r="BZ2" s="79">
        <v>53</v>
      </c>
      <c r="CA2" s="79">
        <v>54</v>
      </c>
      <c r="CB2" s="79">
        <v>55</v>
      </c>
      <c r="CC2" s="79"/>
      <c r="CD2" s="79">
        <v>51</v>
      </c>
      <c r="CE2" s="79">
        <v>52</v>
      </c>
      <c r="CF2" s="79">
        <v>53</v>
      </c>
      <c r="CG2" s="79">
        <v>54</v>
      </c>
      <c r="CH2" s="79">
        <v>55</v>
      </c>
      <c r="CI2" s="79"/>
      <c r="CJ2" s="79">
        <v>51</v>
      </c>
      <c r="CK2" s="79">
        <v>52</v>
      </c>
      <c r="CL2" s="79">
        <v>53</v>
      </c>
      <c r="CM2" s="79">
        <v>54</v>
      </c>
      <c r="CN2" s="79">
        <v>55</v>
      </c>
      <c r="CO2" s="79"/>
      <c r="CP2" s="79">
        <v>51</v>
      </c>
      <c r="CQ2" s="79">
        <v>52</v>
      </c>
      <c r="CR2" s="79">
        <v>53</v>
      </c>
      <c r="CS2" s="79">
        <v>54</v>
      </c>
      <c r="CT2" s="79">
        <v>55</v>
      </c>
      <c r="CU2" s="79"/>
      <c r="CV2" s="79">
        <v>51</v>
      </c>
      <c r="CW2" s="79">
        <v>52</v>
      </c>
      <c r="CX2" s="79">
        <v>53</v>
      </c>
      <c r="CY2" s="79">
        <v>54</v>
      </c>
      <c r="CZ2" s="79">
        <v>55</v>
      </c>
      <c r="DA2" s="79"/>
      <c r="DB2" s="79">
        <v>51</v>
      </c>
      <c r="DC2" s="79">
        <v>52</v>
      </c>
      <c r="DD2" s="79">
        <v>53</v>
      </c>
      <c r="DE2" s="79">
        <v>54</v>
      </c>
      <c r="DF2" s="79">
        <v>55</v>
      </c>
      <c r="DG2" s="79"/>
      <c r="DH2" s="79">
        <v>51</v>
      </c>
      <c r="DI2" s="79">
        <v>52</v>
      </c>
      <c r="DJ2" s="79">
        <v>53</v>
      </c>
      <c r="DK2" s="79">
        <v>54</v>
      </c>
      <c r="DL2" s="79">
        <v>55</v>
      </c>
      <c r="DM2" s="79"/>
      <c r="DN2" s="79"/>
      <c r="DR2" s="79" t="s">
        <v>40</v>
      </c>
      <c r="DS2" s="79"/>
    </row>
    <row r="3" spans="1:123" ht="36.75" customHeight="1" x14ac:dyDescent="0.15">
      <c r="A3" s="6" t="s">
        <v>1</v>
      </c>
      <c r="B3" s="30"/>
      <c r="C3" s="80" t="s">
        <v>2</v>
      </c>
      <c r="D3" s="80" t="s">
        <v>3</v>
      </c>
      <c r="E3" s="80" t="s">
        <v>9</v>
      </c>
      <c r="F3" s="80" t="s">
        <v>113</v>
      </c>
      <c r="G3" s="80" t="s">
        <v>124</v>
      </c>
      <c r="H3" s="80" t="s">
        <v>125</v>
      </c>
      <c r="I3" s="80" t="s">
        <v>126</v>
      </c>
      <c r="J3" s="80" t="s">
        <v>127</v>
      </c>
      <c r="K3" s="80" t="s">
        <v>108</v>
      </c>
      <c r="L3" s="80" t="s">
        <v>128</v>
      </c>
      <c r="M3" s="80" t="s">
        <v>129</v>
      </c>
      <c r="N3" s="80" t="s">
        <v>130</v>
      </c>
      <c r="O3" s="50" t="s">
        <v>131</v>
      </c>
      <c r="P3" s="50"/>
      <c r="Q3" s="80" t="s">
        <v>2</v>
      </c>
      <c r="R3" s="80" t="s">
        <v>3</v>
      </c>
      <c r="S3" s="80" t="s">
        <v>9</v>
      </c>
      <c r="T3" s="80" t="s">
        <v>113</v>
      </c>
      <c r="U3" s="80" t="s">
        <v>124</v>
      </c>
      <c r="V3" s="80" t="s">
        <v>125</v>
      </c>
      <c r="W3" s="80" t="s">
        <v>126</v>
      </c>
      <c r="X3" s="80" t="s">
        <v>127</v>
      </c>
      <c r="Y3" s="80" t="s">
        <v>108</v>
      </c>
      <c r="Z3" s="80" t="s">
        <v>128</v>
      </c>
      <c r="AA3" s="80" t="s">
        <v>129</v>
      </c>
      <c r="AB3" s="80" t="s">
        <v>130</v>
      </c>
      <c r="AC3" s="50" t="s">
        <v>131</v>
      </c>
      <c r="AD3" s="50"/>
      <c r="AE3" s="80" t="s">
        <v>2</v>
      </c>
      <c r="AF3" s="80" t="s">
        <v>3</v>
      </c>
      <c r="AG3" s="80" t="s">
        <v>9</v>
      </c>
      <c r="AH3" s="80" t="s">
        <v>113</v>
      </c>
      <c r="AI3" s="80" t="s">
        <v>124</v>
      </c>
      <c r="AJ3" s="80" t="s">
        <v>125</v>
      </c>
      <c r="AK3" s="80" t="s">
        <v>126</v>
      </c>
      <c r="AL3" s="80" t="s">
        <v>127</v>
      </c>
      <c r="AM3" s="80" t="s">
        <v>108</v>
      </c>
      <c r="AN3" s="80" t="s">
        <v>128</v>
      </c>
      <c r="AO3" s="80" t="s">
        <v>129</v>
      </c>
      <c r="AP3" s="80" t="s">
        <v>130</v>
      </c>
      <c r="AQ3" s="50" t="s">
        <v>131</v>
      </c>
      <c r="AR3" s="50"/>
      <c r="AS3" s="80" t="s">
        <v>2</v>
      </c>
      <c r="AT3" s="80" t="s">
        <v>3</v>
      </c>
      <c r="AU3" s="80" t="s">
        <v>9</v>
      </c>
      <c r="AV3" s="80" t="s">
        <v>113</v>
      </c>
      <c r="AW3" s="80" t="s">
        <v>124</v>
      </c>
      <c r="AX3" s="80" t="s">
        <v>125</v>
      </c>
      <c r="AY3" s="80" t="s">
        <v>126</v>
      </c>
      <c r="AZ3" s="80" t="s">
        <v>127</v>
      </c>
      <c r="BA3" s="80" t="s">
        <v>108</v>
      </c>
      <c r="BB3" s="80" t="s">
        <v>128</v>
      </c>
      <c r="BC3" s="80" t="s">
        <v>129</v>
      </c>
      <c r="BD3" s="80" t="s">
        <v>130</v>
      </c>
      <c r="BE3" s="50" t="s">
        <v>131</v>
      </c>
      <c r="BF3" s="50"/>
      <c r="BG3" s="80" t="s">
        <v>2</v>
      </c>
      <c r="BH3" s="80" t="s">
        <v>3</v>
      </c>
      <c r="BI3" s="80" t="s">
        <v>9</v>
      </c>
      <c r="BJ3" s="80" t="s">
        <v>113</v>
      </c>
      <c r="BK3" s="80" t="s">
        <v>124</v>
      </c>
      <c r="BL3" s="80" t="s">
        <v>125</v>
      </c>
      <c r="BM3" s="80" t="s">
        <v>126</v>
      </c>
      <c r="BN3" s="80" t="s">
        <v>127</v>
      </c>
      <c r="BO3" s="80" t="s">
        <v>108</v>
      </c>
      <c r="BP3" s="80" t="s">
        <v>128</v>
      </c>
      <c r="BQ3" s="80" t="s">
        <v>129</v>
      </c>
      <c r="BR3" s="80" t="s">
        <v>130</v>
      </c>
      <c r="BS3" s="50" t="s">
        <v>131</v>
      </c>
      <c r="BT3" s="84"/>
      <c r="BW3" s="6" t="s">
        <v>1</v>
      </c>
      <c r="BX3" s="81" t="s">
        <v>115</v>
      </c>
      <c r="BY3" s="81" t="s">
        <v>116</v>
      </c>
      <c r="BZ3" s="81" t="s">
        <v>117</v>
      </c>
      <c r="CA3" s="81" t="s">
        <v>118</v>
      </c>
      <c r="CB3" s="82" t="s">
        <v>119</v>
      </c>
      <c r="CC3" s="82"/>
      <c r="CD3" s="81" t="s">
        <v>115</v>
      </c>
      <c r="CE3" s="81" t="s">
        <v>116</v>
      </c>
      <c r="CF3" s="81" t="s">
        <v>117</v>
      </c>
      <c r="CG3" s="81" t="s">
        <v>118</v>
      </c>
      <c r="CH3" s="82" t="s">
        <v>119</v>
      </c>
      <c r="CI3" s="82"/>
      <c r="CJ3" s="81" t="s">
        <v>115</v>
      </c>
      <c r="CK3" s="81" t="s">
        <v>116</v>
      </c>
      <c r="CL3" s="81" t="s">
        <v>117</v>
      </c>
      <c r="CM3" s="81" t="s">
        <v>118</v>
      </c>
      <c r="CN3" s="82" t="s">
        <v>119</v>
      </c>
      <c r="CO3" s="82"/>
      <c r="CP3" s="81" t="s">
        <v>115</v>
      </c>
      <c r="CQ3" s="81" t="s">
        <v>116</v>
      </c>
      <c r="CR3" s="81" t="s">
        <v>117</v>
      </c>
      <c r="CS3" s="81" t="s">
        <v>118</v>
      </c>
      <c r="CT3" s="82" t="s">
        <v>119</v>
      </c>
      <c r="CU3" s="82"/>
      <c r="CV3" s="81" t="s">
        <v>115</v>
      </c>
      <c r="CW3" s="81" t="s">
        <v>116</v>
      </c>
      <c r="CX3" s="81" t="s">
        <v>117</v>
      </c>
      <c r="CY3" s="81" t="s">
        <v>118</v>
      </c>
      <c r="CZ3" s="82" t="s">
        <v>119</v>
      </c>
      <c r="DA3" s="82"/>
      <c r="DB3" s="81" t="s">
        <v>115</v>
      </c>
      <c r="DC3" s="81" t="s">
        <v>116</v>
      </c>
      <c r="DD3" s="81" t="s">
        <v>117</v>
      </c>
      <c r="DE3" s="81" t="s">
        <v>118</v>
      </c>
      <c r="DF3" s="82" t="s">
        <v>119</v>
      </c>
      <c r="DG3" s="82"/>
      <c r="DH3" s="81" t="s">
        <v>115</v>
      </c>
      <c r="DI3" s="81" t="s">
        <v>116</v>
      </c>
      <c r="DJ3" s="81" t="s">
        <v>117</v>
      </c>
      <c r="DK3" s="81" t="s">
        <v>118</v>
      </c>
      <c r="DL3" s="82" t="s">
        <v>119</v>
      </c>
      <c r="DM3" s="82"/>
      <c r="DN3" s="82"/>
      <c r="DR3" s="80" t="s">
        <v>31</v>
      </c>
      <c r="DS3" s="80"/>
    </row>
    <row r="4" spans="1:123" ht="23.25" customHeight="1" x14ac:dyDescent="0.15">
      <c r="A4" s="8"/>
      <c r="B4" s="29"/>
      <c r="C4" s="9" t="s">
        <v>65</v>
      </c>
      <c r="D4" s="25" t="s">
        <v>65</v>
      </c>
      <c r="E4" s="24" t="s">
        <v>65</v>
      </c>
      <c r="F4" s="25" t="s">
        <v>65</v>
      </c>
      <c r="G4" s="25" t="s">
        <v>65</v>
      </c>
      <c r="H4" s="25" t="s">
        <v>65</v>
      </c>
      <c r="I4" s="25" t="s">
        <v>65</v>
      </c>
      <c r="J4" s="25" t="s">
        <v>65</v>
      </c>
      <c r="K4" s="25" t="s">
        <v>65</v>
      </c>
      <c r="L4" s="25" t="s">
        <v>65</v>
      </c>
      <c r="M4" s="25" t="s">
        <v>65</v>
      </c>
      <c r="N4" s="25" t="s">
        <v>65</v>
      </c>
      <c r="O4" s="25" t="s">
        <v>65</v>
      </c>
      <c r="P4" s="25"/>
      <c r="Q4" s="22" t="s">
        <v>63</v>
      </c>
      <c r="R4" s="22" t="s">
        <v>63</v>
      </c>
      <c r="S4" s="22" t="s">
        <v>63</v>
      </c>
      <c r="T4" s="22" t="s">
        <v>63</v>
      </c>
      <c r="U4" s="22" t="s">
        <v>63</v>
      </c>
      <c r="V4" s="22" t="s">
        <v>63</v>
      </c>
      <c r="W4" s="22" t="s">
        <v>63</v>
      </c>
      <c r="X4" s="22" t="s">
        <v>63</v>
      </c>
      <c r="Y4" s="22" t="s">
        <v>63</v>
      </c>
      <c r="Z4" s="22" t="s">
        <v>63</v>
      </c>
      <c r="AA4" s="22" t="s">
        <v>63</v>
      </c>
      <c r="AB4" s="22" t="s">
        <v>63</v>
      </c>
      <c r="AC4" s="22" t="s">
        <v>63</v>
      </c>
      <c r="AD4" s="22"/>
      <c r="AE4" s="11" t="s">
        <v>64</v>
      </c>
      <c r="AF4" s="11" t="s">
        <v>64</v>
      </c>
      <c r="AG4" s="11" t="s">
        <v>64</v>
      </c>
      <c r="AH4" s="11" t="s">
        <v>64</v>
      </c>
      <c r="AI4" s="11" t="s">
        <v>64</v>
      </c>
      <c r="AJ4" s="11" t="s">
        <v>64</v>
      </c>
      <c r="AK4" s="11" t="s">
        <v>64</v>
      </c>
      <c r="AL4" s="11" t="s">
        <v>64</v>
      </c>
      <c r="AM4" s="11" t="s">
        <v>64</v>
      </c>
      <c r="AN4" s="11" t="s">
        <v>64</v>
      </c>
      <c r="AO4" s="11" t="s">
        <v>64</v>
      </c>
      <c r="AP4" s="11" t="s">
        <v>64</v>
      </c>
      <c r="AQ4" s="11" t="s">
        <v>64</v>
      </c>
      <c r="AR4" s="11"/>
      <c r="AS4" s="51" t="s">
        <v>100</v>
      </c>
      <c r="AT4" s="51" t="s">
        <v>100</v>
      </c>
      <c r="AU4" s="51" t="s">
        <v>100</v>
      </c>
      <c r="AV4" s="51" t="s">
        <v>100</v>
      </c>
      <c r="AW4" s="51" t="s">
        <v>100</v>
      </c>
      <c r="AX4" s="51" t="s">
        <v>100</v>
      </c>
      <c r="AY4" s="51" t="s">
        <v>100</v>
      </c>
      <c r="AZ4" s="51" t="s">
        <v>100</v>
      </c>
      <c r="BA4" s="51" t="s">
        <v>100</v>
      </c>
      <c r="BB4" s="51" t="s">
        <v>100</v>
      </c>
      <c r="BC4" s="51" t="s">
        <v>100</v>
      </c>
      <c r="BD4" s="51" t="s">
        <v>100</v>
      </c>
      <c r="BE4" s="51" t="s">
        <v>100</v>
      </c>
      <c r="BF4" s="51"/>
      <c r="BG4" s="61" t="s">
        <v>114</v>
      </c>
      <c r="BH4" s="61" t="s">
        <v>114</v>
      </c>
      <c r="BI4" s="61" t="s">
        <v>114</v>
      </c>
      <c r="BJ4" s="61" t="s">
        <v>114</v>
      </c>
      <c r="BK4" s="61" t="s">
        <v>114</v>
      </c>
      <c r="BL4" s="61" t="s">
        <v>114</v>
      </c>
      <c r="BM4" s="61" t="s">
        <v>114</v>
      </c>
      <c r="BN4" s="61" t="s">
        <v>114</v>
      </c>
      <c r="BO4" s="61" t="s">
        <v>114</v>
      </c>
      <c r="BP4" s="61" t="s">
        <v>114</v>
      </c>
      <c r="BQ4" s="61" t="s">
        <v>114</v>
      </c>
      <c r="BR4" s="61" t="s">
        <v>114</v>
      </c>
      <c r="BS4" s="61" t="s">
        <v>114</v>
      </c>
      <c r="BT4" s="85"/>
      <c r="BW4" s="8"/>
      <c r="BX4" s="37" t="s">
        <v>120</v>
      </c>
      <c r="BY4" s="37" t="s">
        <v>120</v>
      </c>
      <c r="BZ4" s="37" t="s">
        <v>64</v>
      </c>
      <c r="CA4" s="37" t="s">
        <v>64</v>
      </c>
      <c r="CB4" s="37" t="s">
        <v>120</v>
      </c>
      <c r="CC4" s="37"/>
      <c r="CD4" s="34" t="s">
        <v>92</v>
      </c>
      <c r="CE4" s="34" t="s">
        <v>92</v>
      </c>
      <c r="CF4" s="34" t="s">
        <v>92</v>
      </c>
      <c r="CG4" s="34" t="s">
        <v>92</v>
      </c>
      <c r="CH4" s="34" t="s">
        <v>92</v>
      </c>
      <c r="CI4" s="34"/>
      <c r="CJ4" s="25" t="s">
        <v>101</v>
      </c>
      <c r="CK4" s="25" t="s">
        <v>101</v>
      </c>
      <c r="CL4" s="25" t="s">
        <v>101</v>
      </c>
      <c r="CM4" s="25" t="s">
        <v>101</v>
      </c>
      <c r="CN4" s="25" t="s">
        <v>101</v>
      </c>
      <c r="CO4" s="25"/>
      <c r="CP4" s="51" t="s">
        <v>100</v>
      </c>
      <c r="CQ4" s="51" t="s">
        <v>100</v>
      </c>
      <c r="CR4" s="51" t="s">
        <v>100</v>
      </c>
      <c r="CS4" s="51" t="s">
        <v>123</v>
      </c>
      <c r="CT4" s="51" t="s">
        <v>100</v>
      </c>
      <c r="CU4" s="51"/>
      <c r="CV4" s="61" t="s">
        <v>121</v>
      </c>
      <c r="CW4" s="61" t="s">
        <v>121</v>
      </c>
      <c r="CX4" s="61" t="s">
        <v>121</v>
      </c>
      <c r="CY4" s="61" t="s">
        <v>121</v>
      </c>
      <c r="CZ4" s="61" t="s">
        <v>121</v>
      </c>
      <c r="DA4" s="61"/>
      <c r="DB4" s="67" t="s">
        <v>122</v>
      </c>
      <c r="DC4" s="67" t="s">
        <v>122</v>
      </c>
      <c r="DD4" s="67" t="s">
        <v>122</v>
      </c>
      <c r="DE4" s="67" t="s">
        <v>122</v>
      </c>
      <c r="DF4" s="67" t="s">
        <v>122</v>
      </c>
      <c r="DG4" s="67"/>
      <c r="DH4" s="70" t="s">
        <v>114</v>
      </c>
      <c r="DI4" s="70" t="s">
        <v>114</v>
      </c>
      <c r="DJ4" s="70" t="s">
        <v>114</v>
      </c>
      <c r="DK4" s="70" t="s">
        <v>114</v>
      </c>
      <c r="DL4" s="70" t="s">
        <v>114</v>
      </c>
      <c r="DM4" s="70"/>
      <c r="DN4" s="25"/>
      <c r="DR4" s="22" t="s">
        <v>63</v>
      </c>
      <c r="DS4" s="11" t="s">
        <v>64</v>
      </c>
    </row>
    <row r="5" spans="1:123" ht="24" customHeight="1" x14ac:dyDescent="0.15">
      <c r="A5" s="26" t="s">
        <v>59</v>
      </c>
      <c r="B5" s="31"/>
      <c r="C5" s="42">
        <f t="shared" ref="C5:P5" si="0">COUNT(C6:C73)</f>
        <v>9</v>
      </c>
      <c r="D5" s="45">
        <f t="shared" si="0"/>
        <v>9</v>
      </c>
      <c r="E5" s="42">
        <f t="shared" si="0"/>
        <v>8</v>
      </c>
      <c r="F5" s="45">
        <f t="shared" si="0"/>
        <v>11</v>
      </c>
      <c r="G5" s="45">
        <f t="shared" si="0"/>
        <v>9</v>
      </c>
      <c r="H5" s="45">
        <f t="shared" si="0"/>
        <v>15</v>
      </c>
      <c r="I5" s="45">
        <f t="shared" si="0"/>
        <v>7</v>
      </c>
      <c r="J5" s="45">
        <f t="shared" si="0"/>
        <v>7</v>
      </c>
      <c r="K5" s="45">
        <f t="shared" si="0"/>
        <v>16</v>
      </c>
      <c r="L5" s="45">
        <f t="shared" si="0"/>
        <v>2</v>
      </c>
      <c r="M5" s="45">
        <f t="shared" si="0"/>
        <v>7</v>
      </c>
      <c r="N5" s="45">
        <f t="shared" si="0"/>
        <v>10</v>
      </c>
      <c r="O5" s="45">
        <f t="shared" si="0"/>
        <v>8</v>
      </c>
      <c r="P5" s="45">
        <f t="shared" si="0"/>
        <v>29</v>
      </c>
      <c r="Q5" s="43">
        <f t="shared" ref="Q5:AC5" si="1">COUNT(Q6:Q73)</f>
        <v>12</v>
      </c>
      <c r="R5" s="43">
        <f t="shared" si="1"/>
        <v>14</v>
      </c>
      <c r="S5" s="43">
        <f t="shared" si="1"/>
        <v>9</v>
      </c>
      <c r="T5" s="43">
        <f t="shared" si="1"/>
        <v>14</v>
      </c>
      <c r="U5" s="43">
        <f t="shared" si="1"/>
        <v>12</v>
      </c>
      <c r="V5" s="43">
        <f t="shared" si="1"/>
        <v>23</v>
      </c>
      <c r="W5" s="43">
        <f t="shared" si="1"/>
        <v>10</v>
      </c>
      <c r="X5" s="43">
        <f t="shared" si="1"/>
        <v>12</v>
      </c>
      <c r="Y5" s="43">
        <f t="shared" si="1"/>
        <v>10</v>
      </c>
      <c r="Z5" s="43">
        <f t="shared" si="1"/>
        <v>5</v>
      </c>
      <c r="AA5" s="43">
        <f t="shared" si="1"/>
        <v>10</v>
      </c>
      <c r="AB5" s="43">
        <f t="shared" si="1"/>
        <v>17</v>
      </c>
      <c r="AC5" s="43">
        <f t="shared" si="1"/>
        <v>10</v>
      </c>
      <c r="AD5" s="43"/>
      <c r="AE5" s="44">
        <f t="shared" ref="AE5:AQ5" si="2">COUNT(AE6:AE73)</f>
        <v>25</v>
      </c>
      <c r="AF5" s="44">
        <f t="shared" si="2"/>
        <v>20</v>
      </c>
      <c r="AG5" s="44">
        <f t="shared" si="2"/>
        <v>14</v>
      </c>
      <c r="AH5" s="44">
        <f t="shared" si="2"/>
        <v>16</v>
      </c>
      <c r="AI5" s="44">
        <f t="shared" si="2"/>
        <v>16</v>
      </c>
      <c r="AJ5" s="44">
        <f t="shared" si="2"/>
        <v>17</v>
      </c>
      <c r="AK5" s="44">
        <f t="shared" si="2"/>
        <v>12</v>
      </c>
      <c r="AL5" s="44">
        <f t="shared" si="2"/>
        <v>14</v>
      </c>
      <c r="AM5" s="44">
        <f t="shared" si="2"/>
        <v>13</v>
      </c>
      <c r="AN5" s="44">
        <f t="shared" si="2"/>
        <v>8</v>
      </c>
      <c r="AO5" s="44">
        <f t="shared" si="2"/>
        <v>17</v>
      </c>
      <c r="AP5" s="44">
        <f t="shared" si="2"/>
        <v>17</v>
      </c>
      <c r="AQ5" s="44">
        <f t="shared" si="2"/>
        <v>11</v>
      </c>
      <c r="AR5" s="44"/>
      <c r="AS5" s="52">
        <f t="shared" ref="AS5:BE5" si="3">COUNT(AS6:AS73)</f>
        <v>22</v>
      </c>
      <c r="AT5" s="52">
        <f t="shared" si="3"/>
        <v>24</v>
      </c>
      <c r="AU5" s="52">
        <f t="shared" si="3"/>
        <v>18</v>
      </c>
      <c r="AV5" s="52">
        <f t="shared" si="3"/>
        <v>20</v>
      </c>
      <c r="AW5" s="52">
        <f t="shared" si="3"/>
        <v>16</v>
      </c>
      <c r="AX5" s="52">
        <f t="shared" si="3"/>
        <v>25</v>
      </c>
      <c r="AY5" s="52">
        <f t="shared" si="3"/>
        <v>15</v>
      </c>
      <c r="AZ5" s="52">
        <f t="shared" si="3"/>
        <v>18</v>
      </c>
      <c r="BA5" s="52">
        <f t="shared" si="3"/>
        <v>16</v>
      </c>
      <c r="BB5" s="52">
        <f t="shared" si="3"/>
        <v>7</v>
      </c>
      <c r="BC5" s="52">
        <f t="shared" si="3"/>
        <v>22</v>
      </c>
      <c r="BD5" s="52">
        <f t="shared" si="3"/>
        <v>16</v>
      </c>
      <c r="BE5" s="52">
        <f t="shared" si="3"/>
        <v>12</v>
      </c>
      <c r="BF5" s="52"/>
      <c r="BG5" s="62">
        <f t="shared" ref="BG5:BO5" si="4">COUNT(BG6:BG73)</f>
        <v>26</v>
      </c>
      <c r="BH5" s="62">
        <f t="shared" si="4"/>
        <v>25</v>
      </c>
      <c r="BI5" s="62">
        <f t="shared" si="4"/>
        <v>19</v>
      </c>
      <c r="BJ5" s="62">
        <f t="shared" si="4"/>
        <v>21</v>
      </c>
      <c r="BK5" s="62">
        <f t="shared" si="4"/>
        <v>22</v>
      </c>
      <c r="BL5" s="62">
        <f t="shared" si="4"/>
        <v>27</v>
      </c>
      <c r="BM5" s="62">
        <f t="shared" si="4"/>
        <v>17</v>
      </c>
      <c r="BN5" s="62">
        <f t="shared" si="4"/>
        <v>20</v>
      </c>
      <c r="BO5" s="62">
        <f t="shared" si="4"/>
        <v>17</v>
      </c>
      <c r="BP5" s="62">
        <f>COUNT(BP6:BP74)</f>
        <v>16</v>
      </c>
      <c r="BQ5" s="62">
        <f>COUNT(BQ6:BQ73)</f>
        <v>23</v>
      </c>
      <c r="BR5" s="62">
        <f>COUNT(BR6:BR73)</f>
        <v>17</v>
      </c>
      <c r="BS5" s="62">
        <f>COUNT(BS6:BS73)</f>
        <v>12</v>
      </c>
      <c r="BT5" s="62">
        <f>COUNT(BT6:BT73)</f>
        <v>50</v>
      </c>
      <c r="BU5" s="62">
        <f>COUNT(BU6:BU73)</f>
        <v>63</v>
      </c>
      <c r="BV5" s="46"/>
      <c r="BW5" s="26" t="s">
        <v>59</v>
      </c>
      <c r="BX5" s="47">
        <f>COUNT(BX7:BX56)</f>
        <v>1</v>
      </c>
      <c r="BY5" s="47">
        <f>COUNT(BY7:BY57)</f>
        <v>2</v>
      </c>
      <c r="BZ5" s="47">
        <f>COUNT(BZ7:BZ57)</f>
        <v>2</v>
      </c>
      <c r="CA5" s="47">
        <f>COUNT(CA7:CA57)</f>
        <v>1</v>
      </c>
      <c r="CB5" s="47">
        <f>COUNT(CB7:CB57)</f>
        <v>0</v>
      </c>
      <c r="CC5" s="93">
        <f>COUNT(CC6:CC73)</f>
        <v>3</v>
      </c>
      <c r="CD5" s="48">
        <f>COUNT(CD7:CD56)</f>
        <v>1</v>
      </c>
      <c r="CE5" s="48">
        <f>COUNT(CE6:CE72)</f>
        <v>10</v>
      </c>
      <c r="CF5" s="48">
        <f>COUNT(CF6:CF72)</f>
        <v>8</v>
      </c>
      <c r="CG5" s="48">
        <f>COUNT(CG6:CG72)</f>
        <v>1</v>
      </c>
      <c r="CH5" s="48">
        <f>COUNT(CH6:CH72)</f>
        <v>0</v>
      </c>
      <c r="CI5" s="93">
        <f>COUNT(CI6:CI73)</f>
        <v>11</v>
      </c>
      <c r="CJ5" s="45">
        <f>COUNT(CJ7:CJ56)</f>
        <v>2</v>
      </c>
      <c r="CK5" s="45">
        <f>COUNT(CK6:CK72)</f>
        <v>10</v>
      </c>
      <c r="CL5" s="45">
        <f>COUNT(CL6:CL72)</f>
        <v>7</v>
      </c>
      <c r="CM5" s="45">
        <f>COUNT(CM6:CM72)</f>
        <v>1</v>
      </c>
      <c r="CN5" s="45">
        <f>COUNT(CN6:CN72)</f>
        <v>0</v>
      </c>
      <c r="CO5" s="93">
        <f>COUNT(CO6:CO73)</f>
        <v>12</v>
      </c>
      <c r="CP5" s="52">
        <f>COUNT(CP7:CP56)</f>
        <v>2</v>
      </c>
      <c r="CQ5" s="52">
        <f>COUNT(CQ6:CQ72)</f>
        <v>10</v>
      </c>
      <c r="CR5" s="52">
        <f>COUNT(CR6:CR72)</f>
        <v>11</v>
      </c>
      <c r="CS5" s="52">
        <f>COUNT(CS6:CS72)</f>
        <v>1</v>
      </c>
      <c r="CT5" s="52">
        <f>COUNT(CT6:CT72)</f>
        <v>1</v>
      </c>
      <c r="CU5" s="93">
        <f>COUNT(CU6:CU73)</f>
        <v>16</v>
      </c>
      <c r="CV5" s="62">
        <f>COUNT(CV7:CV56)</f>
        <v>2</v>
      </c>
      <c r="CW5" s="62">
        <f>COUNT(CW6:CW72)</f>
        <v>9</v>
      </c>
      <c r="CX5" s="62">
        <f>COUNT(CX6:CX72)</f>
        <v>11</v>
      </c>
      <c r="CY5" s="62">
        <f>COUNT(CY6:CY72)</f>
        <v>1</v>
      </c>
      <c r="CZ5" s="62">
        <f>COUNT(CZ6:CZ72)</f>
        <v>1</v>
      </c>
      <c r="DA5" s="93">
        <f>COUNT(DA6:DA73)</f>
        <v>15</v>
      </c>
      <c r="DB5" s="68">
        <f>COUNT(DB7:DB56)</f>
        <v>2</v>
      </c>
      <c r="DC5" s="68">
        <f>COUNT(DC7:DC72)</f>
        <v>9</v>
      </c>
      <c r="DD5" s="68">
        <f>COUNT(DD7:DD72)</f>
        <v>12</v>
      </c>
      <c r="DE5" s="68">
        <f>COUNT(DE7:DE72)</f>
        <v>2</v>
      </c>
      <c r="DF5" s="68">
        <f>COUNT(DF7:DF72)</f>
        <v>1</v>
      </c>
      <c r="DG5" s="93">
        <f>COUNT(DG6:DG73)</f>
        <v>19</v>
      </c>
      <c r="DH5" s="71">
        <f>COUNT(DH7:DH56)</f>
        <v>2</v>
      </c>
      <c r="DI5" s="71">
        <f>COUNT(DI7:DI72)</f>
        <v>11</v>
      </c>
      <c r="DJ5" s="71">
        <f>COUNT(DJ7:DJ72)</f>
        <v>15</v>
      </c>
      <c r="DK5" s="71">
        <f>COUNT(DK7:DK72)</f>
        <v>2</v>
      </c>
      <c r="DL5" s="71">
        <f>COUNT(DL7:DL72)</f>
        <v>1</v>
      </c>
      <c r="DM5" s="93">
        <f>COUNT(DM6:DM73)</f>
        <v>21</v>
      </c>
      <c r="DN5" s="92"/>
      <c r="DR5" s="43">
        <f>COUNT(DR6:DR73)</f>
        <v>7</v>
      </c>
      <c r="DS5" s="44">
        <f>COUNT(DS6:DS73)</f>
        <v>13</v>
      </c>
    </row>
    <row r="6" spans="1:123" ht="14.25" x14ac:dyDescent="0.15">
      <c r="A6" s="2" t="s">
        <v>4</v>
      </c>
      <c r="B6" s="32" t="s">
        <v>4</v>
      </c>
      <c r="C6" s="15">
        <v>2</v>
      </c>
      <c r="D6" s="4">
        <v>2</v>
      </c>
      <c r="E6" s="4">
        <v>5</v>
      </c>
      <c r="F6" s="4">
        <v>2</v>
      </c>
      <c r="G6" s="4">
        <v>1</v>
      </c>
      <c r="H6" s="4">
        <v>3</v>
      </c>
      <c r="I6" s="4"/>
      <c r="J6" s="4">
        <v>3</v>
      </c>
      <c r="K6" s="4">
        <v>2</v>
      </c>
      <c r="L6" s="4"/>
      <c r="M6" s="4">
        <v>3</v>
      </c>
      <c r="N6" s="4">
        <v>2</v>
      </c>
      <c r="O6" s="4">
        <v>2</v>
      </c>
      <c r="P6" s="87">
        <f>COUNTA(C6:O6)</f>
        <v>11</v>
      </c>
      <c r="Q6" s="21">
        <v>4</v>
      </c>
      <c r="R6" s="21">
        <v>2</v>
      </c>
      <c r="S6" s="21">
        <v>4</v>
      </c>
      <c r="T6" s="21">
        <v>3</v>
      </c>
      <c r="U6" s="21">
        <v>2</v>
      </c>
      <c r="V6" s="21">
        <v>1</v>
      </c>
      <c r="W6" s="21"/>
      <c r="X6" s="21">
        <v>2</v>
      </c>
      <c r="Y6" s="21">
        <v>2</v>
      </c>
      <c r="Z6" s="21"/>
      <c r="AA6" s="21">
        <v>3</v>
      </c>
      <c r="AB6" s="21">
        <v>3</v>
      </c>
      <c r="AC6" s="21">
        <v>3</v>
      </c>
      <c r="AD6" s="88">
        <f t="shared" ref="AD6:AD37" si="5">COUNTA(Q6:AC6)</f>
        <v>11</v>
      </c>
      <c r="AE6" s="13">
        <v>2</v>
      </c>
      <c r="AF6" s="13">
        <v>2</v>
      </c>
      <c r="AG6" s="13">
        <v>3</v>
      </c>
      <c r="AH6" s="13">
        <v>2</v>
      </c>
      <c r="AI6" s="13">
        <v>1</v>
      </c>
      <c r="AJ6" s="13">
        <v>1</v>
      </c>
      <c r="AK6" s="13"/>
      <c r="AL6" s="13">
        <v>2</v>
      </c>
      <c r="AM6" s="13">
        <v>2</v>
      </c>
      <c r="AN6" s="13"/>
      <c r="AO6" s="13">
        <v>3</v>
      </c>
      <c r="AP6" s="13">
        <v>3</v>
      </c>
      <c r="AQ6" s="13">
        <v>2</v>
      </c>
      <c r="AR6" s="89">
        <f t="shared" ref="AR6:AR37" si="6">COUNTA(AE6:AQ6)</f>
        <v>11</v>
      </c>
      <c r="AS6" s="54">
        <v>2</v>
      </c>
      <c r="AT6" s="54">
        <v>3</v>
      </c>
      <c r="AU6" s="54">
        <v>4</v>
      </c>
      <c r="AV6" s="54">
        <v>3</v>
      </c>
      <c r="AW6" s="54">
        <v>1</v>
      </c>
      <c r="AX6" s="56">
        <v>2</v>
      </c>
      <c r="AY6" s="54"/>
      <c r="AZ6" s="54">
        <v>2</v>
      </c>
      <c r="BA6" s="54">
        <v>2</v>
      </c>
      <c r="BB6" s="54">
        <v>1</v>
      </c>
      <c r="BC6" s="54">
        <v>3</v>
      </c>
      <c r="BD6" s="54">
        <v>3</v>
      </c>
      <c r="BE6" s="54">
        <v>2</v>
      </c>
      <c r="BF6" s="90">
        <f t="shared" ref="BF6:BF37" si="7">COUNTA(AS6:BE6)</f>
        <v>12</v>
      </c>
      <c r="BG6" s="64">
        <v>2</v>
      </c>
      <c r="BH6" s="64">
        <v>3</v>
      </c>
      <c r="BI6" s="64">
        <v>4</v>
      </c>
      <c r="BJ6" s="64">
        <v>3</v>
      </c>
      <c r="BK6" s="64">
        <v>1</v>
      </c>
      <c r="BL6" s="66">
        <v>2</v>
      </c>
      <c r="BM6" s="64"/>
      <c r="BN6" s="64">
        <v>2</v>
      </c>
      <c r="BO6" s="64">
        <v>1</v>
      </c>
      <c r="BP6" s="64">
        <v>1</v>
      </c>
      <c r="BQ6" s="64">
        <v>3</v>
      </c>
      <c r="BR6" s="64">
        <v>3</v>
      </c>
      <c r="BS6" s="64">
        <v>2</v>
      </c>
      <c r="BT6" s="91">
        <f t="shared" ref="BT6:BT32" si="8">COUNTA(BG6:BS6)</f>
        <v>12</v>
      </c>
      <c r="BU6">
        <f t="shared" ref="BU6:BU32" si="9">COUNTA(C6:O6)+COUNTA(Q6:AC6)+COUNTA(AE6:AQ6)+COUNTA(AS6:BE6)+COUNTA(BG6:BS6)</f>
        <v>57</v>
      </c>
      <c r="BW6" s="2" t="s">
        <v>4</v>
      </c>
      <c r="BX6" s="38"/>
      <c r="BY6" s="38"/>
      <c r="BZ6" s="38">
        <v>1</v>
      </c>
      <c r="CA6" s="38"/>
      <c r="CB6" s="38"/>
      <c r="CC6" s="38">
        <f>COUNTA(BX6:CB6)</f>
        <v>1</v>
      </c>
      <c r="CD6" s="35"/>
      <c r="CE6" s="35">
        <v>1</v>
      </c>
      <c r="CF6" s="35">
        <v>1</v>
      </c>
      <c r="CG6" s="35"/>
      <c r="CH6" s="35"/>
      <c r="CI6" s="83">
        <f>COUNTA(CD6:CH6)</f>
        <v>2</v>
      </c>
      <c r="CK6" s="4">
        <v>1</v>
      </c>
      <c r="CL6" s="4">
        <v>1</v>
      </c>
      <c r="CO6">
        <f>COUNTA(CJ6:CN6)</f>
        <v>2</v>
      </c>
      <c r="CP6" s="54"/>
      <c r="CQ6" s="54">
        <v>1</v>
      </c>
      <c r="CR6" s="54">
        <v>2</v>
      </c>
      <c r="CS6" s="54"/>
      <c r="CT6" s="54"/>
      <c r="CU6" s="54">
        <f t="shared" ref="CU6:CU12" si="10">COUNTA(CP6:CT6)</f>
        <v>2</v>
      </c>
      <c r="CV6" s="64"/>
      <c r="CW6" s="64">
        <v>1</v>
      </c>
      <c r="CX6" s="64">
        <v>1</v>
      </c>
      <c r="CY6" s="64"/>
      <c r="CZ6" s="64"/>
      <c r="DA6" s="64">
        <f t="shared" ref="DA6:DA12" si="11">COUNTA(CV6:CZ6)</f>
        <v>2</v>
      </c>
      <c r="DB6" s="69"/>
      <c r="DC6" s="69">
        <v>1</v>
      </c>
      <c r="DD6" s="69">
        <v>1</v>
      </c>
      <c r="DE6" s="69"/>
      <c r="DF6" s="69"/>
      <c r="DG6" s="69">
        <f t="shared" ref="DG6:DG12" si="12">COUNTA(DB6:DF6)</f>
        <v>2</v>
      </c>
      <c r="DH6" s="72"/>
      <c r="DI6" s="72">
        <v>1</v>
      </c>
      <c r="DJ6" s="72">
        <v>1</v>
      </c>
      <c r="DK6" s="72"/>
      <c r="DL6" s="72"/>
      <c r="DM6" s="72">
        <f t="shared" ref="DM6:DM12" si="13">COUNTA(DH6:DL6)</f>
        <v>2</v>
      </c>
      <c r="DN6" s="4">
        <f t="shared" ref="DN6:DN37" si="14">COUNTA(BX6:CB6)+COUNTA(CD6:CH6)+COUNTA(CJ6:CN6)+COUNTA(CP6:CT6)+COUNTA(CV6:CZ6)+COUNTA(DB6:DF6)+COUNTA(DH6:DL6)</f>
        <v>13</v>
      </c>
      <c r="DO6">
        <f t="shared" ref="DO6:DO37" si="15">BU6+DN6</f>
        <v>70</v>
      </c>
      <c r="DR6" s="21">
        <v>2</v>
      </c>
      <c r="DS6" s="13">
        <v>1</v>
      </c>
    </row>
    <row r="7" spans="1:123" ht="14.25" x14ac:dyDescent="0.15">
      <c r="A7" s="2" t="s">
        <v>12</v>
      </c>
      <c r="B7" s="32" t="s">
        <v>75</v>
      </c>
      <c r="C7" s="15"/>
      <c r="D7" s="4"/>
      <c r="E7" s="4">
        <v>3</v>
      </c>
      <c r="F7" s="4">
        <v>2</v>
      </c>
      <c r="G7" s="4"/>
      <c r="H7" s="4"/>
      <c r="I7" s="4">
        <v>1</v>
      </c>
      <c r="J7" s="4"/>
      <c r="L7" s="4"/>
      <c r="M7" s="4"/>
      <c r="N7" s="4">
        <v>3</v>
      </c>
      <c r="O7" s="4">
        <v>2</v>
      </c>
      <c r="P7" s="87">
        <f>COUNTA(C7:O7)</f>
        <v>5</v>
      </c>
      <c r="Q7" s="21"/>
      <c r="R7" s="21">
        <v>1</v>
      </c>
      <c r="S7" s="21">
        <v>1</v>
      </c>
      <c r="T7" s="21">
        <v>1</v>
      </c>
      <c r="U7" s="21">
        <v>2</v>
      </c>
      <c r="V7" s="21">
        <v>2</v>
      </c>
      <c r="W7" s="21">
        <v>1</v>
      </c>
      <c r="X7" s="21"/>
      <c r="Y7" s="21"/>
      <c r="Z7" s="21"/>
      <c r="AA7" s="21">
        <v>1</v>
      </c>
      <c r="AB7" s="21">
        <v>1</v>
      </c>
      <c r="AC7" s="21">
        <v>1</v>
      </c>
      <c r="AD7" s="88">
        <f t="shared" si="5"/>
        <v>9</v>
      </c>
      <c r="AE7" s="13">
        <v>3</v>
      </c>
      <c r="AF7" s="13">
        <v>3</v>
      </c>
      <c r="AG7" s="13">
        <v>2</v>
      </c>
      <c r="AH7" s="13">
        <v>1</v>
      </c>
      <c r="AI7" s="13">
        <v>2</v>
      </c>
      <c r="AJ7" s="13">
        <v>1</v>
      </c>
      <c r="AK7" s="13">
        <v>1</v>
      </c>
      <c r="AL7" s="13">
        <v>1</v>
      </c>
      <c r="AM7" s="13"/>
      <c r="AN7" s="13"/>
      <c r="AO7" s="13">
        <v>2</v>
      </c>
      <c r="AP7" s="13">
        <v>1</v>
      </c>
      <c r="AQ7" s="13">
        <v>1</v>
      </c>
      <c r="AR7" s="89">
        <f t="shared" si="6"/>
        <v>11</v>
      </c>
      <c r="AS7" s="54">
        <v>2</v>
      </c>
      <c r="AT7" s="54">
        <v>1</v>
      </c>
      <c r="AU7" s="54">
        <v>2</v>
      </c>
      <c r="AV7" s="54">
        <v>1</v>
      </c>
      <c r="AW7" s="54">
        <v>1</v>
      </c>
      <c r="AX7" s="56">
        <v>1</v>
      </c>
      <c r="AY7" s="54">
        <v>1</v>
      </c>
      <c r="AZ7" s="54">
        <v>1</v>
      </c>
      <c r="BA7" s="54"/>
      <c r="BB7" s="54">
        <v>1</v>
      </c>
      <c r="BC7" s="54">
        <v>2</v>
      </c>
      <c r="BD7" s="54">
        <v>1</v>
      </c>
      <c r="BE7" s="54">
        <v>1</v>
      </c>
      <c r="BF7" s="90">
        <f t="shared" si="7"/>
        <v>12</v>
      </c>
      <c r="BG7" s="64">
        <v>1</v>
      </c>
      <c r="BH7" s="64">
        <v>1</v>
      </c>
      <c r="BI7" s="64">
        <v>2</v>
      </c>
      <c r="BJ7" s="64">
        <v>1</v>
      </c>
      <c r="BK7" s="64">
        <v>1</v>
      </c>
      <c r="BL7" s="66">
        <v>2</v>
      </c>
      <c r="BM7" s="64"/>
      <c r="BN7" s="64">
        <v>1</v>
      </c>
      <c r="BO7" s="64"/>
      <c r="BP7" s="64">
        <v>1</v>
      </c>
      <c r="BQ7" s="64">
        <v>2</v>
      </c>
      <c r="BR7" s="64">
        <v>1</v>
      </c>
      <c r="BS7" s="64">
        <v>1</v>
      </c>
      <c r="BT7" s="91">
        <f t="shared" si="8"/>
        <v>11</v>
      </c>
      <c r="BU7">
        <f t="shared" si="9"/>
        <v>48</v>
      </c>
      <c r="BW7" s="2" t="s">
        <v>12</v>
      </c>
      <c r="BX7" s="38"/>
      <c r="BY7" s="38">
        <v>2</v>
      </c>
      <c r="BZ7" s="38">
        <v>2</v>
      </c>
      <c r="CA7" s="38">
        <v>2</v>
      </c>
      <c r="CB7" s="38"/>
      <c r="CC7" s="38">
        <f>COUNTA(BX7:CB7)</f>
        <v>3</v>
      </c>
      <c r="CD7" s="35"/>
      <c r="CE7" s="35">
        <v>2</v>
      </c>
      <c r="CF7" s="35">
        <v>2</v>
      </c>
      <c r="CG7" s="35">
        <v>1</v>
      </c>
      <c r="CH7" s="35"/>
      <c r="CI7" s="83">
        <f>COUNTA(CD7:CH7)</f>
        <v>3</v>
      </c>
      <c r="CK7" s="4">
        <v>3</v>
      </c>
      <c r="CL7" s="4">
        <v>2</v>
      </c>
      <c r="CM7" s="4">
        <v>1</v>
      </c>
      <c r="CO7">
        <f>COUNTA(CJ7:CN7)</f>
        <v>3</v>
      </c>
      <c r="CP7" s="54"/>
      <c r="CQ7" s="54">
        <v>2</v>
      </c>
      <c r="CR7" s="54">
        <v>2</v>
      </c>
      <c r="CS7" s="54">
        <v>1</v>
      </c>
      <c r="CT7" s="54"/>
      <c r="CU7" s="54">
        <f t="shared" si="10"/>
        <v>3</v>
      </c>
      <c r="CV7" s="64"/>
      <c r="CW7" s="64">
        <v>2</v>
      </c>
      <c r="CX7" s="64">
        <v>2</v>
      </c>
      <c r="CY7" s="64">
        <v>1</v>
      </c>
      <c r="CZ7" s="64"/>
      <c r="DA7" s="64">
        <f t="shared" si="11"/>
        <v>3</v>
      </c>
      <c r="DB7" s="69"/>
      <c r="DC7" s="69">
        <v>2</v>
      </c>
      <c r="DD7" s="69">
        <v>2</v>
      </c>
      <c r="DE7" s="69">
        <v>1</v>
      </c>
      <c r="DF7" s="69"/>
      <c r="DG7" s="69">
        <f t="shared" si="12"/>
        <v>3</v>
      </c>
      <c r="DH7" s="72"/>
      <c r="DI7" s="72">
        <v>2</v>
      </c>
      <c r="DJ7" s="72">
        <v>2</v>
      </c>
      <c r="DK7" s="72">
        <v>1</v>
      </c>
      <c r="DL7" s="72"/>
      <c r="DM7" s="72">
        <f t="shared" si="13"/>
        <v>3</v>
      </c>
      <c r="DN7" s="4">
        <f t="shared" si="14"/>
        <v>21</v>
      </c>
      <c r="DO7">
        <f t="shared" si="15"/>
        <v>69</v>
      </c>
      <c r="DR7" s="21"/>
      <c r="DS7" s="13">
        <v>1</v>
      </c>
    </row>
    <row r="8" spans="1:123" ht="14.25" x14ac:dyDescent="0.15">
      <c r="A8" s="2" t="s">
        <v>21</v>
      </c>
      <c r="B8" s="15" t="s">
        <v>80</v>
      </c>
      <c r="C8" s="15">
        <v>1</v>
      </c>
      <c r="D8" s="4">
        <v>1</v>
      </c>
      <c r="E8" s="4"/>
      <c r="F8" s="4">
        <v>1</v>
      </c>
      <c r="G8" s="4"/>
      <c r="H8" s="4">
        <v>2</v>
      </c>
      <c r="I8" s="4"/>
      <c r="J8" s="4">
        <v>2</v>
      </c>
      <c r="K8" s="4">
        <v>2</v>
      </c>
      <c r="L8" s="4"/>
      <c r="M8" s="4">
        <v>4</v>
      </c>
      <c r="N8" s="4">
        <v>4</v>
      </c>
      <c r="O8" s="4">
        <v>3</v>
      </c>
      <c r="P8" s="87">
        <f>COUNTA(C8:O8)</f>
        <v>9</v>
      </c>
      <c r="Q8" s="21">
        <v>2</v>
      </c>
      <c r="R8" s="21">
        <v>2</v>
      </c>
      <c r="S8" s="21">
        <v>1</v>
      </c>
      <c r="T8" s="21">
        <v>1</v>
      </c>
      <c r="U8" s="21"/>
      <c r="V8" s="21">
        <v>2</v>
      </c>
      <c r="W8" s="21"/>
      <c r="X8" s="21">
        <v>2</v>
      </c>
      <c r="Y8" s="21">
        <v>2</v>
      </c>
      <c r="Z8" s="21"/>
      <c r="AA8" s="21">
        <v>4</v>
      </c>
      <c r="AB8" s="21">
        <v>3</v>
      </c>
      <c r="AC8" s="21">
        <v>3</v>
      </c>
      <c r="AD8" s="88">
        <f t="shared" si="5"/>
        <v>10</v>
      </c>
      <c r="AE8" s="13">
        <v>1</v>
      </c>
      <c r="AF8" s="13">
        <v>2</v>
      </c>
      <c r="AG8" s="13">
        <v>1</v>
      </c>
      <c r="AH8" s="13">
        <v>1</v>
      </c>
      <c r="AI8" s="13"/>
      <c r="AJ8" s="13">
        <v>1</v>
      </c>
      <c r="AK8" s="13">
        <v>1</v>
      </c>
      <c r="AL8" s="13">
        <v>1</v>
      </c>
      <c r="AM8" s="13">
        <v>2</v>
      </c>
      <c r="AN8" s="13"/>
      <c r="AO8" s="13">
        <v>3</v>
      </c>
      <c r="AP8" s="13">
        <v>2</v>
      </c>
      <c r="AQ8" s="13">
        <v>3</v>
      </c>
      <c r="AR8" s="89">
        <f t="shared" si="6"/>
        <v>11</v>
      </c>
      <c r="AS8" s="54">
        <v>1</v>
      </c>
      <c r="AT8" s="54">
        <v>2</v>
      </c>
      <c r="AU8" s="54">
        <v>3</v>
      </c>
      <c r="AV8" s="54">
        <v>2</v>
      </c>
      <c r="AW8" s="54"/>
      <c r="AX8" s="56">
        <v>2</v>
      </c>
      <c r="AY8" s="54"/>
      <c r="AZ8" s="54">
        <v>1</v>
      </c>
      <c r="BA8" s="54">
        <v>2</v>
      </c>
      <c r="BB8" s="54"/>
      <c r="BC8" s="54">
        <v>3</v>
      </c>
      <c r="BD8" s="54">
        <v>3</v>
      </c>
      <c r="BE8" s="54">
        <v>2</v>
      </c>
      <c r="BF8" s="90">
        <f t="shared" si="7"/>
        <v>10</v>
      </c>
      <c r="BG8" s="64">
        <v>1</v>
      </c>
      <c r="BH8" s="64">
        <v>1</v>
      </c>
      <c r="BI8" s="64">
        <v>2</v>
      </c>
      <c r="BJ8" s="64">
        <v>2</v>
      </c>
      <c r="BK8" s="64"/>
      <c r="BL8" s="66">
        <v>2</v>
      </c>
      <c r="BM8" s="64"/>
      <c r="BN8" s="64">
        <v>1</v>
      </c>
      <c r="BO8" s="64">
        <v>1</v>
      </c>
      <c r="BP8" s="64">
        <v>2</v>
      </c>
      <c r="BQ8" s="64">
        <v>2</v>
      </c>
      <c r="BR8" s="64">
        <v>3</v>
      </c>
      <c r="BS8" s="64">
        <v>2</v>
      </c>
      <c r="BT8" s="91">
        <f t="shared" si="8"/>
        <v>11</v>
      </c>
      <c r="BU8">
        <f t="shared" si="9"/>
        <v>51</v>
      </c>
      <c r="BW8" s="2" t="s">
        <v>21</v>
      </c>
      <c r="BX8" s="38"/>
      <c r="BY8" s="38"/>
      <c r="BZ8" s="38"/>
      <c r="CA8" s="38"/>
      <c r="CB8" s="38"/>
      <c r="CC8" s="38"/>
      <c r="CD8" s="35"/>
      <c r="CE8" s="35">
        <v>1</v>
      </c>
      <c r="CF8" s="35">
        <v>1</v>
      </c>
      <c r="CG8" s="35"/>
      <c r="CH8" s="35"/>
      <c r="CI8" s="83">
        <f>COUNTA(CD8:CH8)</f>
        <v>2</v>
      </c>
      <c r="CK8" s="4">
        <v>1</v>
      </c>
      <c r="CL8" s="4">
        <v>1</v>
      </c>
      <c r="CO8">
        <f>COUNTA(CJ8:CN8)</f>
        <v>2</v>
      </c>
      <c r="CP8" s="54"/>
      <c r="CQ8" s="54">
        <v>1</v>
      </c>
      <c r="CR8" s="54">
        <v>1</v>
      </c>
      <c r="CS8" s="54"/>
      <c r="CT8" s="54"/>
      <c r="CU8" s="54">
        <f t="shared" si="10"/>
        <v>2</v>
      </c>
      <c r="CV8" s="64"/>
      <c r="CW8" s="64">
        <v>1</v>
      </c>
      <c r="CX8" s="64">
        <v>1</v>
      </c>
      <c r="CY8" s="64"/>
      <c r="CZ8" s="64"/>
      <c r="DA8" s="64">
        <f t="shared" si="11"/>
        <v>2</v>
      </c>
      <c r="DB8" s="69"/>
      <c r="DC8" s="69"/>
      <c r="DD8" s="69">
        <v>1</v>
      </c>
      <c r="DE8" s="69"/>
      <c r="DF8" s="69"/>
      <c r="DG8" s="69">
        <f t="shared" si="12"/>
        <v>1</v>
      </c>
      <c r="DH8" s="72"/>
      <c r="DI8" s="72">
        <v>1</v>
      </c>
      <c r="DJ8" s="72">
        <v>1</v>
      </c>
      <c r="DK8" s="72"/>
      <c r="DL8" s="72"/>
      <c r="DM8" s="72">
        <f t="shared" si="13"/>
        <v>2</v>
      </c>
      <c r="DN8" s="4">
        <f t="shared" si="14"/>
        <v>11</v>
      </c>
      <c r="DO8">
        <f t="shared" si="15"/>
        <v>62</v>
      </c>
      <c r="DR8" s="21"/>
      <c r="DS8" s="13">
        <v>1</v>
      </c>
    </row>
    <row r="9" spans="1:123" ht="14.25" x14ac:dyDescent="0.15">
      <c r="A9" s="2" t="s">
        <v>49</v>
      </c>
      <c r="B9" s="32" t="s">
        <v>84</v>
      </c>
      <c r="C9" s="17"/>
      <c r="D9" s="4"/>
      <c r="E9" s="4"/>
      <c r="G9" s="4"/>
      <c r="H9" s="4"/>
      <c r="I9" s="4"/>
      <c r="J9" s="4"/>
      <c r="L9" s="4"/>
      <c r="M9" s="4"/>
      <c r="N9" s="4"/>
      <c r="O9" s="4"/>
      <c r="P9" s="87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88">
        <f t="shared" si="5"/>
        <v>0</v>
      </c>
      <c r="AE9" s="13">
        <v>1</v>
      </c>
      <c r="AF9" s="13">
        <v>1</v>
      </c>
      <c r="AG9" s="13">
        <v>1</v>
      </c>
      <c r="AH9" s="13">
        <v>2</v>
      </c>
      <c r="AI9" s="13">
        <v>1</v>
      </c>
      <c r="AJ9" s="13">
        <v>3</v>
      </c>
      <c r="AK9" s="13">
        <v>1</v>
      </c>
      <c r="AL9" s="13">
        <v>1</v>
      </c>
      <c r="AM9" s="13">
        <v>2</v>
      </c>
      <c r="AN9" s="13">
        <v>2</v>
      </c>
      <c r="AO9" s="13">
        <v>1</v>
      </c>
      <c r="AP9" s="13"/>
      <c r="AQ9" s="13">
        <v>1</v>
      </c>
      <c r="AR9" s="89">
        <f t="shared" si="6"/>
        <v>12</v>
      </c>
      <c r="AS9" s="54">
        <v>2</v>
      </c>
      <c r="AT9" s="54">
        <v>3</v>
      </c>
      <c r="AU9" s="54">
        <v>2</v>
      </c>
      <c r="AV9" s="54">
        <v>2</v>
      </c>
      <c r="AW9" s="54">
        <v>1</v>
      </c>
      <c r="AX9" s="56">
        <v>3</v>
      </c>
      <c r="AY9" s="54">
        <v>2</v>
      </c>
      <c r="AZ9" s="54">
        <v>2</v>
      </c>
      <c r="BA9" s="54">
        <v>2</v>
      </c>
      <c r="BB9" s="54">
        <v>2</v>
      </c>
      <c r="BC9" s="54">
        <v>3</v>
      </c>
      <c r="BD9" s="54">
        <v>2</v>
      </c>
      <c r="BE9" s="54">
        <v>2</v>
      </c>
      <c r="BF9" s="90">
        <f t="shared" si="7"/>
        <v>13</v>
      </c>
      <c r="BG9" s="64">
        <v>2</v>
      </c>
      <c r="BH9" s="64">
        <v>1</v>
      </c>
      <c r="BI9" s="64">
        <v>2</v>
      </c>
      <c r="BJ9" s="64">
        <v>2</v>
      </c>
      <c r="BK9" s="64">
        <v>1</v>
      </c>
      <c r="BL9" s="66">
        <v>3</v>
      </c>
      <c r="BM9" s="64">
        <v>3</v>
      </c>
      <c r="BN9" s="64">
        <v>2</v>
      </c>
      <c r="BO9" s="64">
        <v>1</v>
      </c>
      <c r="BP9" s="64">
        <v>1</v>
      </c>
      <c r="BQ9" s="64">
        <v>2</v>
      </c>
      <c r="BR9" s="64">
        <v>2</v>
      </c>
      <c r="BS9" s="64">
        <v>2</v>
      </c>
      <c r="BT9" s="91">
        <f t="shared" si="8"/>
        <v>13</v>
      </c>
      <c r="BU9">
        <f t="shared" si="9"/>
        <v>38</v>
      </c>
      <c r="BW9" s="2" t="s">
        <v>49</v>
      </c>
      <c r="BX9" s="38">
        <v>1</v>
      </c>
      <c r="BY9" s="38">
        <v>1</v>
      </c>
      <c r="BZ9" s="38">
        <v>1</v>
      </c>
      <c r="CA9" s="38"/>
      <c r="CB9" s="38"/>
      <c r="CC9" s="38">
        <f>COUNTA(BX9:CB9)</f>
        <v>3</v>
      </c>
      <c r="CD9" s="35">
        <v>1</v>
      </c>
      <c r="CE9" s="35">
        <v>3</v>
      </c>
      <c r="CF9" s="35">
        <v>3</v>
      </c>
      <c r="CG9" s="35"/>
      <c r="CH9" s="35"/>
      <c r="CI9" s="83">
        <f>COUNTA(CD9:CH9)</f>
        <v>3</v>
      </c>
      <c r="CJ9" s="4">
        <v>2</v>
      </c>
      <c r="CK9" s="4">
        <v>2</v>
      </c>
      <c r="CL9" s="4">
        <v>4</v>
      </c>
      <c r="CO9">
        <f>COUNTA(CJ9:CN9)</f>
        <v>3</v>
      </c>
      <c r="CP9" s="54">
        <v>2</v>
      </c>
      <c r="CQ9" s="54">
        <v>2</v>
      </c>
      <c r="CR9" s="54">
        <v>2</v>
      </c>
      <c r="CS9" s="54"/>
      <c r="CT9" s="54"/>
      <c r="CU9" s="54">
        <f t="shared" si="10"/>
        <v>3</v>
      </c>
      <c r="CV9" s="64">
        <v>2</v>
      </c>
      <c r="CW9" s="64">
        <v>2</v>
      </c>
      <c r="CX9" s="64">
        <v>2</v>
      </c>
      <c r="CY9" s="64"/>
      <c r="CZ9" s="64"/>
      <c r="DA9" s="64">
        <f t="shared" si="11"/>
        <v>3</v>
      </c>
      <c r="DB9" s="69">
        <v>2</v>
      </c>
      <c r="DC9" s="69">
        <v>3</v>
      </c>
      <c r="DD9" s="69">
        <v>3</v>
      </c>
      <c r="DE9" s="69">
        <v>1</v>
      </c>
      <c r="DF9" s="69"/>
      <c r="DG9" s="69">
        <f t="shared" si="12"/>
        <v>4</v>
      </c>
      <c r="DH9" s="72">
        <v>1</v>
      </c>
      <c r="DI9" s="72">
        <v>3</v>
      </c>
      <c r="DJ9" s="72">
        <v>3</v>
      </c>
      <c r="DK9" s="72">
        <v>1</v>
      </c>
      <c r="DL9" s="72"/>
      <c r="DM9" s="72">
        <f t="shared" si="13"/>
        <v>4</v>
      </c>
      <c r="DN9" s="4">
        <f t="shared" si="14"/>
        <v>23</v>
      </c>
      <c r="DO9">
        <f t="shared" si="15"/>
        <v>61</v>
      </c>
      <c r="DR9" s="21"/>
      <c r="DS9" s="13">
        <v>3</v>
      </c>
    </row>
    <row r="10" spans="1:123" ht="14.25" x14ac:dyDescent="0.15">
      <c r="A10" s="2" t="s">
        <v>5</v>
      </c>
      <c r="B10" s="32" t="s">
        <v>77</v>
      </c>
      <c r="C10" s="15">
        <v>2</v>
      </c>
      <c r="D10" s="4"/>
      <c r="E10" s="4">
        <v>3</v>
      </c>
      <c r="G10" s="4"/>
      <c r="H10" s="4"/>
      <c r="I10" s="4"/>
      <c r="J10" s="4">
        <v>3</v>
      </c>
      <c r="K10" s="4">
        <v>2</v>
      </c>
      <c r="L10" s="4"/>
      <c r="M10" s="4">
        <v>2</v>
      </c>
      <c r="N10" s="4">
        <v>1</v>
      </c>
      <c r="O10" s="4">
        <v>1</v>
      </c>
      <c r="P10" s="87">
        <f t="shared" ref="P10:P15" si="16">COUNTA(C10:O10)</f>
        <v>7</v>
      </c>
      <c r="Q10" s="21">
        <v>2</v>
      </c>
      <c r="R10" s="21">
        <v>1</v>
      </c>
      <c r="S10" s="21">
        <v>1</v>
      </c>
      <c r="T10" s="21">
        <v>1</v>
      </c>
      <c r="U10" s="21">
        <v>1</v>
      </c>
      <c r="V10" s="21">
        <v>3</v>
      </c>
      <c r="W10" s="21">
        <v>4</v>
      </c>
      <c r="X10" s="21">
        <v>2</v>
      </c>
      <c r="Y10" s="21">
        <v>2</v>
      </c>
      <c r="Z10" s="21"/>
      <c r="AA10" s="21">
        <v>1</v>
      </c>
      <c r="AB10" s="21">
        <v>1</v>
      </c>
      <c r="AC10" s="21">
        <v>1</v>
      </c>
      <c r="AD10" s="88">
        <f t="shared" si="5"/>
        <v>12</v>
      </c>
      <c r="AE10" s="13">
        <v>2</v>
      </c>
      <c r="AF10" s="13">
        <v>1</v>
      </c>
      <c r="AG10" s="13">
        <v>1</v>
      </c>
      <c r="AH10" s="13">
        <v>1</v>
      </c>
      <c r="AI10" s="13">
        <v>2</v>
      </c>
      <c r="AJ10" s="13">
        <v>3</v>
      </c>
      <c r="AK10" s="13">
        <v>4</v>
      </c>
      <c r="AL10" s="13">
        <v>2</v>
      </c>
      <c r="AM10" s="13">
        <v>1</v>
      </c>
      <c r="AN10" s="13">
        <v>1</v>
      </c>
      <c r="AO10" s="13"/>
      <c r="AP10" s="13">
        <v>1</v>
      </c>
      <c r="AQ10" s="13">
        <v>1</v>
      </c>
      <c r="AR10" s="89">
        <f t="shared" si="6"/>
        <v>12</v>
      </c>
      <c r="AS10" s="54">
        <v>1</v>
      </c>
      <c r="AT10" s="54">
        <v>1</v>
      </c>
      <c r="AU10" s="54">
        <v>1</v>
      </c>
      <c r="AV10" s="54">
        <v>2</v>
      </c>
      <c r="AW10" s="54">
        <v>1</v>
      </c>
      <c r="AX10" s="56">
        <v>1</v>
      </c>
      <c r="AY10" s="54">
        <v>2</v>
      </c>
      <c r="AZ10" s="54">
        <v>2</v>
      </c>
      <c r="BA10" s="54">
        <v>1</v>
      </c>
      <c r="BB10" s="54"/>
      <c r="BC10" s="54">
        <v>2</v>
      </c>
      <c r="BD10" s="54">
        <v>1</v>
      </c>
      <c r="BE10" s="54">
        <v>1</v>
      </c>
      <c r="BF10" s="90">
        <f t="shared" si="7"/>
        <v>12</v>
      </c>
      <c r="BG10" s="64"/>
      <c r="BH10" s="64">
        <v>1</v>
      </c>
      <c r="BI10" s="64">
        <v>1</v>
      </c>
      <c r="BJ10" s="64">
        <v>1</v>
      </c>
      <c r="BK10" s="64">
        <v>1</v>
      </c>
      <c r="BL10" s="66">
        <v>1</v>
      </c>
      <c r="BM10" s="64">
        <v>1</v>
      </c>
      <c r="BN10" s="64">
        <v>2</v>
      </c>
      <c r="BO10" s="64">
        <v>1</v>
      </c>
      <c r="BP10" s="64"/>
      <c r="BQ10" s="64">
        <v>2</v>
      </c>
      <c r="BR10" s="64">
        <v>1</v>
      </c>
      <c r="BS10" s="64">
        <v>1</v>
      </c>
      <c r="BT10" s="91">
        <f t="shared" si="8"/>
        <v>11</v>
      </c>
      <c r="BU10">
        <f t="shared" si="9"/>
        <v>54</v>
      </c>
      <c r="BW10" s="2" t="s">
        <v>5</v>
      </c>
      <c r="BX10" s="38"/>
      <c r="BY10" s="38"/>
      <c r="BZ10" s="38"/>
      <c r="CA10" s="38"/>
      <c r="CB10" s="38"/>
      <c r="CC10" s="38"/>
      <c r="CD10" s="35"/>
      <c r="CE10" s="35"/>
      <c r="CF10" s="35"/>
      <c r="CG10" s="35"/>
      <c r="CH10" s="35"/>
      <c r="CI10" s="83"/>
      <c r="CO10"/>
      <c r="CP10" s="54"/>
      <c r="CQ10" s="54"/>
      <c r="CR10" s="54">
        <v>1</v>
      </c>
      <c r="CS10" s="54"/>
      <c r="CT10" s="54"/>
      <c r="CU10" s="54">
        <f t="shared" si="10"/>
        <v>1</v>
      </c>
      <c r="CV10" s="64"/>
      <c r="CW10" s="64"/>
      <c r="CX10" s="64">
        <v>1</v>
      </c>
      <c r="CY10" s="64"/>
      <c r="CZ10" s="64"/>
      <c r="DA10" s="64">
        <f t="shared" si="11"/>
        <v>1</v>
      </c>
      <c r="DB10" s="69"/>
      <c r="DC10" s="69"/>
      <c r="DD10" s="69">
        <v>1</v>
      </c>
      <c r="DE10" s="69"/>
      <c r="DF10" s="69"/>
      <c r="DG10" s="69">
        <f t="shared" si="12"/>
        <v>1</v>
      </c>
      <c r="DH10" s="72"/>
      <c r="DI10" s="72"/>
      <c r="DJ10" s="72">
        <v>1</v>
      </c>
      <c r="DK10" s="72"/>
      <c r="DL10" s="72"/>
      <c r="DM10" s="72">
        <f t="shared" si="13"/>
        <v>1</v>
      </c>
      <c r="DN10" s="4">
        <f t="shared" si="14"/>
        <v>4</v>
      </c>
      <c r="DO10">
        <f t="shared" si="15"/>
        <v>58</v>
      </c>
      <c r="DR10" s="21"/>
      <c r="DS10" s="13">
        <v>1</v>
      </c>
    </row>
    <row r="11" spans="1:123" ht="14.25" x14ac:dyDescent="0.15">
      <c r="A11" s="2" t="s">
        <v>19</v>
      </c>
      <c r="B11" s="32" t="s">
        <v>85</v>
      </c>
      <c r="C11" s="15"/>
      <c r="D11" s="4">
        <v>2</v>
      </c>
      <c r="E11" s="4">
        <v>1</v>
      </c>
      <c r="F11" s="4">
        <v>1</v>
      </c>
      <c r="G11" s="4"/>
      <c r="H11" s="4">
        <v>3</v>
      </c>
      <c r="I11" s="4">
        <v>2</v>
      </c>
      <c r="J11" s="4"/>
      <c r="K11" s="4">
        <v>3</v>
      </c>
      <c r="L11" s="4"/>
      <c r="M11" s="4"/>
      <c r="N11" s="4"/>
      <c r="O11" s="4"/>
      <c r="P11" s="87">
        <f t="shared" si="16"/>
        <v>6</v>
      </c>
      <c r="Q11" s="21"/>
      <c r="R11" s="21">
        <v>1</v>
      </c>
      <c r="S11" s="21"/>
      <c r="T11" s="21">
        <v>1</v>
      </c>
      <c r="U11" s="21">
        <v>1</v>
      </c>
      <c r="V11" s="21">
        <v>3</v>
      </c>
      <c r="W11" s="21">
        <v>4</v>
      </c>
      <c r="X11" s="21">
        <v>2</v>
      </c>
      <c r="Y11" s="21">
        <v>2</v>
      </c>
      <c r="Z11" s="21"/>
      <c r="AA11" s="21"/>
      <c r="AB11" s="21">
        <v>2</v>
      </c>
      <c r="AC11" s="21">
        <v>2</v>
      </c>
      <c r="AD11" s="88">
        <f t="shared" si="5"/>
        <v>9</v>
      </c>
      <c r="AE11" s="13">
        <v>1</v>
      </c>
      <c r="AF11" s="13">
        <v>1</v>
      </c>
      <c r="AG11" s="13">
        <v>1</v>
      </c>
      <c r="AH11" s="13">
        <v>1</v>
      </c>
      <c r="AI11" s="13"/>
      <c r="AJ11" s="13">
        <v>3</v>
      </c>
      <c r="AK11" s="13">
        <v>4</v>
      </c>
      <c r="AL11" s="13">
        <v>1</v>
      </c>
      <c r="AM11" s="13">
        <v>1</v>
      </c>
      <c r="AN11" s="13"/>
      <c r="AO11" s="13">
        <v>2</v>
      </c>
      <c r="AP11" s="13">
        <v>2</v>
      </c>
      <c r="AQ11" s="13">
        <v>2</v>
      </c>
      <c r="AR11" s="89">
        <f t="shared" si="6"/>
        <v>11</v>
      </c>
      <c r="AS11" s="54">
        <v>1</v>
      </c>
      <c r="AT11" s="54">
        <v>1</v>
      </c>
      <c r="AU11" s="54">
        <v>1</v>
      </c>
      <c r="AV11" s="54">
        <v>1</v>
      </c>
      <c r="AW11" s="54"/>
      <c r="AX11" s="56">
        <v>3</v>
      </c>
      <c r="AY11" s="54">
        <v>4</v>
      </c>
      <c r="AZ11" s="54">
        <v>2</v>
      </c>
      <c r="BA11" s="54">
        <v>2</v>
      </c>
      <c r="BB11" s="54"/>
      <c r="BC11" s="54">
        <v>3</v>
      </c>
      <c r="BD11" s="54">
        <v>2</v>
      </c>
      <c r="BE11" s="54">
        <v>2</v>
      </c>
      <c r="BF11" s="90">
        <f t="shared" si="7"/>
        <v>11</v>
      </c>
      <c r="BG11" s="64">
        <v>1</v>
      </c>
      <c r="BH11" s="64">
        <v>2</v>
      </c>
      <c r="BI11" s="64">
        <v>1</v>
      </c>
      <c r="BJ11" s="64">
        <v>1</v>
      </c>
      <c r="BK11" s="64">
        <v>1</v>
      </c>
      <c r="BL11" s="66">
        <v>3</v>
      </c>
      <c r="BM11" s="64">
        <v>3</v>
      </c>
      <c r="BN11" s="64">
        <v>2</v>
      </c>
      <c r="BO11" s="64">
        <v>2</v>
      </c>
      <c r="BP11" s="64">
        <v>1</v>
      </c>
      <c r="BQ11" s="64">
        <v>3</v>
      </c>
      <c r="BR11" s="64">
        <v>2</v>
      </c>
      <c r="BS11" s="64">
        <v>2</v>
      </c>
      <c r="BT11" s="91">
        <f t="shared" si="8"/>
        <v>13</v>
      </c>
      <c r="BU11">
        <f t="shared" si="9"/>
        <v>50</v>
      </c>
      <c r="BW11" s="2" t="s">
        <v>19</v>
      </c>
      <c r="BX11" s="38"/>
      <c r="BY11" s="38"/>
      <c r="BZ11" s="38"/>
      <c r="CA11" s="38"/>
      <c r="CB11" s="38"/>
      <c r="CC11" s="38"/>
      <c r="CD11" s="35"/>
      <c r="CE11" s="35"/>
      <c r="CF11" s="35"/>
      <c r="CG11" s="35"/>
      <c r="CH11" s="35"/>
      <c r="CI11" s="83"/>
      <c r="CO11"/>
      <c r="CP11" s="54"/>
      <c r="CQ11" s="54"/>
      <c r="CR11" s="54">
        <v>2</v>
      </c>
      <c r="CS11" s="54"/>
      <c r="CT11" s="54"/>
      <c r="CU11" s="54">
        <f t="shared" si="10"/>
        <v>1</v>
      </c>
      <c r="CV11" s="64"/>
      <c r="CW11" s="64"/>
      <c r="CX11" s="64">
        <v>1</v>
      </c>
      <c r="CY11" s="64"/>
      <c r="CZ11" s="64"/>
      <c r="DA11" s="64">
        <f t="shared" si="11"/>
        <v>1</v>
      </c>
      <c r="DB11" s="69"/>
      <c r="DC11" s="69"/>
      <c r="DD11" s="69">
        <v>1</v>
      </c>
      <c r="DE11" s="69"/>
      <c r="DF11" s="69"/>
      <c r="DG11" s="69">
        <f t="shared" si="12"/>
        <v>1</v>
      </c>
      <c r="DH11" s="72"/>
      <c r="DI11" s="72"/>
      <c r="DJ11" s="72">
        <v>2</v>
      </c>
      <c r="DK11" s="72"/>
      <c r="DL11" s="72"/>
      <c r="DM11" s="72">
        <f t="shared" si="13"/>
        <v>1</v>
      </c>
      <c r="DN11" s="4">
        <f t="shared" si="14"/>
        <v>4</v>
      </c>
      <c r="DO11">
        <f t="shared" si="15"/>
        <v>54</v>
      </c>
      <c r="DR11" s="21"/>
      <c r="DS11" s="13">
        <v>1</v>
      </c>
    </row>
    <row r="12" spans="1:123" ht="14.25" x14ac:dyDescent="0.15">
      <c r="A12" s="2" t="s">
        <v>20</v>
      </c>
      <c r="B12" s="32" t="s">
        <v>98</v>
      </c>
      <c r="C12" s="15">
        <v>3</v>
      </c>
      <c r="D12" s="4">
        <v>2</v>
      </c>
      <c r="E12" s="4"/>
      <c r="F12" s="4">
        <v>2</v>
      </c>
      <c r="G12" s="4"/>
      <c r="H12" s="4">
        <v>3</v>
      </c>
      <c r="I12" s="4"/>
      <c r="J12" s="4">
        <v>3</v>
      </c>
      <c r="K12" s="4">
        <v>3</v>
      </c>
      <c r="L12" s="4">
        <v>3</v>
      </c>
      <c r="M12" s="4">
        <v>1</v>
      </c>
      <c r="N12" s="4">
        <v>3</v>
      </c>
      <c r="O12" s="4"/>
      <c r="P12" s="87">
        <f t="shared" si="16"/>
        <v>9</v>
      </c>
      <c r="Q12" s="21">
        <v>1</v>
      </c>
      <c r="R12" s="21"/>
      <c r="S12" s="21"/>
      <c r="T12" s="21">
        <v>1</v>
      </c>
      <c r="U12" s="21">
        <v>2</v>
      </c>
      <c r="V12" s="21">
        <v>2</v>
      </c>
      <c r="W12" s="21"/>
      <c r="X12" s="21">
        <v>3</v>
      </c>
      <c r="Y12" s="21">
        <v>3</v>
      </c>
      <c r="Z12" s="21">
        <v>2</v>
      </c>
      <c r="AA12" s="21"/>
      <c r="AB12" s="21">
        <v>2</v>
      </c>
      <c r="AC12" s="21"/>
      <c r="AD12" s="88">
        <f t="shared" si="5"/>
        <v>8</v>
      </c>
      <c r="AE12" s="13">
        <v>2</v>
      </c>
      <c r="AF12" s="13">
        <v>1</v>
      </c>
      <c r="AG12" s="13"/>
      <c r="AH12" s="13">
        <v>1</v>
      </c>
      <c r="AI12" s="13">
        <v>2</v>
      </c>
      <c r="AJ12" s="13">
        <v>3</v>
      </c>
      <c r="AK12" s="13"/>
      <c r="AL12" s="13">
        <v>2</v>
      </c>
      <c r="AM12" s="13">
        <v>3</v>
      </c>
      <c r="AN12" s="13">
        <v>1</v>
      </c>
      <c r="AO12" s="13">
        <v>1</v>
      </c>
      <c r="AP12" s="13">
        <v>2</v>
      </c>
      <c r="AQ12" s="13"/>
      <c r="AR12" s="89">
        <f t="shared" si="6"/>
        <v>10</v>
      </c>
      <c r="AS12" s="54">
        <v>2</v>
      </c>
      <c r="AT12" s="54">
        <v>1</v>
      </c>
      <c r="AU12" s="54"/>
      <c r="AV12" s="54">
        <v>2</v>
      </c>
      <c r="AW12" s="54">
        <v>4</v>
      </c>
      <c r="AX12" s="56">
        <v>2</v>
      </c>
      <c r="AY12" s="54"/>
      <c r="AZ12" s="54">
        <v>2</v>
      </c>
      <c r="BA12" s="54">
        <v>3</v>
      </c>
      <c r="BB12" s="54">
        <v>2</v>
      </c>
      <c r="BC12" s="54">
        <v>3</v>
      </c>
      <c r="BD12" s="54">
        <v>2</v>
      </c>
      <c r="BE12" s="54"/>
      <c r="BF12" s="90">
        <f t="shared" si="7"/>
        <v>10</v>
      </c>
      <c r="BG12" s="64">
        <v>2</v>
      </c>
      <c r="BH12" s="64">
        <v>2</v>
      </c>
      <c r="BI12" s="64"/>
      <c r="BJ12" s="64">
        <v>1</v>
      </c>
      <c r="BK12" s="64">
        <v>3</v>
      </c>
      <c r="BL12" s="66">
        <v>3</v>
      </c>
      <c r="BM12" s="64"/>
      <c r="BN12" s="64">
        <v>2</v>
      </c>
      <c r="BO12" s="64">
        <v>2</v>
      </c>
      <c r="BP12" s="64"/>
      <c r="BQ12" s="64">
        <v>2</v>
      </c>
      <c r="BR12" s="64">
        <v>2</v>
      </c>
      <c r="BS12" s="64"/>
      <c r="BT12" s="91">
        <f t="shared" si="8"/>
        <v>9</v>
      </c>
      <c r="BU12">
        <f t="shared" si="9"/>
        <v>46</v>
      </c>
      <c r="BW12" s="2" t="s">
        <v>20</v>
      </c>
      <c r="BX12" s="38"/>
      <c r="BY12" s="38"/>
      <c r="BZ12" s="38"/>
      <c r="CA12" s="38"/>
      <c r="CB12" s="38"/>
      <c r="CC12" s="38"/>
      <c r="CD12" s="35"/>
      <c r="CE12" s="35"/>
      <c r="CF12" s="35"/>
      <c r="CG12" s="35"/>
      <c r="CH12" s="35"/>
      <c r="CI12" s="83"/>
      <c r="CK12" s="4">
        <v>1</v>
      </c>
      <c r="CO12">
        <f>COUNTA(CJ12:CN12)</f>
        <v>1</v>
      </c>
      <c r="CP12" s="54"/>
      <c r="CQ12" s="54">
        <v>1</v>
      </c>
      <c r="CR12" s="54"/>
      <c r="CS12" s="54"/>
      <c r="CT12" s="54"/>
      <c r="CU12" s="54">
        <f t="shared" si="10"/>
        <v>1</v>
      </c>
      <c r="CV12" s="64"/>
      <c r="CW12" s="64">
        <v>1</v>
      </c>
      <c r="CX12" s="64"/>
      <c r="CY12" s="64"/>
      <c r="CZ12" s="64"/>
      <c r="DA12" s="64">
        <f t="shared" si="11"/>
        <v>1</v>
      </c>
      <c r="DB12" s="69"/>
      <c r="DC12" s="69">
        <v>1</v>
      </c>
      <c r="DD12" s="69"/>
      <c r="DE12" s="69"/>
      <c r="DF12" s="69"/>
      <c r="DG12" s="69">
        <f t="shared" si="12"/>
        <v>1</v>
      </c>
      <c r="DH12" s="72"/>
      <c r="DI12" s="72">
        <v>1</v>
      </c>
      <c r="DJ12" s="72"/>
      <c r="DK12" s="72"/>
      <c r="DL12" s="72"/>
      <c r="DM12" s="72">
        <f t="shared" si="13"/>
        <v>1</v>
      </c>
      <c r="DN12" s="4">
        <f t="shared" si="14"/>
        <v>5</v>
      </c>
      <c r="DO12">
        <f t="shared" si="15"/>
        <v>51</v>
      </c>
      <c r="DR12" s="21">
        <v>2</v>
      </c>
      <c r="DS12" s="13"/>
    </row>
    <row r="13" spans="1:123" ht="14.25" x14ac:dyDescent="0.15">
      <c r="A13" s="2" t="s">
        <v>7</v>
      </c>
      <c r="B13" s="15" t="s">
        <v>84</v>
      </c>
      <c r="C13" s="15">
        <v>2</v>
      </c>
      <c r="D13" s="4"/>
      <c r="E13" s="4"/>
      <c r="G13" s="4">
        <v>1</v>
      </c>
      <c r="H13" s="4">
        <v>2</v>
      </c>
      <c r="I13" s="4"/>
      <c r="J13" s="4">
        <v>1</v>
      </c>
      <c r="K13" s="4">
        <v>2</v>
      </c>
      <c r="L13" s="4"/>
      <c r="M13" s="4"/>
      <c r="N13" s="4"/>
      <c r="O13" s="4">
        <v>2</v>
      </c>
      <c r="P13" s="87">
        <f t="shared" si="16"/>
        <v>6</v>
      </c>
      <c r="Q13" s="21">
        <v>1</v>
      </c>
      <c r="R13" s="21">
        <v>1</v>
      </c>
      <c r="S13" s="21"/>
      <c r="T13" s="21"/>
      <c r="U13" s="21"/>
      <c r="V13" s="21">
        <v>1</v>
      </c>
      <c r="W13" s="21"/>
      <c r="X13" s="21">
        <v>2</v>
      </c>
      <c r="Y13" s="21">
        <v>2</v>
      </c>
      <c r="Z13" s="21"/>
      <c r="AA13" s="21"/>
      <c r="AB13" s="21">
        <v>1</v>
      </c>
      <c r="AC13" s="21">
        <v>1</v>
      </c>
      <c r="AD13" s="88">
        <f t="shared" si="5"/>
        <v>7</v>
      </c>
      <c r="AE13" s="13">
        <v>1</v>
      </c>
      <c r="AF13" s="13">
        <v>1</v>
      </c>
      <c r="AG13" s="13">
        <v>1</v>
      </c>
      <c r="AH13" s="13"/>
      <c r="AI13" s="13"/>
      <c r="AJ13" s="13">
        <v>1</v>
      </c>
      <c r="AK13" s="13">
        <v>1</v>
      </c>
      <c r="AL13" s="13">
        <v>1</v>
      </c>
      <c r="AM13" s="13">
        <v>1</v>
      </c>
      <c r="AN13" s="13"/>
      <c r="AO13" s="13"/>
      <c r="AP13" s="13">
        <v>1</v>
      </c>
      <c r="AQ13" s="13">
        <v>1</v>
      </c>
      <c r="AR13" s="89">
        <f t="shared" si="6"/>
        <v>9</v>
      </c>
      <c r="AS13" s="54">
        <v>1</v>
      </c>
      <c r="AT13" s="54">
        <v>1</v>
      </c>
      <c r="AU13" s="54">
        <v>1</v>
      </c>
      <c r="AV13" s="54">
        <v>1</v>
      </c>
      <c r="AW13" s="54">
        <v>1</v>
      </c>
      <c r="AX13" s="56">
        <v>1</v>
      </c>
      <c r="AY13" s="54"/>
      <c r="AZ13" s="54">
        <v>2</v>
      </c>
      <c r="BA13" s="54">
        <v>1</v>
      </c>
      <c r="BB13" s="54"/>
      <c r="BC13" s="54">
        <v>1</v>
      </c>
      <c r="BD13" s="54">
        <v>1</v>
      </c>
      <c r="BE13" s="54">
        <v>1</v>
      </c>
      <c r="BF13" s="90">
        <f t="shared" si="7"/>
        <v>11</v>
      </c>
      <c r="BG13" s="64">
        <v>1</v>
      </c>
      <c r="BH13" s="64">
        <v>1</v>
      </c>
      <c r="BI13" s="64">
        <v>1</v>
      </c>
      <c r="BJ13" s="64">
        <v>1</v>
      </c>
      <c r="BK13" s="64">
        <v>1</v>
      </c>
      <c r="BL13" s="66">
        <v>1</v>
      </c>
      <c r="BM13" s="64">
        <v>1</v>
      </c>
      <c r="BN13" s="64">
        <v>2</v>
      </c>
      <c r="BO13" s="64"/>
      <c r="BP13" s="64"/>
      <c r="BQ13" s="64">
        <v>1</v>
      </c>
      <c r="BR13" s="64">
        <v>1</v>
      </c>
      <c r="BS13" s="64">
        <v>2</v>
      </c>
      <c r="BT13" s="91">
        <f t="shared" si="8"/>
        <v>11</v>
      </c>
      <c r="BU13">
        <f t="shared" si="9"/>
        <v>44</v>
      </c>
      <c r="BW13" s="2" t="s">
        <v>7</v>
      </c>
      <c r="BX13" s="38"/>
      <c r="BY13" s="38"/>
      <c r="BZ13" s="38"/>
      <c r="CA13" s="38"/>
      <c r="CB13" s="38"/>
      <c r="CC13" s="38"/>
      <c r="CD13" s="35"/>
      <c r="CE13" s="35"/>
      <c r="CF13" s="35"/>
      <c r="CG13" s="35"/>
      <c r="CH13" s="35"/>
      <c r="CI13" s="83"/>
      <c r="CO13"/>
      <c r="CP13" s="54"/>
      <c r="CQ13" s="54"/>
      <c r="CR13" s="54"/>
      <c r="CS13" s="54"/>
      <c r="CT13" s="54"/>
      <c r="CU13" s="54"/>
      <c r="CV13" s="64"/>
      <c r="CW13" s="64"/>
      <c r="CX13" s="64"/>
      <c r="CY13" s="64"/>
      <c r="CZ13" s="64"/>
      <c r="DA13" s="64"/>
      <c r="DB13" s="69"/>
      <c r="DC13" s="69"/>
      <c r="DD13" s="69"/>
      <c r="DE13" s="69"/>
      <c r="DF13" s="69"/>
      <c r="DG13" s="69"/>
      <c r="DH13" s="72"/>
      <c r="DI13" s="72"/>
      <c r="DJ13" s="72"/>
      <c r="DK13" s="72"/>
      <c r="DL13" s="72"/>
      <c r="DM13" s="72"/>
      <c r="DN13" s="4">
        <f t="shared" si="14"/>
        <v>0</v>
      </c>
      <c r="DO13">
        <f t="shared" si="15"/>
        <v>44</v>
      </c>
      <c r="DR13" s="21"/>
      <c r="DS13" s="13"/>
    </row>
    <row r="14" spans="1:123" ht="14.25" x14ac:dyDescent="0.15">
      <c r="A14" s="2" t="s">
        <v>24</v>
      </c>
      <c r="B14" s="19" t="s">
        <v>84</v>
      </c>
      <c r="C14" s="15">
        <v>1</v>
      </c>
      <c r="D14" s="4">
        <v>3</v>
      </c>
      <c r="E14" s="4">
        <v>2</v>
      </c>
      <c r="F14" s="4">
        <v>2</v>
      </c>
      <c r="G14" s="4">
        <v>2</v>
      </c>
      <c r="H14" s="4"/>
      <c r="I14" s="4">
        <v>2</v>
      </c>
      <c r="J14" s="4">
        <v>2</v>
      </c>
      <c r="K14" s="4">
        <v>2</v>
      </c>
      <c r="L14" s="4"/>
      <c r="M14" s="4">
        <v>3</v>
      </c>
      <c r="N14" s="4">
        <v>2</v>
      </c>
      <c r="O14" s="4">
        <v>3</v>
      </c>
      <c r="P14" s="87">
        <f t="shared" si="16"/>
        <v>11</v>
      </c>
      <c r="Q14" s="21">
        <v>3</v>
      </c>
      <c r="R14" s="21">
        <v>2</v>
      </c>
      <c r="S14" s="21">
        <v>2</v>
      </c>
      <c r="T14" s="21">
        <v>2</v>
      </c>
      <c r="U14" s="21">
        <v>1</v>
      </c>
      <c r="V14" s="21">
        <v>2</v>
      </c>
      <c r="W14" s="21">
        <v>2</v>
      </c>
      <c r="X14" s="21">
        <v>2</v>
      </c>
      <c r="Y14" s="21">
        <v>1</v>
      </c>
      <c r="Z14" s="21"/>
      <c r="AA14" s="21">
        <v>3</v>
      </c>
      <c r="AB14" s="21">
        <v>1</v>
      </c>
      <c r="AC14" s="21">
        <v>2</v>
      </c>
      <c r="AD14" s="88">
        <f t="shared" si="5"/>
        <v>12</v>
      </c>
      <c r="AE14" s="13">
        <v>2</v>
      </c>
      <c r="AF14" s="13">
        <v>3</v>
      </c>
      <c r="AG14" s="13">
        <v>2</v>
      </c>
      <c r="AH14" s="13">
        <v>2</v>
      </c>
      <c r="AI14" s="13">
        <v>1</v>
      </c>
      <c r="AJ14" s="13">
        <v>1</v>
      </c>
      <c r="AK14" s="13">
        <v>1</v>
      </c>
      <c r="AL14" s="13">
        <v>2</v>
      </c>
      <c r="AM14" s="13">
        <v>2</v>
      </c>
      <c r="AN14" s="13"/>
      <c r="AO14" s="13">
        <v>1</v>
      </c>
      <c r="AP14" s="13"/>
      <c r="AQ14" s="13">
        <v>1</v>
      </c>
      <c r="AR14" s="89">
        <f t="shared" si="6"/>
        <v>11</v>
      </c>
      <c r="AS14" s="54">
        <v>1</v>
      </c>
      <c r="AT14" s="54">
        <v>1</v>
      </c>
      <c r="AU14" s="54">
        <v>1</v>
      </c>
      <c r="AV14" s="54"/>
      <c r="AW14" s="54"/>
      <c r="AX14" s="56"/>
      <c r="AY14" s="54"/>
      <c r="AZ14" s="54">
        <v>1</v>
      </c>
      <c r="BA14" s="54"/>
      <c r="BB14" s="54"/>
      <c r="BC14" s="54">
        <v>2</v>
      </c>
      <c r="BD14" s="54"/>
      <c r="BE14" s="54"/>
      <c r="BF14" s="90">
        <f t="shared" si="7"/>
        <v>5</v>
      </c>
      <c r="BG14" s="64">
        <v>2</v>
      </c>
      <c r="BH14" s="64">
        <v>1</v>
      </c>
      <c r="BI14" s="64">
        <v>2</v>
      </c>
      <c r="BJ14" s="64"/>
      <c r="BK14" s="64"/>
      <c r="BL14" s="66"/>
      <c r="BM14" s="64"/>
      <c r="BN14" s="64"/>
      <c r="BO14" s="64">
        <v>1</v>
      </c>
      <c r="BP14" s="64"/>
      <c r="BQ14" s="64">
        <v>1</v>
      </c>
      <c r="BR14" s="64"/>
      <c r="BS14" s="64"/>
      <c r="BT14" s="91">
        <f t="shared" si="8"/>
        <v>5</v>
      </c>
      <c r="BU14">
        <f t="shared" si="9"/>
        <v>44</v>
      </c>
      <c r="BW14" s="2" t="s">
        <v>24</v>
      </c>
      <c r="BX14" s="38"/>
      <c r="BY14" s="38"/>
      <c r="BZ14" s="38"/>
      <c r="CA14" s="38"/>
      <c r="CB14" s="38"/>
      <c r="CC14" s="38"/>
      <c r="CD14" s="35"/>
      <c r="CE14" s="35"/>
      <c r="CF14" s="35"/>
      <c r="CG14" s="35"/>
      <c r="CH14" s="35"/>
      <c r="CI14" s="83"/>
      <c r="CO14"/>
      <c r="CP14" s="54"/>
      <c r="CQ14" s="54"/>
      <c r="CR14" s="54"/>
      <c r="CS14" s="54"/>
      <c r="CT14" s="54"/>
      <c r="CU14" s="54"/>
      <c r="CV14" s="64"/>
      <c r="CW14" s="64"/>
      <c r="CX14" s="64"/>
      <c r="CY14" s="64"/>
      <c r="CZ14" s="64"/>
      <c r="DA14" s="64"/>
      <c r="DB14" s="69"/>
      <c r="DC14" s="69"/>
      <c r="DD14" s="69"/>
      <c r="DE14" s="69"/>
      <c r="DF14" s="69"/>
      <c r="DG14" s="69"/>
      <c r="DH14" s="72"/>
      <c r="DI14" s="72"/>
      <c r="DJ14" s="72"/>
      <c r="DK14" s="72"/>
      <c r="DL14" s="72"/>
      <c r="DM14" s="72"/>
      <c r="DN14" s="4">
        <f t="shared" si="14"/>
        <v>0</v>
      </c>
      <c r="DO14">
        <f t="shared" si="15"/>
        <v>44</v>
      </c>
      <c r="DR14" s="21">
        <v>2</v>
      </c>
      <c r="DS14" s="13">
        <v>1</v>
      </c>
    </row>
    <row r="15" spans="1:123" ht="14.25" x14ac:dyDescent="0.15">
      <c r="A15" s="2" t="s">
        <v>14</v>
      </c>
      <c r="B15" s="32" t="s">
        <v>75</v>
      </c>
      <c r="C15" s="15"/>
      <c r="D15" s="4"/>
      <c r="E15" s="4"/>
      <c r="F15" s="4">
        <v>1</v>
      </c>
      <c r="G15" s="4">
        <v>1</v>
      </c>
      <c r="H15" s="4">
        <v>2</v>
      </c>
      <c r="I15" s="4">
        <v>1</v>
      </c>
      <c r="J15" s="4">
        <v>1</v>
      </c>
      <c r="K15" s="4">
        <v>3</v>
      </c>
      <c r="L15" s="4"/>
      <c r="M15" s="4">
        <v>3</v>
      </c>
      <c r="N15" s="4">
        <v>3</v>
      </c>
      <c r="O15" s="4">
        <v>2</v>
      </c>
      <c r="P15" s="87">
        <f t="shared" si="16"/>
        <v>9</v>
      </c>
      <c r="Q15" s="21"/>
      <c r="R15" s="21"/>
      <c r="S15" s="21"/>
      <c r="T15" s="21">
        <v>1</v>
      </c>
      <c r="U15" s="21"/>
      <c r="V15" s="21">
        <v>1</v>
      </c>
      <c r="W15" s="21">
        <v>1</v>
      </c>
      <c r="X15" s="21">
        <v>1</v>
      </c>
      <c r="Y15" s="21">
        <v>1</v>
      </c>
      <c r="Z15" s="21"/>
      <c r="AA15" s="21"/>
      <c r="AB15" s="21">
        <v>2</v>
      </c>
      <c r="AC15" s="21">
        <v>1</v>
      </c>
      <c r="AD15" s="88">
        <f t="shared" si="5"/>
        <v>7</v>
      </c>
      <c r="AE15" s="13"/>
      <c r="AF15" s="13"/>
      <c r="AG15" s="13"/>
      <c r="AH15" s="13">
        <v>1</v>
      </c>
      <c r="AI15" s="13"/>
      <c r="AJ15" s="75">
        <v>1</v>
      </c>
      <c r="AK15" s="13"/>
      <c r="AL15" s="13"/>
      <c r="AM15" s="13">
        <v>1</v>
      </c>
      <c r="AN15" s="13"/>
      <c r="AO15" s="13">
        <v>1</v>
      </c>
      <c r="AP15" s="13">
        <v>2</v>
      </c>
      <c r="AQ15" s="13">
        <v>1</v>
      </c>
      <c r="AR15" s="89">
        <f t="shared" si="6"/>
        <v>6</v>
      </c>
      <c r="AS15" s="54"/>
      <c r="AT15" s="54"/>
      <c r="AU15" s="54"/>
      <c r="AV15" s="54">
        <v>1</v>
      </c>
      <c r="AW15" s="54"/>
      <c r="AX15" s="56">
        <v>1</v>
      </c>
      <c r="AY15" s="54"/>
      <c r="AZ15" s="54">
        <v>1</v>
      </c>
      <c r="BA15" s="54">
        <v>2</v>
      </c>
      <c r="BB15" s="54"/>
      <c r="BC15" s="54">
        <v>1</v>
      </c>
      <c r="BD15" s="54">
        <v>2</v>
      </c>
      <c r="BE15" s="54">
        <v>1</v>
      </c>
      <c r="BF15" s="90">
        <f t="shared" si="7"/>
        <v>7</v>
      </c>
      <c r="BG15" s="64"/>
      <c r="BH15" s="64"/>
      <c r="BI15" s="64"/>
      <c r="BJ15" s="64">
        <v>1</v>
      </c>
      <c r="BK15" s="64">
        <v>1</v>
      </c>
      <c r="BL15" s="66">
        <v>1</v>
      </c>
      <c r="BM15" s="64">
        <v>1</v>
      </c>
      <c r="BN15" s="64">
        <v>1</v>
      </c>
      <c r="BO15" s="64">
        <v>2</v>
      </c>
      <c r="BP15" s="64">
        <v>1</v>
      </c>
      <c r="BQ15" s="64">
        <v>2</v>
      </c>
      <c r="BR15" s="64">
        <v>3</v>
      </c>
      <c r="BS15" s="64"/>
      <c r="BT15" s="91">
        <f t="shared" si="8"/>
        <v>9</v>
      </c>
      <c r="BU15">
        <f t="shared" si="9"/>
        <v>38</v>
      </c>
      <c r="BW15" s="2" t="s">
        <v>14</v>
      </c>
      <c r="BX15" s="38"/>
      <c r="BY15" s="38"/>
      <c r="BZ15" s="38"/>
      <c r="CA15" s="38"/>
      <c r="CB15" s="38"/>
      <c r="CC15" s="38"/>
      <c r="CD15" s="35"/>
      <c r="CE15" s="35">
        <v>1</v>
      </c>
      <c r="CF15" s="35">
        <v>1</v>
      </c>
      <c r="CG15" s="35"/>
      <c r="CH15" s="35"/>
      <c r="CI15" s="83">
        <f>COUNTA(CD15:CH15)</f>
        <v>2</v>
      </c>
      <c r="CK15" s="4">
        <v>1</v>
      </c>
      <c r="CO15">
        <f>COUNTA(CJ15:CN15)</f>
        <v>1</v>
      </c>
      <c r="CP15" s="54"/>
      <c r="CQ15" s="54"/>
      <c r="CR15" s="54">
        <v>2</v>
      </c>
      <c r="CS15" s="54"/>
      <c r="CT15" s="54"/>
      <c r="CU15" s="54">
        <f>COUNTA(CP15:CT15)</f>
        <v>1</v>
      </c>
      <c r="CV15" s="64"/>
      <c r="CW15" s="64"/>
      <c r="CX15" s="64"/>
      <c r="CY15" s="64"/>
      <c r="CZ15" s="64"/>
      <c r="DA15" s="64"/>
      <c r="DB15" s="69"/>
      <c r="DC15" s="69"/>
      <c r="DD15" s="69">
        <v>1</v>
      </c>
      <c r="DE15" s="69"/>
      <c r="DF15" s="69"/>
      <c r="DG15" s="69">
        <f>COUNTA(DB15:DF15)</f>
        <v>1</v>
      </c>
      <c r="DH15" s="72"/>
      <c r="DI15" s="72"/>
      <c r="DJ15" s="72">
        <v>1</v>
      </c>
      <c r="DK15" s="72"/>
      <c r="DL15" s="72"/>
      <c r="DM15" s="72">
        <f>COUNTA(DH15:DL15)</f>
        <v>1</v>
      </c>
      <c r="DN15" s="4">
        <f t="shared" si="14"/>
        <v>6</v>
      </c>
      <c r="DO15">
        <f t="shared" si="15"/>
        <v>44</v>
      </c>
      <c r="DR15" s="21">
        <v>2</v>
      </c>
      <c r="DS15" s="13">
        <v>1</v>
      </c>
    </row>
    <row r="16" spans="1:123" ht="14.25" x14ac:dyDescent="0.15">
      <c r="A16" s="3" t="s">
        <v>54</v>
      </c>
      <c r="B16" s="19" t="s">
        <v>84</v>
      </c>
      <c r="C16" s="17"/>
      <c r="D16" s="4"/>
      <c r="E16" s="4"/>
      <c r="G16" s="4"/>
      <c r="H16" s="4"/>
      <c r="I16" s="4"/>
      <c r="J16" s="4"/>
      <c r="L16" s="4"/>
      <c r="M16" s="4"/>
      <c r="N16" s="4"/>
      <c r="O16" s="4"/>
      <c r="P16" s="87"/>
      <c r="Q16" s="21"/>
      <c r="R16" s="21"/>
      <c r="S16" s="21"/>
      <c r="T16" s="21"/>
      <c r="U16" s="21"/>
      <c r="V16" s="21"/>
      <c r="W16" s="21"/>
      <c r="X16" s="21"/>
      <c r="Y16" s="21"/>
      <c r="Z16" s="21">
        <v>2</v>
      </c>
      <c r="AA16" s="21"/>
      <c r="AB16" s="21"/>
      <c r="AC16" s="21"/>
      <c r="AD16" s="88">
        <f t="shared" si="5"/>
        <v>1</v>
      </c>
      <c r="AE16" s="13">
        <v>1</v>
      </c>
      <c r="AF16" s="13"/>
      <c r="AG16" s="13"/>
      <c r="AH16" s="13"/>
      <c r="AI16" s="13"/>
      <c r="AJ16" s="13"/>
      <c r="AK16" s="13"/>
      <c r="AL16" s="13"/>
      <c r="AM16" s="13"/>
      <c r="AN16" s="13">
        <v>2</v>
      </c>
      <c r="AO16" s="13"/>
      <c r="AP16" s="13"/>
      <c r="AQ16" s="13"/>
      <c r="AR16" s="89">
        <f t="shared" si="6"/>
        <v>2</v>
      </c>
      <c r="AS16" s="54">
        <v>2</v>
      </c>
      <c r="AT16" s="54">
        <v>2</v>
      </c>
      <c r="AU16" s="54">
        <v>1</v>
      </c>
      <c r="AV16" s="54">
        <v>1</v>
      </c>
      <c r="AW16" s="54">
        <v>1</v>
      </c>
      <c r="AX16" s="56">
        <v>1</v>
      </c>
      <c r="AY16" s="54">
        <v>1</v>
      </c>
      <c r="AZ16" s="54"/>
      <c r="BA16" s="54">
        <v>2</v>
      </c>
      <c r="BB16" s="54">
        <v>2</v>
      </c>
      <c r="BC16" s="54"/>
      <c r="BD16" s="54">
        <v>1</v>
      </c>
      <c r="BE16" s="54">
        <v>1</v>
      </c>
      <c r="BF16" s="90">
        <f t="shared" si="7"/>
        <v>11</v>
      </c>
      <c r="BG16" s="64">
        <v>1</v>
      </c>
      <c r="BH16" s="64">
        <v>2</v>
      </c>
      <c r="BI16" s="64">
        <v>1</v>
      </c>
      <c r="BJ16" s="64">
        <v>2</v>
      </c>
      <c r="BK16" s="64">
        <v>2</v>
      </c>
      <c r="BL16" s="66">
        <v>1</v>
      </c>
      <c r="BM16" s="64">
        <v>1</v>
      </c>
      <c r="BN16" s="64">
        <v>2</v>
      </c>
      <c r="BO16" s="64">
        <v>2</v>
      </c>
      <c r="BP16" s="64">
        <v>1</v>
      </c>
      <c r="BQ16" s="64">
        <v>2</v>
      </c>
      <c r="BR16" s="64"/>
      <c r="BS16" s="64">
        <v>1</v>
      </c>
      <c r="BT16" s="91">
        <f t="shared" si="8"/>
        <v>12</v>
      </c>
      <c r="BU16">
        <f t="shared" si="9"/>
        <v>26</v>
      </c>
      <c r="BW16" s="3" t="s">
        <v>54</v>
      </c>
      <c r="BX16" s="38"/>
      <c r="BY16" s="38"/>
      <c r="BZ16" s="38"/>
      <c r="CA16" s="38"/>
      <c r="CB16" s="38"/>
      <c r="CC16" s="38"/>
      <c r="CD16" s="35"/>
      <c r="CE16" s="35">
        <v>1</v>
      </c>
      <c r="CF16" s="35">
        <v>1</v>
      </c>
      <c r="CG16" s="35"/>
      <c r="CH16" s="35"/>
      <c r="CI16" s="83">
        <f>COUNTA(CD16:CH16)</f>
        <v>2</v>
      </c>
      <c r="CO16"/>
      <c r="CP16" s="54"/>
      <c r="CQ16" s="54">
        <v>1</v>
      </c>
      <c r="CR16" s="54">
        <v>1</v>
      </c>
      <c r="CS16" s="54"/>
      <c r="CT16" s="54"/>
      <c r="CU16" s="54">
        <f>COUNTA(CP16:CT16)</f>
        <v>2</v>
      </c>
      <c r="CV16" s="64"/>
      <c r="CW16" s="64">
        <v>1</v>
      </c>
      <c r="CX16" s="64">
        <v>1</v>
      </c>
      <c r="CY16" s="64"/>
      <c r="CZ16" s="64"/>
      <c r="DA16" s="64">
        <f>COUNTA(CV16:CZ16)</f>
        <v>2</v>
      </c>
      <c r="DB16" s="69"/>
      <c r="DC16" s="69">
        <v>1</v>
      </c>
      <c r="DD16" s="69">
        <v>1</v>
      </c>
      <c r="DE16" s="69"/>
      <c r="DF16" s="69"/>
      <c r="DG16" s="69">
        <f>COUNTA(DB16:DF16)</f>
        <v>2</v>
      </c>
      <c r="DH16" s="72"/>
      <c r="DI16" s="72">
        <v>1</v>
      </c>
      <c r="DJ16" s="72">
        <v>1</v>
      </c>
      <c r="DK16" s="72"/>
      <c r="DL16" s="72"/>
      <c r="DM16" s="72">
        <f>COUNTA(DH16:DL16)</f>
        <v>2</v>
      </c>
      <c r="DN16" s="4">
        <f t="shared" si="14"/>
        <v>10</v>
      </c>
      <c r="DO16">
        <f t="shared" si="15"/>
        <v>36</v>
      </c>
      <c r="DR16" s="21"/>
      <c r="DS16" s="13">
        <v>1</v>
      </c>
    </row>
    <row r="17" spans="1:123" ht="14.25" x14ac:dyDescent="0.15">
      <c r="A17" s="2" t="s">
        <v>16</v>
      </c>
      <c r="B17" s="32" t="s">
        <v>53</v>
      </c>
      <c r="C17" s="15"/>
      <c r="D17" s="4"/>
      <c r="E17" s="4">
        <v>2</v>
      </c>
      <c r="G17" s="4"/>
      <c r="H17" s="4"/>
      <c r="I17" s="4"/>
      <c r="J17" s="4"/>
      <c r="K17" s="4">
        <v>1</v>
      </c>
      <c r="L17" s="4"/>
      <c r="M17" s="4"/>
      <c r="N17" s="4"/>
      <c r="O17" s="4"/>
      <c r="P17" s="87">
        <f>COUNTA(C17:O17)</f>
        <v>2</v>
      </c>
      <c r="Q17" s="21"/>
      <c r="R17" s="21">
        <v>1</v>
      </c>
      <c r="S17" s="21">
        <v>3</v>
      </c>
      <c r="T17" s="21">
        <v>1</v>
      </c>
      <c r="U17" s="21"/>
      <c r="V17" s="21">
        <v>1</v>
      </c>
      <c r="W17" s="21"/>
      <c r="X17" s="21"/>
      <c r="Y17" s="21"/>
      <c r="Z17" s="21"/>
      <c r="AA17" s="21">
        <v>1</v>
      </c>
      <c r="AB17" s="21">
        <v>2</v>
      </c>
      <c r="AC17" s="21">
        <v>1</v>
      </c>
      <c r="AD17" s="88">
        <f t="shared" si="5"/>
        <v>7</v>
      </c>
      <c r="AE17" s="13"/>
      <c r="AF17" s="13">
        <v>1</v>
      </c>
      <c r="AG17" s="13">
        <v>1</v>
      </c>
      <c r="AH17" s="13"/>
      <c r="AI17" s="13">
        <v>1</v>
      </c>
      <c r="AJ17" s="13"/>
      <c r="AK17" s="13"/>
      <c r="AL17" s="13"/>
      <c r="AM17" s="13">
        <v>1</v>
      </c>
      <c r="AN17" s="13"/>
      <c r="AO17" s="13"/>
      <c r="AP17" s="13">
        <v>1</v>
      </c>
      <c r="AQ17" s="13"/>
      <c r="AR17" s="89">
        <f t="shared" si="6"/>
        <v>5</v>
      </c>
      <c r="AS17" s="54"/>
      <c r="AT17" s="54">
        <v>1</v>
      </c>
      <c r="AU17" s="54">
        <v>2</v>
      </c>
      <c r="AV17" s="54"/>
      <c r="AW17" s="54">
        <v>1</v>
      </c>
      <c r="AX17" s="56">
        <v>1</v>
      </c>
      <c r="AY17" s="54"/>
      <c r="AZ17" s="54"/>
      <c r="BA17" s="54"/>
      <c r="BB17" s="54"/>
      <c r="BC17" s="54">
        <v>1</v>
      </c>
      <c r="BD17" s="54">
        <v>1</v>
      </c>
      <c r="BE17" s="54">
        <v>1</v>
      </c>
      <c r="BF17" s="90">
        <f t="shared" si="7"/>
        <v>7</v>
      </c>
      <c r="BG17" s="64"/>
      <c r="BH17" s="64">
        <v>2</v>
      </c>
      <c r="BI17" s="64">
        <v>2</v>
      </c>
      <c r="BJ17" s="64">
        <v>1</v>
      </c>
      <c r="BK17" s="64">
        <v>1</v>
      </c>
      <c r="BL17" s="66">
        <v>1</v>
      </c>
      <c r="BM17" s="64"/>
      <c r="BN17" s="64">
        <v>1</v>
      </c>
      <c r="BO17" s="64"/>
      <c r="BP17" s="64"/>
      <c r="BQ17" s="64">
        <v>1</v>
      </c>
      <c r="BR17" s="64">
        <v>2</v>
      </c>
      <c r="BS17" s="64">
        <v>1</v>
      </c>
      <c r="BT17" s="91">
        <f t="shared" si="8"/>
        <v>9</v>
      </c>
      <c r="BU17">
        <f t="shared" si="9"/>
        <v>30</v>
      </c>
      <c r="BW17" s="2" t="s">
        <v>16</v>
      </c>
      <c r="BX17" s="38"/>
      <c r="BY17" s="38"/>
      <c r="BZ17" s="38"/>
      <c r="CA17" s="38"/>
      <c r="CB17" s="38"/>
      <c r="CC17" s="38"/>
      <c r="CD17" s="35"/>
      <c r="CE17" s="35"/>
      <c r="CF17" s="35"/>
      <c r="CG17" s="35"/>
      <c r="CH17" s="35"/>
      <c r="CI17" s="83"/>
      <c r="CO17"/>
      <c r="CP17" s="54"/>
      <c r="CQ17" s="54"/>
      <c r="CR17" s="54"/>
      <c r="CS17" s="54"/>
      <c r="CT17" s="54"/>
      <c r="CU17" s="54"/>
      <c r="CV17" s="64"/>
      <c r="CW17" s="64"/>
      <c r="CX17" s="64"/>
      <c r="CY17" s="64"/>
      <c r="CZ17" s="64"/>
      <c r="DA17" s="64"/>
      <c r="DB17" s="69"/>
      <c r="DC17" s="69"/>
      <c r="DD17" s="69"/>
      <c r="DE17" s="69"/>
      <c r="DF17" s="69"/>
      <c r="DG17" s="69"/>
      <c r="DH17" s="72"/>
      <c r="DI17" s="72"/>
      <c r="DJ17" s="72"/>
      <c r="DK17" s="72"/>
      <c r="DL17" s="72"/>
      <c r="DM17" s="72"/>
      <c r="DN17" s="4">
        <f t="shared" si="14"/>
        <v>0</v>
      </c>
      <c r="DO17">
        <f t="shared" si="15"/>
        <v>30</v>
      </c>
      <c r="DR17" s="21"/>
      <c r="DS17" s="13"/>
    </row>
    <row r="18" spans="1:123" ht="14.25" x14ac:dyDescent="0.15">
      <c r="A18" s="2" t="s">
        <v>46</v>
      </c>
      <c r="B18" s="32" t="s">
        <v>73</v>
      </c>
      <c r="C18" s="15"/>
      <c r="D18" s="4"/>
      <c r="E18" s="4"/>
      <c r="G18" s="4"/>
      <c r="H18" s="4">
        <v>1</v>
      </c>
      <c r="I18" s="4">
        <v>1</v>
      </c>
      <c r="J18" s="4"/>
      <c r="K18" s="4">
        <v>1</v>
      </c>
      <c r="L18" s="4"/>
      <c r="M18" s="4">
        <v>2</v>
      </c>
      <c r="N18" s="4"/>
      <c r="O18" s="4"/>
      <c r="P18" s="87">
        <f>COUNTA(C18:O18)</f>
        <v>4</v>
      </c>
      <c r="Q18" s="21"/>
      <c r="R18" s="21"/>
      <c r="S18" s="21"/>
      <c r="T18" s="21">
        <v>1</v>
      </c>
      <c r="U18" s="21"/>
      <c r="V18" s="21">
        <v>1</v>
      </c>
      <c r="W18" s="21">
        <v>1</v>
      </c>
      <c r="X18" s="21"/>
      <c r="Y18" s="21"/>
      <c r="Z18" s="21"/>
      <c r="AA18" s="21"/>
      <c r="AB18" s="21">
        <v>1</v>
      </c>
      <c r="AC18" s="21"/>
      <c r="AD18" s="88">
        <f t="shared" si="5"/>
        <v>4</v>
      </c>
      <c r="AE18" s="13"/>
      <c r="AF18" s="13">
        <v>1</v>
      </c>
      <c r="AG18" s="13"/>
      <c r="AH18" s="13">
        <v>1</v>
      </c>
      <c r="AI18" s="13"/>
      <c r="AJ18" s="13"/>
      <c r="AK18" s="13"/>
      <c r="AL18" s="13"/>
      <c r="AM18" s="13"/>
      <c r="AN18" s="13"/>
      <c r="AO18" s="13"/>
      <c r="AP18" s="13">
        <v>1</v>
      </c>
      <c r="AQ18" s="13"/>
      <c r="AR18" s="89">
        <f t="shared" si="6"/>
        <v>3</v>
      </c>
      <c r="AS18" s="54"/>
      <c r="AT18" s="54">
        <v>1</v>
      </c>
      <c r="AU18" s="54"/>
      <c r="AV18" s="54">
        <v>1</v>
      </c>
      <c r="AW18" s="54"/>
      <c r="AX18" s="56">
        <v>1</v>
      </c>
      <c r="AY18" s="54">
        <v>2</v>
      </c>
      <c r="AZ18" s="54"/>
      <c r="BA18" s="54"/>
      <c r="BB18" s="54"/>
      <c r="BC18" s="54">
        <v>1</v>
      </c>
      <c r="BD18" s="54">
        <v>2</v>
      </c>
      <c r="BE18" s="54"/>
      <c r="BF18" s="90">
        <f t="shared" si="7"/>
        <v>6</v>
      </c>
      <c r="BG18" s="64">
        <v>1</v>
      </c>
      <c r="BH18" s="64">
        <v>1</v>
      </c>
      <c r="BI18" s="64"/>
      <c r="BJ18" s="64">
        <v>1</v>
      </c>
      <c r="BK18" s="64"/>
      <c r="BL18" s="66">
        <v>1</v>
      </c>
      <c r="BM18" s="64">
        <v>1</v>
      </c>
      <c r="BN18" s="64"/>
      <c r="BO18" s="64">
        <v>1</v>
      </c>
      <c r="BP18" s="64">
        <v>1</v>
      </c>
      <c r="BQ18" s="64">
        <v>1</v>
      </c>
      <c r="BR18" s="64">
        <v>2</v>
      </c>
      <c r="BS18" s="64"/>
      <c r="BT18" s="91">
        <f t="shared" si="8"/>
        <v>9</v>
      </c>
      <c r="BU18">
        <f t="shared" si="9"/>
        <v>26</v>
      </c>
      <c r="BW18" s="2" t="s">
        <v>46</v>
      </c>
      <c r="BX18" s="38"/>
      <c r="BY18" s="38"/>
      <c r="BZ18" s="38"/>
      <c r="CA18" s="38"/>
      <c r="CB18" s="38"/>
      <c r="CC18" s="38"/>
      <c r="CD18" s="35"/>
      <c r="CE18" s="35"/>
      <c r="CF18" s="35"/>
      <c r="CG18" s="35"/>
      <c r="CH18" s="35"/>
      <c r="CI18" s="83"/>
      <c r="CO18"/>
      <c r="CP18" s="54"/>
      <c r="CQ18" s="54"/>
      <c r="CR18" s="54">
        <v>3</v>
      </c>
      <c r="CS18" s="54"/>
      <c r="CT18" s="54"/>
      <c r="CU18" s="54">
        <f>COUNTA(CP18:CT18)</f>
        <v>1</v>
      </c>
      <c r="CV18" s="64"/>
      <c r="CW18" s="64"/>
      <c r="CX18" s="64">
        <v>2</v>
      </c>
      <c r="CY18" s="64"/>
      <c r="CZ18" s="64"/>
      <c r="DA18" s="64">
        <f>COUNTA(CV18:CZ18)</f>
        <v>1</v>
      </c>
      <c r="DB18" s="69"/>
      <c r="DC18" s="69"/>
      <c r="DD18" s="69">
        <v>2</v>
      </c>
      <c r="DE18" s="69"/>
      <c r="DF18" s="69"/>
      <c r="DG18" s="69">
        <f>COUNTA(DB18:DF18)</f>
        <v>1</v>
      </c>
      <c r="DH18" s="72"/>
      <c r="DI18" s="72"/>
      <c r="DJ18" s="72">
        <v>1</v>
      </c>
      <c r="DK18" s="72"/>
      <c r="DL18" s="72"/>
      <c r="DM18" s="72">
        <f>COUNTA(DH18:DL18)</f>
        <v>1</v>
      </c>
      <c r="DN18" s="4">
        <f t="shared" si="14"/>
        <v>4</v>
      </c>
      <c r="DO18">
        <f t="shared" si="15"/>
        <v>30</v>
      </c>
      <c r="DR18" s="21"/>
      <c r="DS18" s="13"/>
    </row>
    <row r="19" spans="1:123" ht="14.25" x14ac:dyDescent="0.15">
      <c r="A19" s="2" t="s">
        <v>51</v>
      </c>
      <c r="B19" s="32" t="s">
        <v>75</v>
      </c>
      <c r="C19" s="15"/>
      <c r="D19" s="4"/>
      <c r="E19" s="4"/>
      <c r="G19" s="4"/>
      <c r="H19" s="4"/>
      <c r="I19" s="4"/>
      <c r="J19" s="4"/>
      <c r="L19" s="4"/>
      <c r="M19" s="4"/>
      <c r="N19" s="4"/>
      <c r="O19" s="4"/>
      <c r="P19" s="87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88">
        <f t="shared" si="5"/>
        <v>0</v>
      </c>
      <c r="AE19" s="13">
        <v>1</v>
      </c>
      <c r="AF19" s="13">
        <v>4</v>
      </c>
      <c r="AG19" s="13"/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/>
      <c r="AN19" s="13"/>
      <c r="AO19" s="13">
        <v>2</v>
      </c>
      <c r="AP19" s="13"/>
      <c r="AQ19" s="13"/>
      <c r="AR19" s="89">
        <f t="shared" si="6"/>
        <v>8</v>
      </c>
      <c r="AS19" s="54">
        <v>3</v>
      </c>
      <c r="AT19" s="54">
        <v>4</v>
      </c>
      <c r="AU19" s="54"/>
      <c r="AV19" s="54">
        <v>2</v>
      </c>
      <c r="AW19" s="54"/>
      <c r="AX19" s="56">
        <v>1</v>
      </c>
      <c r="AY19" s="54">
        <v>1</v>
      </c>
      <c r="AZ19" s="54">
        <v>1</v>
      </c>
      <c r="BA19" s="54"/>
      <c r="BB19" s="54"/>
      <c r="BC19" s="54">
        <v>1</v>
      </c>
      <c r="BD19" s="54"/>
      <c r="BE19" s="54"/>
      <c r="BF19" s="90">
        <f t="shared" si="7"/>
        <v>7</v>
      </c>
      <c r="BG19" s="64">
        <v>1</v>
      </c>
      <c r="BH19" s="64">
        <v>4</v>
      </c>
      <c r="BI19" s="64"/>
      <c r="BJ19" s="64">
        <v>1</v>
      </c>
      <c r="BK19" s="64">
        <v>1</v>
      </c>
      <c r="BL19" s="66">
        <v>1</v>
      </c>
      <c r="BM19" s="64">
        <v>1</v>
      </c>
      <c r="BN19" s="64">
        <v>1</v>
      </c>
      <c r="BO19" s="64"/>
      <c r="BP19" s="64"/>
      <c r="BQ19" s="64">
        <v>1</v>
      </c>
      <c r="BR19" s="64"/>
      <c r="BS19" s="64"/>
      <c r="BT19" s="91">
        <f t="shared" si="8"/>
        <v>8</v>
      </c>
      <c r="BU19">
        <f t="shared" si="9"/>
        <v>23</v>
      </c>
      <c r="BW19" s="2" t="s">
        <v>51</v>
      </c>
      <c r="BX19" s="38"/>
      <c r="BY19" s="38"/>
      <c r="BZ19" s="38"/>
      <c r="CA19" s="38"/>
      <c r="CB19" s="38"/>
      <c r="CC19" s="38"/>
      <c r="CD19" s="35"/>
      <c r="CE19" s="35">
        <v>1</v>
      </c>
      <c r="CF19" s="35"/>
      <c r="CG19" s="35"/>
      <c r="CH19" s="35"/>
      <c r="CI19" s="83">
        <f>COUNTA(CD19:CH19)</f>
        <v>1</v>
      </c>
      <c r="CK19" s="4">
        <v>1</v>
      </c>
      <c r="CO19">
        <f>COUNTA(CJ19:CN19)</f>
        <v>1</v>
      </c>
      <c r="CP19" s="54"/>
      <c r="CQ19" s="54">
        <v>1</v>
      </c>
      <c r="CR19" s="54"/>
      <c r="CS19" s="54"/>
      <c r="CT19" s="54"/>
      <c r="CU19" s="54">
        <f>COUNTA(CP19:CT19)</f>
        <v>1</v>
      </c>
      <c r="CV19" s="64"/>
      <c r="CW19" s="64">
        <v>1</v>
      </c>
      <c r="CX19" s="64"/>
      <c r="CY19" s="64"/>
      <c r="CZ19" s="64"/>
      <c r="DA19" s="64">
        <f>COUNTA(CV19:CZ19)</f>
        <v>1</v>
      </c>
      <c r="DB19" s="69"/>
      <c r="DC19" s="69">
        <v>1</v>
      </c>
      <c r="DD19" s="69"/>
      <c r="DE19" s="69"/>
      <c r="DF19" s="69"/>
      <c r="DG19" s="69">
        <f>COUNTA(DB19:DF19)</f>
        <v>1</v>
      </c>
      <c r="DH19" s="72"/>
      <c r="DI19" s="72">
        <v>1</v>
      </c>
      <c r="DJ19" s="72"/>
      <c r="DK19" s="72"/>
      <c r="DL19" s="72"/>
      <c r="DM19" s="72">
        <f>COUNTA(DH19:DL19)</f>
        <v>1</v>
      </c>
      <c r="DN19" s="4">
        <f t="shared" si="14"/>
        <v>6</v>
      </c>
      <c r="DO19">
        <f t="shared" si="15"/>
        <v>29</v>
      </c>
      <c r="DR19" s="21"/>
      <c r="DS19" s="13">
        <v>3</v>
      </c>
    </row>
    <row r="20" spans="1:123" ht="14.25" x14ac:dyDescent="0.15">
      <c r="A20" s="2" t="s">
        <v>35</v>
      </c>
      <c r="B20" s="15" t="s">
        <v>84</v>
      </c>
      <c r="C20" s="15"/>
      <c r="D20" s="4"/>
      <c r="E20" s="4"/>
      <c r="G20" s="4">
        <v>2</v>
      </c>
      <c r="H20" s="4">
        <v>2</v>
      </c>
      <c r="I20" s="4"/>
      <c r="J20" s="4"/>
      <c r="K20" s="4">
        <v>1</v>
      </c>
      <c r="L20" s="4"/>
      <c r="M20" s="4"/>
      <c r="N20" s="4">
        <v>2</v>
      </c>
      <c r="O20" s="4">
        <v>1</v>
      </c>
      <c r="P20" s="87">
        <f t="shared" ref="P20:P26" si="17">COUNTA(C20:O20)</f>
        <v>5</v>
      </c>
      <c r="Q20" s="21"/>
      <c r="R20" s="21"/>
      <c r="S20" s="21"/>
      <c r="T20" s="21"/>
      <c r="U20" s="21"/>
      <c r="V20" s="21"/>
      <c r="W20" s="21"/>
      <c r="X20" s="21">
        <v>1</v>
      </c>
      <c r="Y20" s="21">
        <v>1</v>
      </c>
      <c r="Z20" s="21"/>
      <c r="AA20" s="21"/>
      <c r="AB20" s="21">
        <v>1</v>
      </c>
      <c r="AC20" s="21"/>
      <c r="AD20" s="88">
        <f t="shared" si="5"/>
        <v>3</v>
      </c>
      <c r="AE20" s="13">
        <v>1</v>
      </c>
      <c r="AF20" s="13"/>
      <c r="AG20" s="13"/>
      <c r="AH20" s="13"/>
      <c r="AI20" s="13"/>
      <c r="AJ20" s="13">
        <v>1</v>
      </c>
      <c r="AK20" s="13"/>
      <c r="AL20" s="13">
        <v>1</v>
      </c>
      <c r="AM20" s="13">
        <v>1</v>
      </c>
      <c r="AN20" s="13"/>
      <c r="AO20" s="13">
        <v>1</v>
      </c>
      <c r="AP20" s="13">
        <v>1</v>
      </c>
      <c r="AQ20" s="13">
        <v>1</v>
      </c>
      <c r="AR20" s="89">
        <f t="shared" si="6"/>
        <v>7</v>
      </c>
      <c r="AS20" s="54"/>
      <c r="AT20" s="54"/>
      <c r="AU20" s="54"/>
      <c r="AV20" s="54">
        <v>1</v>
      </c>
      <c r="AW20" s="54"/>
      <c r="AX20" s="56">
        <v>1</v>
      </c>
      <c r="AY20" s="54"/>
      <c r="AZ20" s="54">
        <v>1</v>
      </c>
      <c r="BA20" s="54">
        <v>1</v>
      </c>
      <c r="BB20" s="54"/>
      <c r="BC20" s="54">
        <v>2</v>
      </c>
      <c r="BD20" s="54"/>
      <c r="BE20" s="54">
        <v>1</v>
      </c>
      <c r="BF20" s="90">
        <f t="shared" si="7"/>
        <v>6</v>
      </c>
      <c r="BG20" s="64"/>
      <c r="BH20" s="64"/>
      <c r="BI20" s="64"/>
      <c r="BJ20" s="64">
        <v>1</v>
      </c>
      <c r="BK20" s="64"/>
      <c r="BL20" s="66"/>
      <c r="BM20" s="64"/>
      <c r="BN20" s="64">
        <v>1</v>
      </c>
      <c r="BO20" s="64">
        <v>1</v>
      </c>
      <c r="BP20" s="64">
        <v>1</v>
      </c>
      <c r="BQ20" s="64">
        <v>1</v>
      </c>
      <c r="BR20" s="64">
        <v>1</v>
      </c>
      <c r="BS20" s="64">
        <v>1</v>
      </c>
      <c r="BT20" s="91">
        <f t="shared" si="8"/>
        <v>7</v>
      </c>
      <c r="BU20">
        <f t="shared" si="9"/>
        <v>28</v>
      </c>
      <c r="BW20" s="2" t="s">
        <v>35</v>
      </c>
      <c r="BX20" s="38"/>
      <c r="BY20" s="38"/>
      <c r="BZ20" s="38"/>
      <c r="CA20" s="38"/>
      <c r="CB20" s="38"/>
      <c r="CC20" s="38"/>
      <c r="CD20" s="35"/>
      <c r="CE20" s="35"/>
      <c r="CF20" s="35"/>
      <c r="CG20" s="35"/>
      <c r="CH20" s="35"/>
      <c r="CI20" s="83"/>
      <c r="CO20"/>
      <c r="CP20" s="54"/>
      <c r="CQ20" s="54"/>
      <c r="CR20" s="54"/>
      <c r="CS20" s="54"/>
      <c r="CT20" s="54"/>
      <c r="CU20" s="54"/>
      <c r="CV20" s="64"/>
      <c r="CW20" s="64"/>
      <c r="CX20" s="64"/>
      <c r="CY20" s="64"/>
      <c r="CZ20" s="64"/>
      <c r="DA20" s="64"/>
      <c r="DB20" s="69"/>
      <c r="DC20" s="69"/>
      <c r="DD20" s="69"/>
      <c r="DE20" s="69"/>
      <c r="DF20" s="69"/>
      <c r="DG20" s="69"/>
      <c r="DH20" s="72"/>
      <c r="DI20" s="72"/>
      <c r="DJ20" s="72"/>
      <c r="DK20" s="72"/>
      <c r="DL20" s="72"/>
      <c r="DM20" s="72"/>
      <c r="DN20" s="4">
        <f t="shared" si="14"/>
        <v>0</v>
      </c>
      <c r="DO20">
        <f t="shared" si="15"/>
        <v>28</v>
      </c>
      <c r="DR20" s="21"/>
      <c r="DS20" s="13"/>
    </row>
    <row r="21" spans="1:123" ht="14.25" x14ac:dyDescent="0.15">
      <c r="A21" s="2" t="s">
        <v>11</v>
      </c>
      <c r="B21" s="15" t="s">
        <v>80</v>
      </c>
      <c r="C21" s="15">
        <v>4</v>
      </c>
      <c r="D21" s="4">
        <v>4</v>
      </c>
      <c r="E21" s="4"/>
      <c r="G21" s="4"/>
      <c r="H21" s="4"/>
      <c r="I21" s="4"/>
      <c r="J21" s="4"/>
      <c r="L21" s="4"/>
      <c r="M21" s="4"/>
      <c r="N21" s="4"/>
      <c r="O21" s="4"/>
      <c r="P21" s="87">
        <f t="shared" si="17"/>
        <v>2</v>
      </c>
      <c r="Q21" s="21">
        <v>1</v>
      </c>
      <c r="R21" s="21"/>
      <c r="S21" s="21"/>
      <c r="T21" s="21"/>
      <c r="U21" s="21">
        <v>1</v>
      </c>
      <c r="V21" s="21">
        <v>1</v>
      </c>
      <c r="W21" s="21"/>
      <c r="X21" s="21"/>
      <c r="Y21" s="21"/>
      <c r="Z21" s="21"/>
      <c r="AA21" s="21"/>
      <c r="AB21" s="21"/>
      <c r="AC21" s="21"/>
      <c r="AD21" s="88">
        <f t="shared" si="5"/>
        <v>3</v>
      </c>
      <c r="AE21" s="13">
        <v>4</v>
      </c>
      <c r="AF21" s="13">
        <v>2</v>
      </c>
      <c r="AG21" s="13">
        <v>1</v>
      </c>
      <c r="AH21" s="13">
        <v>1</v>
      </c>
      <c r="AI21" s="13">
        <v>1</v>
      </c>
      <c r="AJ21" s="13"/>
      <c r="AK21" s="13"/>
      <c r="AL21" s="13"/>
      <c r="AM21" s="13">
        <v>1</v>
      </c>
      <c r="AN21" s="13"/>
      <c r="AO21" s="13"/>
      <c r="AP21" s="13"/>
      <c r="AQ21" s="13"/>
      <c r="AR21" s="89">
        <f t="shared" si="6"/>
        <v>6</v>
      </c>
      <c r="AS21" s="54">
        <v>4</v>
      </c>
      <c r="AT21" s="54">
        <v>2</v>
      </c>
      <c r="AU21" s="54">
        <v>1</v>
      </c>
      <c r="AV21" s="54">
        <v>1</v>
      </c>
      <c r="AW21" s="54">
        <v>1</v>
      </c>
      <c r="AX21" s="56">
        <v>1</v>
      </c>
      <c r="AY21" s="54"/>
      <c r="AZ21" s="54"/>
      <c r="BA21" s="54"/>
      <c r="BB21" s="54"/>
      <c r="BC21" s="54"/>
      <c r="BD21" s="54"/>
      <c r="BE21" s="54"/>
      <c r="BF21" s="90">
        <f t="shared" si="7"/>
        <v>6</v>
      </c>
      <c r="BG21" s="64">
        <v>3</v>
      </c>
      <c r="BH21" s="64">
        <v>2</v>
      </c>
      <c r="BI21" s="64">
        <v>1</v>
      </c>
      <c r="BJ21" s="64">
        <v>1</v>
      </c>
      <c r="BK21" s="64">
        <v>2</v>
      </c>
      <c r="BL21" s="66">
        <v>1</v>
      </c>
      <c r="BM21" s="64"/>
      <c r="BN21" s="64">
        <v>1</v>
      </c>
      <c r="BO21" s="64">
        <v>1</v>
      </c>
      <c r="BP21" s="64">
        <v>2</v>
      </c>
      <c r="BQ21" s="64"/>
      <c r="BR21" s="64"/>
      <c r="BS21" s="64"/>
      <c r="BT21" s="91">
        <f t="shared" si="8"/>
        <v>9</v>
      </c>
      <c r="BU21">
        <f t="shared" si="9"/>
        <v>26</v>
      </c>
      <c r="BW21" s="2" t="s">
        <v>11</v>
      </c>
      <c r="BX21" s="38"/>
      <c r="BY21" s="38"/>
      <c r="BZ21" s="38"/>
      <c r="CA21" s="38"/>
      <c r="CB21" s="38"/>
      <c r="CC21" s="38"/>
      <c r="CD21" s="35"/>
      <c r="CE21" s="35"/>
      <c r="CF21" s="35"/>
      <c r="CG21" s="35"/>
      <c r="CH21" s="35"/>
      <c r="CI21" s="83"/>
      <c r="CO21"/>
      <c r="CP21" s="54"/>
      <c r="CQ21" s="54"/>
      <c r="CR21" s="54"/>
      <c r="CS21" s="54"/>
      <c r="CT21" s="54"/>
      <c r="CU21" s="54"/>
      <c r="CV21" s="64"/>
      <c r="CW21" s="64"/>
      <c r="CX21" s="64"/>
      <c r="CY21" s="64"/>
      <c r="CZ21" s="64"/>
      <c r="DA21" s="64"/>
      <c r="DB21" s="69"/>
      <c r="DC21" s="69"/>
      <c r="DD21" s="69">
        <v>1</v>
      </c>
      <c r="DE21" s="69"/>
      <c r="DF21" s="69"/>
      <c r="DG21" s="69">
        <f>COUNTA(DB21:DF21)</f>
        <v>1</v>
      </c>
      <c r="DH21" s="72"/>
      <c r="DI21" s="72"/>
      <c r="DJ21" s="72">
        <v>1</v>
      </c>
      <c r="DK21" s="72"/>
      <c r="DL21" s="72"/>
      <c r="DM21" s="72">
        <f>COUNTA(DH21:DL21)</f>
        <v>1</v>
      </c>
      <c r="DN21" s="4">
        <f t="shared" si="14"/>
        <v>2</v>
      </c>
      <c r="DO21">
        <f t="shared" si="15"/>
        <v>28</v>
      </c>
      <c r="DR21" s="21"/>
      <c r="DS21" s="13"/>
    </row>
    <row r="22" spans="1:123" ht="14.25" x14ac:dyDescent="0.15">
      <c r="A22" s="2" t="s">
        <v>22</v>
      </c>
      <c r="B22" s="15" t="s">
        <v>84</v>
      </c>
      <c r="C22" s="15">
        <v>2</v>
      </c>
      <c r="D22" s="4"/>
      <c r="E22" s="4"/>
      <c r="F22" s="4">
        <v>1</v>
      </c>
      <c r="G22" s="4">
        <v>1</v>
      </c>
      <c r="H22" s="4"/>
      <c r="I22" s="4"/>
      <c r="J22" s="4"/>
      <c r="L22" s="4"/>
      <c r="M22" s="4"/>
      <c r="N22" s="4"/>
      <c r="O22" s="4"/>
      <c r="P22" s="87">
        <f t="shared" si="17"/>
        <v>3</v>
      </c>
      <c r="Q22" s="21">
        <v>2</v>
      </c>
      <c r="R22" s="21">
        <v>1</v>
      </c>
      <c r="S22" s="21"/>
      <c r="T22" s="21">
        <v>2</v>
      </c>
      <c r="U22" s="21">
        <v>1</v>
      </c>
      <c r="V22" s="21"/>
      <c r="W22" s="21">
        <v>1</v>
      </c>
      <c r="X22" s="21">
        <v>1</v>
      </c>
      <c r="Y22" s="21"/>
      <c r="Z22" s="21"/>
      <c r="AA22" s="21"/>
      <c r="AB22" s="21"/>
      <c r="AC22" s="21"/>
      <c r="AD22" s="88">
        <f t="shared" si="5"/>
        <v>6</v>
      </c>
      <c r="AE22" s="13">
        <v>1</v>
      </c>
      <c r="AF22" s="13">
        <v>1</v>
      </c>
      <c r="AG22" s="13">
        <v>1</v>
      </c>
      <c r="AH22" s="13">
        <v>1</v>
      </c>
      <c r="AI22" s="13">
        <v>1</v>
      </c>
      <c r="AJ22" s="13"/>
      <c r="AK22" s="13"/>
      <c r="AL22" s="13"/>
      <c r="AM22" s="13"/>
      <c r="AN22" s="13"/>
      <c r="AO22" s="13"/>
      <c r="AP22" s="13"/>
      <c r="AQ22" s="13"/>
      <c r="AR22" s="89">
        <f t="shared" si="6"/>
        <v>5</v>
      </c>
      <c r="AS22" s="54">
        <v>2</v>
      </c>
      <c r="AT22" s="54">
        <v>1</v>
      </c>
      <c r="AU22" s="54"/>
      <c r="AV22" s="54">
        <v>1</v>
      </c>
      <c r="AW22" s="54">
        <v>1</v>
      </c>
      <c r="AX22" s="56"/>
      <c r="AY22" s="54"/>
      <c r="AZ22" s="54"/>
      <c r="BA22" s="54"/>
      <c r="BB22" s="54"/>
      <c r="BC22" s="54"/>
      <c r="BD22" s="54"/>
      <c r="BE22" s="54"/>
      <c r="BF22" s="90">
        <f t="shared" si="7"/>
        <v>4</v>
      </c>
      <c r="BG22" s="64">
        <v>3</v>
      </c>
      <c r="BH22" s="64">
        <v>1</v>
      </c>
      <c r="BI22" s="64">
        <v>1</v>
      </c>
      <c r="BJ22" s="64">
        <v>1</v>
      </c>
      <c r="BK22" s="64">
        <v>1</v>
      </c>
      <c r="BL22" s="66"/>
      <c r="BM22" s="64"/>
      <c r="BN22" s="64"/>
      <c r="BO22" s="64">
        <v>1</v>
      </c>
      <c r="BP22" s="64"/>
      <c r="BQ22" s="64"/>
      <c r="BR22" s="64"/>
      <c r="BS22" s="64"/>
      <c r="BT22" s="91">
        <f t="shared" si="8"/>
        <v>6</v>
      </c>
      <c r="BU22">
        <f t="shared" si="9"/>
        <v>24</v>
      </c>
      <c r="BW22" s="2" t="s">
        <v>22</v>
      </c>
      <c r="BX22" s="38"/>
      <c r="BY22" s="38"/>
      <c r="BZ22" s="38"/>
      <c r="CA22" s="38"/>
      <c r="CB22" s="38"/>
      <c r="CC22" s="38"/>
      <c r="CD22" s="35"/>
      <c r="CE22" s="35"/>
      <c r="CF22" s="35"/>
      <c r="CG22" s="35"/>
      <c r="CH22" s="35"/>
      <c r="CI22" s="83"/>
      <c r="CO22"/>
      <c r="CP22" s="54"/>
      <c r="CQ22" s="54"/>
      <c r="CR22" s="54"/>
      <c r="CS22" s="54"/>
      <c r="CT22" s="54"/>
      <c r="CU22" s="54"/>
      <c r="CV22" s="64"/>
      <c r="CW22" s="64"/>
      <c r="CX22" s="64"/>
      <c r="CY22" s="64"/>
      <c r="CZ22" s="64"/>
      <c r="DA22" s="64"/>
      <c r="DB22" s="69"/>
      <c r="DC22" s="69"/>
      <c r="DD22" s="69"/>
      <c r="DE22" s="69"/>
      <c r="DF22" s="69"/>
      <c r="DG22" s="69"/>
      <c r="DH22" s="72"/>
      <c r="DI22" s="72"/>
      <c r="DJ22" s="72"/>
      <c r="DK22" s="72"/>
      <c r="DL22" s="72"/>
      <c r="DM22" s="72"/>
      <c r="DN22" s="4">
        <f t="shared" si="14"/>
        <v>0</v>
      </c>
      <c r="DO22">
        <f t="shared" si="15"/>
        <v>24</v>
      </c>
      <c r="DR22" s="21"/>
      <c r="DS22" s="13"/>
    </row>
    <row r="23" spans="1:123" ht="14.25" x14ac:dyDescent="0.15">
      <c r="A23" s="2" t="s">
        <v>38</v>
      </c>
      <c r="B23" s="15" t="s">
        <v>87</v>
      </c>
      <c r="C23" s="15"/>
      <c r="D23" s="4">
        <v>1</v>
      </c>
      <c r="E23" s="4"/>
      <c r="G23" s="4"/>
      <c r="H23" s="4">
        <v>1</v>
      </c>
      <c r="I23" s="4"/>
      <c r="J23" s="4"/>
      <c r="L23" s="4"/>
      <c r="M23" s="4"/>
      <c r="N23" s="4"/>
      <c r="O23" s="4"/>
      <c r="P23" s="87">
        <f t="shared" si="17"/>
        <v>2</v>
      </c>
      <c r="Q23" s="21"/>
      <c r="R23" s="21"/>
      <c r="S23" s="21">
        <v>1</v>
      </c>
      <c r="T23" s="21"/>
      <c r="U23" s="21"/>
      <c r="V23" s="21">
        <v>1</v>
      </c>
      <c r="W23" s="21"/>
      <c r="X23" s="21"/>
      <c r="Y23" s="21"/>
      <c r="Z23" s="21"/>
      <c r="AA23" s="21"/>
      <c r="AB23" s="21"/>
      <c r="AC23" s="21"/>
      <c r="AD23" s="88">
        <f t="shared" si="5"/>
        <v>2</v>
      </c>
      <c r="AE23" s="13">
        <v>1</v>
      </c>
      <c r="AF23" s="13">
        <v>1</v>
      </c>
      <c r="AG23" s="13">
        <v>1</v>
      </c>
      <c r="AH23" s="13"/>
      <c r="AI23" s="13">
        <v>1</v>
      </c>
      <c r="AJ23" s="13"/>
      <c r="AK23" s="13"/>
      <c r="AL23" s="13"/>
      <c r="AM23" s="13"/>
      <c r="AN23" s="13"/>
      <c r="AO23" s="13"/>
      <c r="AP23" s="13"/>
      <c r="AQ23" s="13"/>
      <c r="AR23" s="89">
        <f t="shared" si="6"/>
        <v>4</v>
      </c>
      <c r="AS23" s="54">
        <v>1</v>
      </c>
      <c r="AT23" s="54">
        <v>1</v>
      </c>
      <c r="AU23" s="54">
        <v>1</v>
      </c>
      <c r="AV23" s="54"/>
      <c r="AW23" s="54">
        <v>1</v>
      </c>
      <c r="AX23" s="56"/>
      <c r="AY23" s="54"/>
      <c r="AZ23" s="54"/>
      <c r="BA23" s="54">
        <v>1</v>
      </c>
      <c r="BB23" s="54"/>
      <c r="BC23" s="54"/>
      <c r="BD23" s="54"/>
      <c r="BE23" s="54"/>
      <c r="BF23" s="90">
        <f t="shared" si="7"/>
        <v>5</v>
      </c>
      <c r="BG23" s="64">
        <v>1</v>
      </c>
      <c r="BH23" s="64">
        <v>1</v>
      </c>
      <c r="BI23" s="64">
        <v>1</v>
      </c>
      <c r="BJ23" s="64"/>
      <c r="BK23" s="64">
        <v>1</v>
      </c>
      <c r="BL23" s="66"/>
      <c r="BM23" s="64"/>
      <c r="BN23" s="64"/>
      <c r="BO23" s="64"/>
      <c r="BP23" s="64"/>
      <c r="BQ23" s="64">
        <v>1</v>
      </c>
      <c r="BR23" s="64"/>
      <c r="BS23" s="64"/>
      <c r="BT23" s="91">
        <f t="shared" si="8"/>
        <v>5</v>
      </c>
      <c r="BU23">
        <f t="shared" si="9"/>
        <v>18</v>
      </c>
      <c r="BW23" s="2" t="s">
        <v>38</v>
      </c>
      <c r="BX23" s="38"/>
      <c r="BY23" s="38"/>
      <c r="BZ23" s="38"/>
      <c r="CA23" s="38"/>
      <c r="CB23" s="38"/>
      <c r="CC23" s="38"/>
      <c r="CD23" s="35"/>
      <c r="CE23" s="35"/>
      <c r="CF23" s="35"/>
      <c r="CG23" s="35"/>
      <c r="CH23" s="35"/>
      <c r="CI23" s="83"/>
      <c r="CJ23" s="4">
        <v>1</v>
      </c>
      <c r="CO23">
        <f>COUNTA(CJ23:CN23)</f>
        <v>1</v>
      </c>
      <c r="CP23" s="54">
        <v>1</v>
      </c>
      <c r="CQ23" s="54"/>
      <c r="CR23" s="54"/>
      <c r="CS23" s="54"/>
      <c r="CT23" s="54"/>
      <c r="CU23" s="54">
        <f>COUNTA(CP23:CT23)</f>
        <v>1</v>
      </c>
      <c r="CV23" s="64">
        <v>1</v>
      </c>
      <c r="CW23" s="64"/>
      <c r="CX23" s="64"/>
      <c r="CY23" s="64"/>
      <c r="CZ23" s="64"/>
      <c r="DA23" s="64">
        <f>COUNTA(CV23:CZ23)</f>
        <v>1</v>
      </c>
      <c r="DB23" s="69">
        <v>1</v>
      </c>
      <c r="DC23" s="69"/>
      <c r="DD23" s="69"/>
      <c r="DE23" s="69"/>
      <c r="DF23" s="69"/>
      <c r="DG23" s="69">
        <f>COUNTA(DB23:DF23)</f>
        <v>1</v>
      </c>
      <c r="DH23" s="72">
        <v>1</v>
      </c>
      <c r="DI23" s="72"/>
      <c r="DJ23" s="72"/>
      <c r="DK23" s="72"/>
      <c r="DL23" s="72"/>
      <c r="DM23" s="72">
        <f>COUNTA(DH23:DL23)</f>
        <v>1</v>
      </c>
      <c r="DN23" s="4">
        <f t="shared" si="14"/>
        <v>5</v>
      </c>
      <c r="DO23">
        <f t="shared" si="15"/>
        <v>23</v>
      </c>
      <c r="DR23" s="21"/>
      <c r="DS23" s="13"/>
    </row>
    <row r="24" spans="1:123" ht="14.25" x14ac:dyDescent="0.15">
      <c r="A24" s="2" t="s">
        <v>15</v>
      </c>
      <c r="B24" s="32" t="s">
        <v>80</v>
      </c>
      <c r="C24" s="15"/>
      <c r="D24" s="4"/>
      <c r="E24" s="4"/>
      <c r="F24" s="4">
        <v>1</v>
      </c>
      <c r="G24" s="4"/>
      <c r="H24" s="4"/>
      <c r="I24" s="4"/>
      <c r="J24" s="4"/>
      <c r="L24" s="4"/>
      <c r="M24" s="4"/>
      <c r="N24" s="4"/>
      <c r="O24" s="4"/>
      <c r="P24" s="87">
        <f t="shared" si="17"/>
        <v>1</v>
      </c>
      <c r="Q24" s="21">
        <v>2</v>
      </c>
      <c r="R24" s="21">
        <v>1</v>
      </c>
      <c r="S24" s="21"/>
      <c r="T24" s="21">
        <v>1</v>
      </c>
      <c r="U24" s="21">
        <v>2</v>
      </c>
      <c r="V24" s="21">
        <v>2</v>
      </c>
      <c r="W24" s="21"/>
      <c r="X24" s="21">
        <v>2</v>
      </c>
      <c r="Y24" s="21"/>
      <c r="Z24" s="21">
        <v>1</v>
      </c>
      <c r="AA24" s="21">
        <v>1</v>
      </c>
      <c r="AB24" s="21">
        <v>2</v>
      </c>
      <c r="AC24" s="21">
        <v>2</v>
      </c>
      <c r="AD24" s="88">
        <f t="shared" si="5"/>
        <v>10</v>
      </c>
      <c r="AE24" s="13">
        <v>1</v>
      </c>
      <c r="AF24" s="13">
        <v>1</v>
      </c>
      <c r="AG24" s="13"/>
      <c r="AH24" s="13">
        <v>1</v>
      </c>
      <c r="AI24" s="13">
        <v>1</v>
      </c>
      <c r="AJ24" s="13"/>
      <c r="AK24" s="13"/>
      <c r="AL24" s="13"/>
      <c r="AM24" s="13"/>
      <c r="AN24" s="13"/>
      <c r="AO24" s="13"/>
      <c r="AP24" s="13"/>
      <c r="AQ24" s="13"/>
      <c r="AR24" s="89">
        <f t="shared" si="6"/>
        <v>4</v>
      </c>
      <c r="AS24" s="54">
        <v>1</v>
      </c>
      <c r="AT24" s="54">
        <v>1</v>
      </c>
      <c r="AU24" s="54"/>
      <c r="AV24" s="54">
        <v>1</v>
      </c>
      <c r="AW24" s="54">
        <v>1</v>
      </c>
      <c r="AX24" s="56"/>
      <c r="AY24" s="54"/>
      <c r="AZ24" s="54"/>
      <c r="BA24" s="54"/>
      <c r="BB24" s="54"/>
      <c r="BC24" s="54"/>
      <c r="BD24" s="54"/>
      <c r="BE24" s="54"/>
      <c r="BF24" s="90">
        <f t="shared" si="7"/>
        <v>4</v>
      </c>
      <c r="BG24" s="64">
        <v>1</v>
      </c>
      <c r="BH24" s="64"/>
      <c r="BI24" s="64"/>
      <c r="BJ24" s="64"/>
      <c r="BK24" s="64"/>
      <c r="BL24" s="66"/>
      <c r="BM24" s="64"/>
      <c r="BN24" s="64"/>
      <c r="BO24" s="64"/>
      <c r="BP24" s="64"/>
      <c r="BQ24" s="64"/>
      <c r="BR24" s="64"/>
      <c r="BS24" s="64"/>
      <c r="BT24" s="91">
        <f t="shared" si="8"/>
        <v>1</v>
      </c>
      <c r="BU24">
        <f t="shared" si="9"/>
        <v>20</v>
      </c>
      <c r="BW24" s="2" t="s">
        <v>15</v>
      </c>
      <c r="BX24" s="38"/>
      <c r="BY24" s="38"/>
      <c r="BZ24" s="38"/>
      <c r="CA24" s="38"/>
      <c r="CB24" s="38"/>
      <c r="CC24" s="38"/>
      <c r="CD24" s="35"/>
      <c r="CE24" s="35"/>
      <c r="CF24" s="35"/>
      <c r="CG24" s="35"/>
      <c r="CH24" s="35"/>
      <c r="CI24" s="83"/>
      <c r="CO24"/>
      <c r="CP24" s="54"/>
      <c r="CQ24" s="54"/>
      <c r="CR24" s="54"/>
      <c r="CS24" s="54"/>
      <c r="CT24" s="54"/>
      <c r="CU24" s="54"/>
      <c r="CV24" s="64"/>
      <c r="CW24" s="64"/>
      <c r="CX24" s="64"/>
      <c r="CY24" s="64"/>
      <c r="CZ24" s="64"/>
      <c r="DA24" s="64"/>
      <c r="DB24" s="69"/>
      <c r="DC24" s="69"/>
      <c r="DD24" s="69"/>
      <c r="DE24" s="69"/>
      <c r="DF24" s="69"/>
      <c r="DG24" s="69"/>
      <c r="DH24" s="72"/>
      <c r="DI24" s="72"/>
      <c r="DJ24" s="72"/>
      <c r="DK24" s="72"/>
      <c r="DL24" s="72"/>
      <c r="DM24" s="72"/>
      <c r="DN24" s="4">
        <f t="shared" si="14"/>
        <v>0</v>
      </c>
      <c r="DO24">
        <f t="shared" si="15"/>
        <v>20</v>
      </c>
      <c r="DR24" s="21"/>
      <c r="DS24" s="13"/>
    </row>
    <row r="25" spans="1:123" ht="14.25" x14ac:dyDescent="0.15">
      <c r="A25" s="2" t="s">
        <v>41</v>
      </c>
      <c r="B25" s="15" t="s">
        <v>84</v>
      </c>
      <c r="C25" s="15">
        <v>1</v>
      </c>
      <c r="D25" s="4">
        <v>1</v>
      </c>
      <c r="E25" s="4">
        <v>1</v>
      </c>
      <c r="G25" s="4">
        <v>1</v>
      </c>
      <c r="H25" s="4"/>
      <c r="I25" s="4"/>
      <c r="J25" s="4"/>
      <c r="K25" s="4">
        <v>1</v>
      </c>
      <c r="L25" s="4"/>
      <c r="M25" s="4"/>
      <c r="N25" s="4"/>
      <c r="O25" s="4"/>
      <c r="P25" s="87">
        <f t="shared" si="17"/>
        <v>5</v>
      </c>
      <c r="Q25" s="21">
        <v>2</v>
      </c>
      <c r="R25" s="21">
        <v>1</v>
      </c>
      <c r="S25" s="21"/>
      <c r="T25" s="21">
        <v>1</v>
      </c>
      <c r="U25" s="21"/>
      <c r="V25" s="21"/>
      <c r="W25" s="21"/>
      <c r="X25" s="21"/>
      <c r="Y25" s="21"/>
      <c r="Z25" s="21"/>
      <c r="AA25" s="21"/>
      <c r="AB25" s="21"/>
      <c r="AC25" s="21"/>
      <c r="AD25" s="88">
        <f t="shared" si="5"/>
        <v>3</v>
      </c>
      <c r="AE25" s="13">
        <v>1</v>
      </c>
      <c r="AF25" s="13">
        <v>1</v>
      </c>
      <c r="AG25" s="13"/>
      <c r="AH25" s="13"/>
      <c r="AI25" s="13"/>
      <c r="AJ25" s="13"/>
      <c r="AK25" s="13"/>
      <c r="AL25" s="13"/>
      <c r="AM25" s="13"/>
      <c r="AN25" s="13"/>
      <c r="AO25" s="13">
        <v>1</v>
      </c>
      <c r="AP25" s="13"/>
      <c r="AQ25" s="13"/>
      <c r="AR25" s="89">
        <f t="shared" si="6"/>
        <v>3</v>
      </c>
      <c r="AS25" s="54">
        <v>1</v>
      </c>
      <c r="AT25" s="54">
        <v>1</v>
      </c>
      <c r="AU25" s="54">
        <v>1</v>
      </c>
      <c r="AV25" s="54"/>
      <c r="AW25" s="54"/>
      <c r="AX25" s="56"/>
      <c r="AY25" s="54"/>
      <c r="AZ25" s="54"/>
      <c r="BA25" s="54"/>
      <c r="BB25" s="54"/>
      <c r="BC25" s="54"/>
      <c r="BD25" s="54"/>
      <c r="BE25" s="54"/>
      <c r="BF25" s="90">
        <f t="shared" si="7"/>
        <v>3</v>
      </c>
      <c r="BG25" s="64">
        <v>1</v>
      </c>
      <c r="BH25" s="64">
        <v>1</v>
      </c>
      <c r="BI25" s="64">
        <v>1</v>
      </c>
      <c r="BJ25" s="64"/>
      <c r="BK25" s="64"/>
      <c r="BL25" s="66"/>
      <c r="BM25" s="64"/>
      <c r="BN25" s="64"/>
      <c r="BO25" s="64">
        <v>1</v>
      </c>
      <c r="BP25" s="64"/>
      <c r="BQ25" s="64"/>
      <c r="BR25" s="64"/>
      <c r="BS25" s="64"/>
      <c r="BT25" s="91">
        <f t="shared" si="8"/>
        <v>4</v>
      </c>
      <c r="BU25">
        <f t="shared" si="9"/>
        <v>18</v>
      </c>
      <c r="BW25" s="2" t="s">
        <v>41</v>
      </c>
      <c r="BX25" s="38"/>
      <c r="BY25" s="38"/>
      <c r="BZ25" s="38"/>
      <c r="CA25" s="38"/>
      <c r="CB25" s="38"/>
      <c r="CC25" s="38"/>
      <c r="CD25" s="35"/>
      <c r="CE25" s="35"/>
      <c r="CF25" s="35"/>
      <c r="CG25" s="35"/>
      <c r="CH25" s="35"/>
      <c r="CI25" s="83"/>
      <c r="CO25"/>
      <c r="CP25" s="54"/>
      <c r="CQ25" s="54"/>
      <c r="CR25" s="54"/>
      <c r="CS25" s="54"/>
      <c r="CT25" s="54"/>
      <c r="CU25" s="54"/>
      <c r="CV25" s="64"/>
      <c r="CW25" s="64"/>
      <c r="CX25" s="64"/>
      <c r="CY25" s="64"/>
      <c r="CZ25" s="64"/>
      <c r="DA25" s="64"/>
      <c r="DB25" s="69"/>
      <c r="DC25" s="69"/>
      <c r="DD25" s="69"/>
      <c r="DE25" s="69"/>
      <c r="DF25" s="69"/>
      <c r="DG25" s="69"/>
      <c r="DH25" s="72"/>
      <c r="DI25" s="72"/>
      <c r="DJ25" s="72"/>
      <c r="DK25" s="72"/>
      <c r="DL25" s="72"/>
      <c r="DM25" s="72"/>
      <c r="DN25" s="4">
        <f t="shared" si="14"/>
        <v>0</v>
      </c>
      <c r="DO25">
        <f t="shared" si="15"/>
        <v>18</v>
      </c>
      <c r="DR25" s="21"/>
      <c r="DS25" s="13"/>
    </row>
    <row r="26" spans="1:123" ht="14.25" x14ac:dyDescent="0.15">
      <c r="A26" s="36" t="s">
        <v>27</v>
      </c>
      <c r="B26" s="15" t="s">
        <v>75</v>
      </c>
      <c r="C26" s="15"/>
      <c r="D26" s="4"/>
      <c r="E26" s="4"/>
      <c r="G26" s="4"/>
      <c r="H26" s="4"/>
      <c r="I26" s="4"/>
      <c r="J26" s="4"/>
      <c r="L26" s="4"/>
      <c r="M26" s="4"/>
      <c r="N26" s="4">
        <v>2</v>
      </c>
      <c r="O26" s="4"/>
      <c r="P26" s="87">
        <f t="shared" si="17"/>
        <v>1</v>
      </c>
      <c r="Q26" s="21"/>
      <c r="R26" s="21"/>
      <c r="S26" s="21"/>
      <c r="T26" s="21"/>
      <c r="U26" s="21"/>
      <c r="V26" s="21">
        <v>1</v>
      </c>
      <c r="W26" s="21"/>
      <c r="X26" s="21">
        <v>1</v>
      </c>
      <c r="Y26" s="21"/>
      <c r="Z26" s="21"/>
      <c r="AA26" s="21">
        <v>1</v>
      </c>
      <c r="AB26" s="21">
        <v>3</v>
      </c>
      <c r="AC26" s="21"/>
      <c r="AD26" s="88">
        <f t="shared" si="5"/>
        <v>4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>
        <v>1</v>
      </c>
      <c r="AP26" s="13">
        <v>1</v>
      </c>
      <c r="AQ26" s="13"/>
      <c r="AR26" s="89">
        <f t="shared" si="6"/>
        <v>2</v>
      </c>
      <c r="AS26" s="54"/>
      <c r="AT26" s="54"/>
      <c r="AU26" s="54"/>
      <c r="AV26" s="54"/>
      <c r="AW26" s="54"/>
      <c r="AX26" s="56">
        <v>2</v>
      </c>
      <c r="AY26" s="54">
        <v>1</v>
      </c>
      <c r="AZ26" s="54"/>
      <c r="BA26" s="54">
        <v>1</v>
      </c>
      <c r="BB26" s="54"/>
      <c r="BC26" s="54">
        <v>2</v>
      </c>
      <c r="BD26" s="54">
        <v>2</v>
      </c>
      <c r="BE26" s="54"/>
      <c r="BF26" s="90">
        <f t="shared" si="7"/>
        <v>5</v>
      </c>
      <c r="BG26" s="64"/>
      <c r="BH26" s="64"/>
      <c r="BI26" s="64"/>
      <c r="BJ26" s="64"/>
      <c r="BK26" s="64"/>
      <c r="BL26" s="66">
        <v>1</v>
      </c>
      <c r="BM26" s="64">
        <v>1</v>
      </c>
      <c r="BN26" s="64">
        <v>1</v>
      </c>
      <c r="BO26" s="64"/>
      <c r="BP26" s="64"/>
      <c r="BQ26" s="64">
        <v>2</v>
      </c>
      <c r="BR26" s="64">
        <v>1</v>
      </c>
      <c r="BS26" s="64"/>
      <c r="BT26" s="91">
        <f t="shared" si="8"/>
        <v>5</v>
      </c>
      <c r="BU26">
        <f t="shared" si="9"/>
        <v>17</v>
      </c>
      <c r="BW26" s="36" t="s">
        <v>27</v>
      </c>
      <c r="BX26" s="38"/>
      <c r="BY26" s="38"/>
      <c r="BZ26" s="38"/>
      <c r="CA26" s="38"/>
      <c r="CB26" s="38"/>
      <c r="CC26" s="38"/>
      <c r="CD26" s="35"/>
      <c r="CE26" s="35"/>
      <c r="CF26" s="35"/>
      <c r="CG26" s="35"/>
      <c r="CH26" s="35"/>
      <c r="CI26" s="83"/>
      <c r="CO26"/>
      <c r="CP26" s="54"/>
      <c r="CQ26" s="54"/>
      <c r="CR26" s="54"/>
      <c r="CS26" s="54"/>
      <c r="CT26" s="54">
        <v>1</v>
      </c>
      <c r="CU26" s="54">
        <f>COUNTA(CP26:CT26)</f>
        <v>1</v>
      </c>
      <c r="CV26" s="64"/>
      <c r="CW26" s="64"/>
      <c r="CX26" s="64"/>
      <c r="CY26" s="64"/>
      <c r="CZ26" s="64"/>
      <c r="DA26" s="64"/>
      <c r="DB26" s="69"/>
      <c r="DC26" s="69"/>
      <c r="DD26" s="69"/>
      <c r="DE26" s="69"/>
      <c r="DF26" s="69"/>
      <c r="DG26" s="69"/>
      <c r="DH26" s="72"/>
      <c r="DI26" s="72"/>
      <c r="DJ26" s="72"/>
      <c r="DK26" s="72"/>
      <c r="DL26" s="72"/>
      <c r="DM26" s="72"/>
      <c r="DN26" s="4">
        <f t="shared" si="14"/>
        <v>1</v>
      </c>
      <c r="DO26">
        <f t="shared" si="15"/>
        <v>18</v>
      </c>
      <c r="DR26" s="21">
        <v>2</v>
      </c>
      <c r="DS26" s="13"/>
    </row>
    <row r="27" spans="1:123" ht="14.25" x14ac:dyDescent="0.15">
      <c r="A27" s="3" t="s">
        <v>93</v>
      </c>
      <c r="B27" s="32" t="s">
        <v>75</v>
      </c>
      <c r="C27" s="17"/>
      <c r="D27" s="4"/>
      <c r="E27" s="4"/>
      <c r="G27" s="4"/>
      <c r="H27" s="4"/>
      <c r="I27" s="4"/>
      <c r="J27" s="4"/>
      <c r="L27" s="4"/>
      <c r="M27" s="4"/>
      <c r="N27" s="4"/>
      <c r="O27" s="4"/>
      <c r="P27" s="87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88">
        <f t="shared" si="5"/>
        <v>0</v>
      </c>
      <c r="AE27" s="13"/>
      <c r="AF27" s="13"/>
      <c r="AG27" s="13"/>
      <c r="AH27" s="13"/>
      <c r="AI27" s="13"/>
      <c r="AJ27" s="13"/>
      <c r="AK27" s="13">
        <v>1</v>
      </c>
      <c r="AL27" s="13"/>
      <c r="AM27" s="13"/>
      <c r="AN27" s="13"/>
      <c r="AO27" s="13"/>
      <c r="AP27" s="13"/>
      <c r="AQ27" s="13"/>
      <c r="AR27" s="89">
        <f t="shared" si="6"/>
        <v>1</v>
      </c>
      <c r="AS27" s="54"/>
      <c r="AT27" s="54"/>
      <c r="AU27" s="54"/>
      <c r="AV27" s="54">
        <v>1</v>
      </c>
      <c r="AW27" s="54"/>
      <c r="AX27" s="56"/>
      <c r="AY27" s="54">
        <v>1</v>
      </c>
      <c r="AZ27" s="54"/>
      <c r="BA27" s="54"/>
      <c r="BB27" s="54"/>
      <c r="BC27" s="54">
        <v>1</v>
      </c>
      <c r="BD27" s="54"/>
      <c r="BE27" s="54">
        <v>1</v>
      </c>
      <c r="BF27" s="90">
        <f t="shared" si="7"/>
        <v>4</v>
      </c>
      <c r="BG27" s="64">
        <v>1</v>
      </c>
      <c r="BH27" s="64"/>
      <c r="BI27" s="64"/>
      <c r="BJ27" s="64">
        <v>1</v>
      </c>
      <c r="BK27" s="64">
        <v>1</v>
      </c>
      <c r="BL27" s="66">
        <v>1</v>
      </c>
      <c r="BM27" s="64">
        <v>1</v>
      </c>
      <c r="BN27" s="64"/>
      <c r="BO27" s="64"/>
      <c r="BP27" s="64">
        <v>1</v>
      </c>
      <c r="BQ27" s="64">
        <v>1</v>
      </c>
      <c r="BR27" s="64"/>
      <c r="BS27" s="64">
        <v>1</v>
      </c>
      <c r="BT27" s="91">
        <f t="shared" si="8"/>
        <v>8</v>
      </c>
      <c r="BU27">
        <f t="shared" si="9"/>
        <v>13</v>
      </c>
      <c r="BW27" s="3" t="s">
        <v>93</v>
      </c>
      <c r="BX27" s="38"/>
      <c r="BY27" s="38"/>
      <c r="BZ27" s="38"/>
      <c r="CA27" s="38"/>
      <c r="CB27" s="38"/>
      <c r="CC27" s="38"/>
      <c r="CD27" s="35"/>
      <c r="CE27" s="35">
        <v>1</v>
      </c>
      <c r="CF27" s="35"/>
      <c r="CG27" s="35"/>
      <c r="CH27" s="35"/>
      <c r="CI27" s="83">
        <f>COUNTA(CD27:CH27)</f>
        <v>1</v>
      </c>
      <c r="CK27" s="4">
        <v>1</v>
      </c>
      <c r="CO27">
        <f>COUNTA(CJ27:CN27)</f>
        <v>1</v>
      </c>
      <c r="CP27" s="54"/>
      <c r="CQ27" s="54">
        <v>1</v>
      </c>
      <c r="CR27" s="54"/>
      <c r="CS27" s="54"/>
      <c r="CT27" s="54"/>
      <c r="CU27" s="54">
        <f>COUNTA(CP27:CT27)</f>
        <v>1</v>
      </c>
      <c r="CV27" s="64"/>
      <c r="CW27" s="64"/>
      <c r="CX27" s="64"/>
      <c r="CY27" s="64"/>
      <c r="CZ27" s="64"/>
      <c r="DA27" s="64"/>
      <c r="DB27" s="69"/>
      <c r="DC27" s="69">
        <v>1</v>
      </c>
      <c r="DD27" s="69"/>
      <c r="DE27" s="69"/>
      <c r="DF27" s="69"/>
      <c r="DG27" s="69">
        <f>COUNTA(DB27:DF27)</f>
        <v>1</v>
      </c>
      <c r="DH27" s="72"/>
      <c r="DI27" s="72">
        <v>1</v>
      </c>
      <c r="DJ27" s="72"/>
      <c r="DK27" s="72"/>
      <c r="DL27" s="72"/>
      <c r="DM27" s="72">
        <f>COUNTA(DH27:DL27)</f>
        <v>1</v>
      </c>
      <c r="DN27" s="4">
        <f t="shared" si="14"/>
        <v>5</v>
      </c>
      <c r="DO27">
        <f t="shared" si="15"/>
        <v>18</v>
      </c>
      <c r="DR27" s="21">
        <v>1</v>
      </c>
      <c r="DS27" s="13"/>
    </row>
    <row r="28" spans="1:123" ht="14.25" x14ac:dyDescent="0.15">
      <c r="A28" s="27" t="s">
        <v>53</v>
      </c>
      <c r="B28" s="32" t="s">
        <v>53</v>
      </c>
      <c r="C28" s="16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87"/>
      <c r="Q28" s="21"/>
      <c r="R28" s="21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88">
        <f t="shared" si="5"/>
        <v>0</v>
      </c>
      <c r="AE28" s="55">
        <v>1</v>
      </c>
      <c r="AF28" s="12"/>
      <c r="AG28" s="12"/>
      <c r="AH28" s="55">
        <v>1</v>
      </c>
      <c r="AI28" s="12"/>
      <c r="AJ28" s="12"/>
      <c r="AK28" s="12"/>
      <c r="AL28" s="12"/>
      <c r="AM28" s="12"/>
      <c r="AN28" s="55">
        <v>1</v>
      </c>
      <c r="AO28" s="55">
        <v>1</v>
      </c>
      <c r="AP28" s="12"/>
      <c r="AQ28" s="12"/>
      <c r="AR28" s="89">
        <f t="shared" si="6"/>
        <v>4</v>
      </c>
      <c r="AS28" s="57"/>
      <c r="AT28" s="53"/>
      <c r="AU28" s="53"/>
      <c r="AV28" s="53"/>
      <c r="AW28" s="53">
        <v>1</v>
      </c>
      <c r="AX28" s="53"/>
      <c r="AY28" s="53"/>
      <c r="AZ28" s="57">
        <v>1</v>
      </c>
      <c r="BA28" s="53"/>
      <c r="BB28" s="53"/>
      <c r="BC28" s="57">
        <v>2</v>
      </c>
      <c r="BD28" s="53"/>
      <c r="BE28" s="53"/>
      <c r="BF28" s="90">
        <f t="shared" si="7"/>
        <v>3</v>
      </c>
      <c r="BG28" s="65">
        <v>1</v>
      </c>
      <c r="BH28" s="63"/>
      <c r="BI28" s="63"/>
      <c r="BJ28" s="63"/>
      <c r="BK28" s="63">
        <v>1</v>
      </c>
      <c r="BL28" s="65">
        <v>2</v>
      </c>
      <c r="BM28" s="65">
        <v>1</v>
      </c>
      <c r="BN28" s="65"/>
      <c r="BO28" s="63"/>
      <c r="BP28" s="65">
        <v>1</v>
      </c>
      <c r="BQ28" s="65"/>
      <c r="BR28" s="63">
        <v>2</v>
      </c>
      <c r="BS28" s="63"/>
      <c r="BT28" s="91">
        <f t="shared" si="8"/>
        <v>6</v>
      </c>
      <c r="BU28">
        <f t="shared" si="9"/>
        <v>13</v>
      </c>
      <c r="BW28" s="27" t="s">
        <v>53</v>
      </c>
      <c r="BX28" s="38"/>
      <c r="BY28" s="38"/>
      <c r="BZ28" s="38"/>
      <c r="CA28" s="38"/>
      <c r="CB28" s="38"/>
      <c r="CC28" s="38"/>
      <c r="CD28" s="35"/>
      <c r="CE28" s="35"/>
      <c r="CF28" s="35"/>
      <c r="CG28" s="35"/>
      <c r="CH28" s="35"/>
      <c r="CI28" s="83"/>
      <c r="CO28"/>
      <c r="CP28" s="54"/>
      <c r="CQ28" s="54"/>
      <c r="CR28" s="54"/>
      <c r="CS28" s="54"/>
      <c r="CT28" s="54"/>
      <c r="CU28" s="54"/>
      <c r="CV28" s="64"/>
      <c r="CW28" s="64"/>
      <c r="CX28" s="64"/>
      <c r="CY28" s="64"/>
      <c r="CZ28" s="64">
        <v>2</v>
      </c>
      <c r="DA28" s="64">
        <f>COUNTA(CV28:CZ28)</f>
        <v>1</v>
      </c>
      <c r="DB28" s="69"/>
      <c r="DC28" s="69"/>
      <c r="DD28" s="69"/>
      <c r="DE28" s="69"/>
      <c r="DF28" s="69">
        <v>2</v>
      </c>
      <c r="DG28" s="69">
        <f>COUNTA(DB28:DF28)</f>
        <v>1</v>
      </c>
      <c r="DH28" s="72"/>
      <c r="DI28" s="72"/>
      <c r="DJ28" s="72"/>
      <c r="DK28" s="72"/>
      <c r="DL28" s="72">
        <v>3</v>
      </c>
      <c r="DM28" s="72">
        <f>COUNTA(DH28:DL28)</f>
        <v>1</v>
      </c>
      <c r="DN28" s="4">
        <f t="shared" si="14"/>
        <v>3</v>
      </c>
      <c r="DO28">
        <f t="shared" si="15"/>
        <v>16</v>
      </c>
      <c r="DR28" s="59"/>
      <c r="DS28" s="55">
        <v>1</v>
      </c>
    </row>
    <row r="29" spans="1:123" ht="14.25" x14ac:dyDescent="0.15">
      <c r="A29" s="36" t="s">
        <v>13</v>
      </c>
      <c r="B29" s="32" t="s">
        <v>77</v>
      </c>
      <c r="C29" s="15"/>
      <c r="D29" s="4"/>
      <c r="E29" s="4"/>
      <c r="G29" s="4"/>
      <c r="H29" s="4"/>
      <c r="I29" s="4"/>
      <c r="J29" s="4"/>
      <c r="L29" s="4"/>
      <c r="M29" s="4"/>
      <c r="N29" s="4"/>
      <c r="O29" s="4"/>
      <c r="P29" s="87"/>
      <c r="Q29" s="21"/>
      <c r="R29" s="21"/>
      <c r="S29" s="21">
        <v>1</v>
      </c>
      <c r="T29" s="21">
        <v>2</v>
      </c>
      <c r="U29" s="21">
        <v>1</v>
      </c>
      <c r="V29" s="21"/>
      <c r="W29" s="21"/>
      <c r="X29" s="21"/>
      <c r="Y29" s="21"/>
      <c r="Z29" s="21"/>
      <c r="AA29" s="21"/>
      <c r="AB29" s="21"/>
      <c r="AC29" s="21"/>
      <c r="AD29" s="88">
        <f t="shared" si="5"/>
        <v>3</v>
      </c>
      <c r="AE29" s="13"/>
      <c r="AF29" s="13"/>
      <c r="AG29" s="13">
        <v>1</v>
      </c>
      <c r="AH29" s="13">
        <v>2</v>
      </c>
      <c r="AI29" s="13">
        <v>1</v>
      </c>
      <c r="AJ29" s="13"/>
      <c r="AK29" s="13"/>
      <c r="AL29" s="13"/>
      <c r="AM29" s="13"/>
      <c r="AN29" s="13"/>
      <c r="AO29" s="13"/>
      <c r="AP29" s="13"/>
      <c r="AQ29" s="13"/>
      <c r="AR29" s="89">
        <f t="shared" si="6"/>
        <v>3</v>
      </c>
      <c r="AS29" s="54"/>
      <c r="AT29" s="54"/>
      <c r="AU29" s="54">
        <v>1</v>
      </c>
      <c r="AV29" s="54">
        <v>3</v>
      </c>
      <c r="AW29" s="54">
        <v>1</v>
      </c>
      <c r="AX29" s="56"/>
      <c r="AY29" s="54"/>
      <c r="AZ29" s="54"/>
      <c r="BA29" s="54"/>
      <c r="BB29" s="54"/>
      <c r="BC29" s="54"/>
      <c r="BD29" s="54"/>
      <c r="BE29" s="54"/>
      <c r="BF29" s="90">
        <f t="shared" si="7"/>
        <v>3</v>
      </c>
      <c r="BG29" s="64"/>
      <c r="BH29" s="64">
        <v>1</v>
      </c>
      <c r="BI29" s="64">
        <v>1</v>
      </c>
      <c r="BJ29" s="64">
        <v>2</v>
      </c>
      <c r="BK29" s="64">
        <v>1</v>
      </c>
      <c r="BL29" s="66"/>
      <c r="BM29" s="64"/>
      <c r="BN29" s="64">
        <v>1</v>
      </c>
      <c r="BO29" s="64"/>
      <c r="BP29" s="64"/>
      <c r="BQ29" s="64"/>
      <c r="BR29" s="64"/>
      <c r="BS29" s="64"/>
      <c r="BT29" s="91">
        <f t="shared" si="8"/>
        <v>5</v>
      </c>
      <c r="BU29">
        <f t="shared" si="9"/>
        <v>14</v>
      </c>
      <c r="BW29" s="36" t="s">
        <v>13</v>
      </c>
      <c r="BX29" s="38"/>
      <c r="BY29" s="38"/>
      <c r="BZ29" s="38"/>
      <c r="CA29" s="38"/>
      <c r="CB29" s="38"/>
      <c r="CC29" s="38"/>
      <c r="CD29" s="35"/>
      <c r="CE29" s="35"/>
      <c r="CF29" s="35"/>
      <c r="CG29" s="35"/>
      <c r="CH29" s="35"/>
      <c r="CI29" s="83"/>
      <c r="CO29"/>
      <c r="CP29" s="54"/>
      <c r="CQ29" s="54"/>
      <c r="CR29" s="54"/>
      <c r="CS29" s="54"/>
      <c r="CT29" s="54"/>
      <c r="CU29" s="54"/>
      <c r="CV29" s="64"/>
      <c r="CW29" s="64"/>
      <c r="CX29" s="64"/>
      <c r="CY29" s="64"/>
      <c r="CZ29" s="64"/>
      <c r="DA29" s="64"/>
      <c r="DB29" s="69"/>
      <c r="DC29" s="69"/>
      <c r="DD29" s="69"/>
      <c r="DE29" s="69"/>
      <c r="DF29" s="69"/>
      <c r="DG29" s="69"/>
      <c r="DH29" s="72"/>
      <c r="DI29" s="72"/>
      <c r="DJ29" s="72"/>
      <c r="DK29" s="72"/>
      <c r="DL29" s="72"/>
      <c r="DM29" s="72"/>
      <c r="DN29" s="4">
        <f t="shared" si="14"/>
        <v>0</v>
      </c>
      <c r="DO29">
        <f t="shared" si="15"/>
        <v>14</v>
      </c>
      <c r="DR29" s="21"/>
      <c r="DS29" s="13"/>
    </row>
    <row r="30" spans="1:123" ht="14.25" x14ac:dyDescent="0.15">
      <c r="A30" s="3" t="s">
        <v>58</v>
      </c>
      <c r="B30" s="15" t="s">
        <v>77</v>
      </c>
      <c r="C30" s="17"/>
      <c r="D30" s="4"/>
      <c r="E30" s="4"/>
      <c r="G30" s="4"/>
      <c r="H30" s="4"/>
      <c r="I30" s="4"/>
      <c r="J30" s="4"/>
      <c r="L30" s="4"/>
      <c r="M30" s="4"/>
      <c r="N30" s="4"/>
      <c r="O30" s="4"/>
      <c r="P30" s="87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88">
        <f t="shared" si="5"/>
        <v>0</v>
      </c>
      <c r="AE30" s="13"/>
      <c r="AF30" s="13"/>
      <c r="AG30" s="13">
        <v>1</v>
      </c>
      <c r="AH30" s="13"/>
      <c r="AI30" s="13">
        <v>1</v>
      </c>
      <c r="AJ30" s="13"/>
      <c r="AK30" s="13"/>
      <c r="AL30" s="13"/>
      <c r="AM30" s="13"/>
      <c r="AN30" s="13"/>
      <c r="AO30" s="13"/>
      <c r="AP30" s="13"/>
      <c r="AQ30" s="13"/>
      <c r="AR30" s="89">
        <f t="shared" si="6"/>
        <v>2</v>
      </c>
      <c r="AS30" s="54"/>
      <c r="AT30" s="54">
        <v>1</v>
      </c>
      <c r="AU30" s="54">
        <v>1</v>
      </c>
      <c r="AV30" s="54">
        <v>1</v>
      </c>
      <c r="AW30" s="54"/>
      <c r="AX30" s="56">
        <v>1</v>
      </c>
      <c r="AY30" s="54"/>
      <c r="AZ30" s="54"/>
      <c r="BA30" s="54">
        <v>1</v>
      </c>
      <c r="BB30" s="54"/>
      <c r="BC30" s="54"/>
      <c r="BD30" s="54"/>
      <c r="BE30" s="54"/>
      <c r="BF30" s="90">
        <f t="shared" si="7"/>
        <v>5</v>
      </c>
      <c r="BG30" s="64">
        <v>1</v>
      </c>
      <c r="BH30" s="64">
        <v>1</v>
      </c>
      <c r="BI30" s="64">
        <v>1</v>
      </c>
      <c r="BJ30" s="64">
        <v>1</v>
      </c>
      <c r="BK30" s="64"/>
      <c r="BL30" s="66">
        <v>1</v>
      </c>
      <c r="BM30" s="64"/>
      <c r="BN30" s="64"/>
      <c r="BO30" s="64"/>
      <c r="BP30" s="64">
        <v>1</v>
      </c>
      <c r="BQ30" s="64"/>
      <c r="BR30" s="64"/>
      <c r="BS30" s="64"/>
      <c r="BT30" s="91">
        <f t="shared" si="8"/>
        <v>6</v>
      </c>
      <c r="BU30">
        <f t="shared" si="9"/>
        <v>13</v>
      </c>
      <c r="BW30" s="3" t="s">
        <v>58</v>
      </c>
      <c r="BX30" s="38"/>
      <c r="BY30" s="38"/>
      <c r="BZ30" s="38"/>
      <c r="CA30" s="38"/>
      <c r="CB30" s="38"/>
      <c r="CC30" s="38"/>
      <c r="CD30" s="35"/>
      <c r="CE30" s="35"/>
      <c r="CF30" s="35"/>
      <c r="CG30" s="35"/>
      <c r="CH30" s="35"/>
      <c r="CI30" s="83"/>
      <c r="CO30"/>
      <c r="CP30" s="54"/>
      <c r="CQ30" s="54"/>
      <c r="CR30" s="54"/>
      <c r="CS30" s="54"/>
      <c r="CT30" s="54"/>
      <c r="CU30" s="54"/>
      <c r="CV30" s="64"/>
      <c r="CW30" s="64"/>
      <c r="CX30" s="64"/>
      <c r="CY30" s="64"/>
      <c r="CZ30" s="64"/>
      <c r="DA30" s="64"/>
      <c r="DB30" s="69"/>
      <c r="DC30" s="69"/>
      <c r="DD30" s="69"/>
      <c r="DE30" s="69"/>
      <c r="DF30" s="69"/>
      <c r="DG30" s="69"/>
      <c r="DH30" s="72"/>
      <c r="DI30" s="72"/>
      <c r="DJ30" s="72">
        <v>1</v>
      </c>
      <c r="DK30" s="72"/>
      <c r="DL30" s="72"/>
      <c r="DM30" s="72">
        <f>COUNTA(DH30:DL30)</f>
        <v>1</v>
      </c>
      <c r="DN30" s="4">
        <f t="shared" si="14"/>
        <v>1</v>
      </c>
      <c r="DO30">
        <f t="shared" si="15"/>
        <v>14</v>
      </c>
      <c r="DR30" s="21"/>
      <c r="DS30" s="13"/>
    </row>
    <row r="31" spans="1:123" s="4" customFormat="1" ht="14.25" x14ac:dyDescent="0.15">
      <c r="A31" s="3" t="s">
        <v>50</v>
      </c>
      <c r="B31" s="15" t="s">
        <v>88</v>
      </c>
      <c r="C31" s="17"/>
      <c r="P31" s="87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88">
        <f t="shared" si="5"/>
        <v>0</v>
      </c>
      <c r="AE31" s="13">
        <v>1</v>
      </c>
      <c r="AF31" s="13"/>
      <c r="AG31" s="13"/>
      <c r="AH31" s="13"/>
      <c r="AI31" s="13"/>
      <c r="AJ31" s="13"/>
      <c r="AK31" s="13"/>
      <c r="AL31" s="13"/>
      <c r="AM31" s="13"/>
      <c r="AN31" s="13">
        <v>1</v>
      </c>
      <c r="AO31" s="13"/>
      <c r="AP31" s="13"/>
      <c r="AQ31" s="13"/>
      <c r="AR31" s="89">
        <f t="shared" si="6"/>
        <v>2</v>
      </c>
      <c r="AS31" s="54">
        <v>1</v>
      </c>
      <c r="AT31" s="54"/>
      <c r="AU31" s="54"/>
      <c r="AV31" s="54"/>
      <c r="AW31" s="54"/>
      <c r="AX31" s="56">
        <v>2</v>
      </c>
      <c r="AY31" s="54"/>
      <c r="AZ31" s="54"/>
      <c r="BA31" s="54">
        <v>1</v>
      </c>
      <c r="BB31" s="54"/>
      <c r="BC31" s="54">
        <v>1</v>
      </c>
      <c r="BD31" s="54"/>
      <c r="BE31" s="54"/>
      <c r="BF31" s="90">
        <f t="shared" si="7"/>
        <v>4</v>
      </c>
      <c r="BG31" s="64">
        <v>2</v>
      </c>
      <c r="BH31" s="64">
        <v>1</v>
      </c>
      <c r="BI31" s="64"/>
      <c r="BJ31" s="64"/>
      <c r="BK31" s="64"/>
      <c r="BL31" s="66">
        <v>2</v>
      </c>
      <c r="BM31" s="64"/>
      <c r="BN31" s="64"/>
      <c r="BO31" s="64"/>
      <c r="BP31" s="64"/>
      <c r="BQ31" s="64">
        <v>1</v>
      </c>
      <c r="BR31" s="64"/>
      <c r="BS31" s="64"/>
      <c r="BT31" s="91">
        <f t="shared" si="8"/>
        <v>4</v>
      </c>
      <c r="BU31">
        <f t="shared" si="9"/>
        <v>10</v>
      </c>
      <c r="BV31"/>
      <c r="BW31" s="3" t="s">
        <v>50</v>
      </c>
      <c r="BX31" s="38"/>
      <c r="BY31" s="38"/>
      <c r="BZ31" s="38"/>
      <c r="CA31" s="38"/>
      <c r="CB31" s="38"/>
      <c r="CC31" s="38"/>
      <c r="CD31" s="35"/>
      <c r="CE31" s="35"/>
      <c r="CF31" s="35"/>
      <c r="CG31" s="35"/>
      <c r="CH31" s="35"/>
      <c r="CI31" s="83"/>
      <c r="CO31"/>
      <c r="CP31" s="54"/>
      <c r="CQ31" s="54"/>
      <c r="CR31" s="54"/>
      <c r="CS31" s="54"/>
      <c r="CT31" s="54"/>
      <c r="CU31" s="54"/>
      <c r="CV31" s="64"/>
      <c r="CW31" s="64"/>
      <c r="CX31" s="64">
        <v>1</v>
      </c>
      <c r="CY31" s="64"/>
      <c r="CZ31" s="64"/>
      <c r="DA31" s="64">
        <f>COUNTA(CV31:CZ31)</f>
        <v>1</v>
      </c>
      <c r="DB31" s="69"/>
      <c r="DC31" s="69"/>
      <c r="DD31" s="69">
        <v>1</v>
      </c>
      <c r="DE31" s="69"/>
      <c r="DF31" s="69"/>
      <c r="DG31" s="69">
        <f>COUNTA(DB31:DF31)</f>
        <v>1</v>
      </c>
      <c r="DH31" s="72"/>
      <c r="DI31" s="72">
        <v>2</v>
      </c>
      <c r="DJ31" s="72">
        <v>1</v>
      </c>
      <c r="DK31" s="72"/>
      <c r="DL31" s="72"/>
      <c r="DM31" s="72">
        <f>COUNTA(DH31:DL31)</f>
        <v>2</v>
      </c>
      <c r="DN31" s="4">
        <f t="shared" si="14"/>
        <v>4</v>
      </c>
      <c r="DO31">
        <f t="shared" si="15"/>
        <v>14</v>
      </c>
      <c r="DP31"/>
      <c r="DQ31"/>
      <c r="DR31" s="21"/>
      <c r="DS31" s="13"/>
    </row>
    <row r="32" spans="1:123" ht="14.25" x14ac:dyDescent="0.15">
      <c r="A32" s="2" t="s">
        <v>71</v>
      </c>
      <c r="B32" s="19" t="s">
        <v>78</v>
      </c>
      <c r="C32" s="15"/>
      <c r="D32" s="4"/>
      <c r="E32" s="4"/>
      <c r="G32" s="4"/>
      <c r="H32" s="4"/>
      <c r="I32" s="4"/>
      <c r="J32" s="4"/>
      <c r="L32" s="4"/>
      <c r="M32" s="4"/>
      <c r="N32" s="4"/>
      <c r="O32" s="4"/>
      <c r="P32" s="87"/>
      <c r="Q32" s="21"/>
      <c r="R32" s="21"/>
      <c r="S32" s="21"/>
      <c r="T32" s="21"/>
      <c r="U32" s="21"/>
      <c r="V32" s="21">
        <v>2</v>
      </c>
      <c r="W32" s="21"/>
      <c r="X32" s="21"/>
      <c r="Y32" s="21"/>
      <c r="Z32" s="21">
        <v>1</v>
      </c>
      <c r="AA32" s="21">
        <v>1</v>
      </c>
      <c r="AB32" s="21"/>
      <c r="AC32" s="21"/>
      <c r="AD32" s="88">
        <f t="shared" si="5"/>
        <v>3</v>
      </c>
      <c r="AE32" s="13"/>
      <c r="AF32" s="13"/>
      <c r="AG32" s="13"/>
      <c r="AH32" s="13"/>
      <c r="AI32" s="13"/>
      <c r="AJ32" s="13">
        <v>2</v>
      </c>
      <c r="AK32" s="13"/>
      <c r="AL32" s="13">
        <v>1</v>
      </c>
      <c r="AM32" s="13"/>
      <c r="AN32" s="13">
        <v>1</v>
      </c>
      <c r="AO32" s="13">
        <v>1</v>
      </c>
      <c r="AP32" s="13"/>
      <c r="AQ32" s="13"/>
      <c r="AR32" s="89">
        <f t="shared" si="6"/>
        <v>4</v>
      </c>
      <c r="AS32" s="54"/>
      <c r="AT32" s="54"/>
      <c r="AU32" s="54"/>
      <c r="AV32" s="54"/>
      <c r="AW32" s="54"/>
      <c r="AX32" s="56">
        <v>2</v>
      </c>
      <c r="AY32" s="54"/>
      <c r="AZ32" s="54">
        <v>1</v>
      </c>
      <c r="BA32" s="54"/>
      <c r="BB32" s="54">
        <v>1</v>
      </c>
      <c r="BC32" s="54">
        <v>1</v>
      </c>
      <c r="BD32" s="54"/>
      <c r="BE32" s="54"/>
      <c r="BF32" s="90">
        <f t="shared" si="7"/>
        <v>4</v>
      </c>
      <c r="BG32" s="64"/>
      <c r="BH32" s="64"/>
      <c r="BI32" s="64"/>
      <c r="BJ32" s="64"/>
      <c r="BK32" s="64">
        <v>1</v>
      </c>
      <c r="BL32" s="66">
        <v>3</v>
      </c>
      <c r="BM32" s="64"/>
      <c r="BN32" s="64"/>
      <c r="BO32" s="64"/>
      <c r="BP32" s="64"/>
      <c r="BQ32" s="64">
        <v>2</v>
      </c>
      <c r="BR32" s="64"/>
      <c r="BS32" s="64"/>
      <c r="BT32" s="91">
        <f t="shared" si="8"/>
        <v>3</v>
      </c>
      <c r="BU32">
        <f t="shared" si="9"/>
        <v>14</v>
      </c>
      <c r="BW32" s="2" t="s">
        <v>71</v>
      </c>
      <c r="BX32" s="38"/>
      <c r="BY32" s="38"/>
      <c r="BZ32" s="38"/>
      <c r="CA32" s="38"/>
      <c r="CB32" s="38"/>
      <c r="CC32" s="38"/>
      <c r="CD32" s="35"/>
      <c r="CE32" s="35"/>
      <c r="CF32" s="35"/>
      <c r="CG32" s="35"/>
      <c r="CH32" s="35"/>
      <c r="CI32" s="83"/>
      <c r="CO32"/>
      <c r="CP32" s="54"/>
      <c r="CQ32" s="54"/>
      <c r="CR32" s="54"/>
      <c r="CS32" s="54"/>
      <c r="CT32" s="54"/>
      <c r="CU32" s="54"/>
      <c r="CV32" s="64"/>
      <c r="CW32" s="64"/>
      <c r="CX32" s="64"/>
      <c r="CY32" s="64"/>
      <c r="CZ32" s="64"/>
      <c r="DA32" s="64"/>
      <c r="DB32" s="69"/>
      <c r="DC32" s="69"/>
      <c r="DD32" s="69"/>
      <c r="DE32" s="69"/>
      <c r="DF32" s="69"/>
      <c r="DG32" s="69"/>
      <c r="DH32" s="72"/>
      <c r="DI32" s="72"/>
      <c r="DJ32" s="72"/>
      <c r="DK32" s="72"/>
      <c r="DL32" s="72"/>
      <c r="DM32" s="72"/>
      <c r="DN32" s="4">
        <f t="shared" si="14"/>
        <v>0</v>
      </c>
      <c r="DO32">
        <f t="shared" si="15"/>
        <v>14</v>
      </c>
      <c r="DR32" s="21"/>
      <c r="DS32" s="13"/>
    </row>
    <row r="33" spans="1:123" ht="14.25" x14ac:dyDescent="0.15">
      <c r="A33" s="36" t="s">
        <v>110</v>
      </c>
      <c r="C33" s="15"/>
      <c r="D33" s="4"/>
      <c r="E33" s="4"/>
      <c r="G33" s="4"/>
      <c r="H33" s="4"/>
      <c r="I33" s="4"/>
      <c r="J33" s="4"/>
      <c r="L33" s="4"/>
      <c r="M33" s="4"/>
      <c r="N33" s="4"/>
      <c r="O33" s="4"/>
      <c r="P33" s="87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88">
        <f t="shared" si="5"/>
        <v>0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89">
        <f t="shared" si="6"/>
        <v>0</v>
      </c>
      <c r="AS33" s="54"/>
      <c r="AT33" s="54"/>
      <c r="AU33" s="54"/>
      <c r="AV33" s="54"/>
      <c r="AW33" s="54"/>
      <c r="AX33" s="56"/>
      <c r="AY33" s="54"/>
      <c r="AZ33" s="54"/>
      <c r="BA33" s="54"/>
      <c r="BB33" s="54"/>
      <c r="BC33" s="54"/>
      <c r="BD33" s="54"/>
      <c r="BE33" s="54"/>
      <c r="BF33" s="90">
        <f t="shared" si="7"/>
        <v>0</v>
      </c>
      <c r="BG33" s="64"/>
      <c r="BH33" s="64"/>
      <c r="BI33" s="64"/>
      <c r="BJ33" s="64"/>
      <c r="BK33" s="64"/>
      <c r="BL33" s="66"/>
      <c r="BM33" s="64"/>
      <c r="BN33" s="64"/>
      <c r="BO33" s="64"/>
      <c r="BP33" s="64"/>
      <c r="BQ33" s="64"/>
      <c r="BR33" s="64"/>
      <c r="BS33" s="64"/>
      <c r="BT33" s="91"/>
      <c r="BW33" s="36" t="s">
        <v>110</v>
      </c>
      <c r="BX33" s="38"/>
      <c r="BY33" s="38"/>
      <c r="BZ33" s="38"/>
      <c r="CA33" s="38"/>
      <c r="CB33" s="38"/>
      <c r="CC33" s="38"/>
      <c r="CD33" s="35"/>
      <c r="CE33" s="35">
        <v>4</v>
      </c>
      <c r="CF33" s="35">
        <v>4</v>
      </c>
      <c r="CG33" s="35"/>
      <c r="CH33" s="35"/>
      <c r="CI33" s="83">
        <f>COUNTA(CD33:CH33)</f>
        <v>2</v>
      </c>
      <c r="CK33" s="4">
        <v>4</v>
      </c>
      <c r="CL33" s="4">
        <v>4</v>
      </c>
      <c r="CO33">
        <f>COUNTA(CJ33:CN33)</f>
        <v>2</v>
      </c>
      <c r="CP33" s="54"/>
      <c r="CQ33" s="54">
        <v>3</v>
      </c>
      <c r="CR33" s="54">
        <v>3</v>
      </c>
      <c r="CS33" s="54"/>
      <c r="CT33" s="54"/>
      <c r="CU33" s="54">
        <f>COUNTA(CP33:CT33)</f>
        <v>2</v>
      </c>
      <c r="CV33" s="64"/>
      <c r="CW33" s="64">
        <v>2</v>
      </c>
      <c r="CX33" s="64">
        <v>3</v>
      </c>
      <c r="CY33" s="64"/>
      <c r="CZ33" s="64"/>
      <c r="DA33" s="64">
        <f>COUNTA(CV33:CZ33)</f>
        <v>2</v>
      </c>
      <c r="DB33" s="69"/>
      <c r="DC33" s="69">
        <v>2</v>
      </c>
      <c r="DD33" s="69">
        <v>2</v>
      </c>
      <c r="DE33" s="69"/>
      <c r="DF33" s="69"/>
      <c r="DG33" s="69">
        <f>COUNTA(DB33:DF33)</f>
        <v>2</v>
      </c>
      <c r="DH33" s="72"/>
      <c r="DI33" s="72">
        <v>2</v>
      </c>
      <c r="DJ33" s="72">
        <v>2</v>
      </c>
      <c r="DK33" s="72"/>
      <c r="DL33" s="72"/>
      <c r="DM33" s="72">
        <f>COUNTA(DH33:DL33)</f>
        <v>2</v>
      </c>
      <c r="DN33" s="4">
        <f t="shared" si="14"/>
        <v>12</v>
      </c>
      <c r="DO33">
        <f t="shared" si="15"/>
        <v>12</v>
      </c>
      <c r="DR33" s="21"/>
      <c r="DS33" s="13"/>
    </row>
    <row r="34" spans="1:123" ht="14.25" x14ac:dyDescent="0.15">
      <c r="A34" s="2" t="s">
        <v>25</v>
      </c>
      <c r="B34" s="15" t="s">
        <v>85</v>
      </c>
      <c r="C34" s="15"/>
      <c r="D34" s="4"/>
      <c r="E34" s="4"/>
      <c r="G34" s="4"/>
      <c r="H34" s="4">
        <v>1</v>
      </c>
      <c r="I34" s="4">
        <v>5</v>
      </c>
      <c r="J34" s="4"/>
      <c r="L34" s="4"/>
      <c r="M34" s="4"/>
      <c r="N34" s="4">
        <v>1</v>
      </c>
      <c r="O34" s="4"/>
      <c r="P34" s="87">
        <f>COUNTA(C34:O34)</f>
        <v>3</v>
      </c>
      <c r="Q34" s="21"/>
      <c r="R34" s="21"/>
      <c r="S34" s="21"/>
      <c r="T34" s="21"/>
      <c r="U34" s="21"/>
      <c r="V34" s="21">
        <v>1</v>
      </c>
      <c r="W34" s="21">
        <v>5</v>
      </c>
      <c r="X34" s="21"/>
      <c r="Y34" s="21"/>
      <c r="Z34" s="21"/>
      <c r="AA34" s="21"/>
      <c r="AB34" s="21">
        <v>1</v>
      </c>
      <c r="AC34" s="21"/>
      <c r="AD34" s="88">
        <f t="shared" si="5"/>
        <v>3</v>
      </c>
      <c r="AE34" s="13"/>
      <c r="AF34" s="13"/>
      <c r="AG34" s="13"/>
      <c r="AH34" s="13"/>
      <c r="AI34" s="13"/>
      <c r="AJ34" s="13"/>
      <c r="AK34" s="13">
        <v>5</v>
      </c>
      <c r="AL34" s="13"/>
      <c r="AM34" s="13"/>
      <c r="AN34" s="13"/>
      <c r="AO34" s="13"/>
      <c r="AP34" s="13">
        <v>1</v>
      </c>
      <c r="AQ34" s="13"/>
      <c r="AR34" s="89">
        <f t="shared" si="6"/>
        <v>2</v>
      </c>
      <c r="AS34" s="54"/>
      <c r="AT34" s="54"/>
      <c r="AU34" s="54"/>
      <c r="AV34" s="54"/>
      <c r="AW34" s="54"/>
      <c r="AX34" s="56"/>
      <c r="AY34" s="54">
        <v>4</v>
      </c>
      <c r="AZ34" s="54"/>
      <c r="BA34" s="54"/>
      <c r="BB34" s="54"/>
      <c r="BC34" s="54"/>
      <c r="BD34" s="54"/>
      <c r="BE34" s="54"/>
      <c r="BF34" s="90">
        <f t="shared" si="7"/>
        <v>1</v>
      </c>
      <c r="BG34" s="64"/>
      <c r="BH34" s="64"/>
      <c r="BI34" s="64"/>
      <c r="BJ34" s="64"/>
      <c r="BK34" s="64"/>
      <c r="BL34" s="66">
        <v>1</v>
      </c>
      <c r="BM34" s="64">
        <v>4</v>
      </c>
      <c r="BN34" s="64"/>
      <c r="BO34" s="64"/>
      <c r="BP34" s="64"/>
      <c r="BQ34" s="64"/>
      <c r="BR34" s="64"/>
      <c r="BS34" s="64"/>
      <c r="BT34" s="91">
        <f>COUNTA(BG34:BS34)</f>
        <v>2</v>
      </c>
      <c r="BU34">
        <f>COUNTA(C34:O34)+COUNTA(Q34:AC34)+COUNTA(AE34:AQ34)+COUNTA(AS34:BE34)+COUNTA(BG34:BS34)</f>
        <v>11</v>
      </c>
      <c r="BW34" s="2" t="s">
        <v>25</v>
      </c>
      <c r="BX34" s="38"/>
      <c r="BY34" s="38"/>
      <c r="BZ34" s="38"/>
      <c r="CA34" s="38"/>
      <c r="CB34" s="38"/>
      <c r="CC34" s="38"/>
      <c r="CD34" s="35"/>
      <c r="CE34" s="35"/>
      <c r="CF34" s="35"/>
      <c r="CG34" s="35"/>
      <c r="CH34" s="35"/>
      <c r="CI34" s="83"/>
      <c r="CO34"/>
      <c r="CP34" s="54"/>
      <c r="CQ34" s="54"/>
      <c r="CR34" s="54"/>
      <c r="CS34" s="54"/>
      <c r="CT34" s="54"/>
      <c r="CU34" s="54"/>
      <c r="CV34" s="64"/>
      <c r="CW34" s="64"/>
      <c r="CX34" s="64"/>
      <c r="CY34" s="64"/>
      <c r="CZ34" s="64"/>
      <c r="DA34" s="64"/>
      <c r="DB34" s="69"/>
      <c r="DC34" s="69"/>
      <c r="DD34" s="69"/>
      <c r="DE34" s="69"/>
      <c r="DF34" s="69"/>
      <c r="DG34" s="69"/>
      <c r="DH34" s="72"/>
      <c r="DI34" s="72"/>
      <c r="DJ34" s="72"/>
      <c r="DK34" s="72"/>
      <c r="DL34" s="72"/>
      <c r="DM34" s="72"/>
      <c r="DN34" s="4">
        <f t="shared" si="14"/>
        <v>0</v>
      </c>
      <c r="DO34">
        <f t="shared" si="15"/>
        <v>11</v>
      </c>
      <c r="DR34" s="21"/>
      <c r="DS34" s="13"/>
    </row>
    <row r="35" spans="1:123" ht="14.25" x14ac:dyDescent="0.15">
      <c r="A35" s="2" t="s">
        <v>10</v>
      </c>
      <c r="B35" s="15" t="s">
        <v>90</v>
      </c>
      <c r="C35" s="15"/>
      <c r="D35" s="4">
        <v>1</v>
      </c>
      <c r="E35" s="4"/>
      <c r="G35" s="4"/>
      <c r="H35" s="4"/>
      <c r="I35" s="4"/>
      <c r="J35" s="4"/>
      <c r="K35" s="4">
        <v>1</v>
      </c>
      <c r="L35" s="4"/>
      <c r="M35" s="4"/>
      <c r="N35" s="4"/>
      <c r="O35" s="4"/>
      <c r="P35" s="87">
        <f>COUNTA(C35:O35)</f>
        <v>2</v>
      </c>
      <c r="Q35" s="21"/>
      <c r="R35" s="21">
        <v>1</v>
      </c>
      <c r="S35" s="21">
        <v>2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88">
        <f t="shared" si="5"/>
        <v>2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89">
        <f t="shared" si="6"/>
        <v>0</v>
      </c>
      <c r="AS35" s="54">
        <v>1</v>
      </c>
      <c r="AT35" s="54">
        <v>1</v>
      </c>
      <c r="AU35" s="54">
        <v>1</v>
      </c>
      <c r="AV35" s="54">
        <v>1</v>
      </c>
      <c r="AW35" s="54"/>
      <c r="AX35" s="56"/>
      <c r="AY35" s="54"/>
      <c r="AZ35" s="54"/>
      <c r="BA35" s="54"/>
      <c r="BB35" s="54"/>
      <c r="BC35" s="54"/>
      <c r="BD35" s="54"/>
      <c r="BE35" s="54"/>
      <c r="BF35" s="90">
        <f t="shared" si="7"/>
        <v>4</v>
      </c>
      <c r="BG35" s="64">
        <v>1</v>
      </c>
      <c r="BH35" s="64">
        <v>1</v>
      </c>
      <c r="BI35" s="64">
        <v>1</v>
      </c>
      <c r="BJ35" s="64"/>
      <c r="BK35" s="64"/>
      <c r="BL35" s="66"/>
      <c r="BM35" s="64"/>
      <c r="BN35" s="64"/>
      <c r="BO35" s="64"/>
      <c r="BP35" s="64"/>
      <c r="BQ35" s="64"/>
      <c r="BR35" s="64"/>
      <c r="BS35" s="64"/>
      <c r="BT35" s="91">
        <f>COUNTA(BG35:BS35)</f>
        <v>3</v>
      </c>
      <c r="BU35">
        <f>COUNTA(C35:O35)+COUNTA(Q35:AC35)+COUNTA(AE35:AQ35)+COUNTA(AS35:BE35)+COUNTA(BG35:BS35)</f>
        <v>11</v>
      </c>
      <c r="BW35" s="2" t="s">
        <v>10</v>
      </c>
      <c r="BX35" s="38"/>
      <c r="BY35" s="38"/>
      <c r="BZ35" s="38"/>
      <c r="CA35" s="38"/>
      <c r="CB35" s="38"/>
      <c r="CC35" s="38"/>
      <c r="CD35" s="35"/>
      <c r="CE35" s="35"/>
      <c r="CF35" s="35"/>
      <c r="CG35" s="35"/>
      <c r="CH35" s="35"/>
      <c r="CI35" s="83"/>
      <c r="CO35"/>
      <c r="CP35" s="54"/>
      <c r="CQ35" s="54"/>
      <c r="CR35" s="54"/>
      <c r="CS35" s="54"/>
      <c r="CT35" s="54"/>
      <c r="CU35" s="54"/>
      <c r="CV35" s="64"/>
      <c r="CW35" s="64"/>
      <c r="CX35" s="64"/>
      <c r="CY35" s="64"/>
      <c r="CZ35" s="64"/>
      <c r="DA35" s="64"/>
      <c r="DB35" s="69"/>
      <c r="DC35" s="69"/>
      <c r="DD35" s="69"/>
      <c r="DE35" s="69"/>
      <c r="DF35" s="69"/>
      <c r="DG35" s="69"/>
      <c r="DH35" s="72"/>
      <c r="DI35" s="72"/>
      <c r="DJ35" s="72"/>
      <c r="DK35" s="72"/>
      <c r="DL35" s="72"/>
      <c r="DM35" s="72"/>
      <c r="DN35" s="4">
        <f t="shared" si="14"/>
        <v>0</v>
      </c>
      <c r="DO35">
        <f t="shared" si="15"/>
        <v>11</v>
      </c>
      <c r="DR35" s="21"/>
      <c r="DS35" s="13"/>
    </row>
    <row r="36" spans="1:123" ht="14.25" x14ac:dyDescent="0.15">
      <c r="A36" s="5" t="s">
        <v>30</v>
      </c>
      <c r="B36" s="19" t="s">
        <v>78</v>
      </c>
      <c r="C36" s="15"/>
      <c r="D36" s="4"/>
      <c r="E36" s="4"/>
      <c r="G36" s="4"/>
      <c r="H36" s="4"/>
      <c r="I36" s="4"/>
      <c r="J36" s="4"/>
      <c r="L36" s="4"/>
      <c r="M36" s="4"/>
      <c r="N36" s="4"/>
      <c r="O36" s="4"/>
      <c r="P36" s="87"/>
      <c r="Q36" s="21"/>
      <c r="R36" s="21"/>
      <c r="S36" s="21"/>
      <c r="T36" s="21"/>
      <c r="U36" s="21"/>
      <c r="V36" s="21">
        <v>2</v>
      </c>
      <c r="W36" s="21"/>
      <c r="X36" s="21"/>
      <c r="Y36" s="21"/>
      <c r="Z36" s="21"/>
      <c r="AA36" s="21"/>
      <c r="AB36" s="21"/>
      <c r="AC36" s="21"/>
      <c r="AD36" s="88">
        <f t="shared" si="5"/>
        <v>1</v>
      </c>
      <c r="AE36" s="13"/>
      <c r="AF36" s="13"/>
      <c r="AG36" s="13"/>
      <c r="AH36" s="13"/>
      <c r="AI36" s="13"/>
      <c r="AJ36" s="13">
        <v>2</v>
      </c>
      <c r="AK36" s="13"/>
      <c r="AL36" s="13"/>
      <c r="AM36" s="13"/>
      <c r="AN36" s="13"/>
      <c r="AO36" s="13"/>
      <c r="AP36" s="13"/>
      <c r="AQ36" s="13"/>
      <c r="AR36" s="89">
        <f t="shared" si="6"/>
        <v>1</v>
      </c>
      <c r="AS36" s="54"/>
      <c r="AT36" s="54"/>
      <c r="AU36" s="54"/>
      <c r="AV36" s="54"/>
      <c r="AW36" s="54"/>
      <c r="AX36" s="56">
        <v>2</v>
      </c>
      <c r="AY36" s="54"/>
      <c r="AZ36" s="54">
        <v>1</v>
      </c>
      <c r="BA36" s="54"/>
      <c r="BB36" s="54"/>
      <c r="BC36" s="54">
        <v>1</v>
      </c>
      <c r="BD36" s="54"/>
      <c r="BE36" s="54"/>
      <c r="BF36" s="90">
        <f t="shared" si="7"/>
        <v>3</v>
      </c>
      <c r="BG36" s="64"/>
      <c r="BH36" s="64"/>
      <c r="BI36" s="64"/>
      <c r="BJ36" s="64"/>
      <c r="BK36" s="64"/>
      <c r="BL36" s="66">
        <v>2</v>
      </c>
      <c r="BM36" s="64">
        <v>1</v>
      </c>
      <c r="BN36" s="64">
        <v>1</v>
      </c>
      <c r="BO36" s="64">
        <v>1</v>
      </c>
      <c r="BP36" s="64"/>
      <c r="BQ36" s="64">
        <v>1</v>
      </c>
      <c r="BR36" s="64"/>
      <c r="BS36" s="64"/>
      <c r="BT36" s="91">
        <f>COUNTA(BG36:BS36)</f>
        <v>5</v>
      </c>
      <c r="BU36">
        <f>COUNTA(C36:O36)+COUNTA(Q36:AC36)+COUNTA(AE36:AQ36)+COUNTA(AS36:BE36)+COUNTA(BG36:BS36)</f>
        <v>10</v>
      </c>
      <c r="BW36" s="5" t="s">
        <v>30</v>
      </c>
      <c r="BX36" s="38"/>
      <c r="BY36" s="38"/>
      <c r="BZ36" s="38"/>
      <c r="CA36" s="38"/>
      <c r="CB36" s="38"/>
      <c r="CC36" s="38"/>
      <c r="CD36" s="35"/>
      <c r="CE36" s="35"/>
      <c r="CF36" s="35"/>
      <c r="CG36" s="35"/>
      <c r="CH36" s="35"/>
      <c r="CI36" s="83"/>
      <c r="CO36"/>
      <c r="CP36" s="54"/>
      <c r="CQ36" s="54"/>
      <c r="CR36" s="54"/>
      <c r="CS36" s="54"/>
      <c r="CT36" s="54"/>
      <c r="CU36" s="54"/>
      <c r="CV36" s="64"/>
      <c r="CW36" s="64"/>
      <c r="CX36" s="64"/>
      <c r="CY36" s="64"/>
      <c r="CZ36" s="64"/>
      <c r="DA36" s="64"/>
      <c r="DB36" s="69"/>
      <c r="DC36" s="69"/>
      <c r="DD36" s="69"/>
      <c r="DE36" s="69"/>
      <c r="DF36" s="69"/>
      <c r="DG36" s="69"/>
      <c r="DH36" s="72"/>
      <c r="DI36" s="72"/>
      <c r="DJ36" s="72"/>
      <c r="DK36" s="72"/>
      <c r="DL36" s="72"/>
      <c r="DM36" s="72"/>
      <c r="DN36" s="4">
        <f t="shared" si="14"/>
        <v>0</v>
      </c>
      <c r="DO36">
        <f t="shared" si="15"/>
        <v>10</v>
      </c>
      <c r="DR36" s="21"/>
      <c r="DS36" s="13"/>
    </row>
    <row r="37" spans="1:123" ht="14.25" x14ac:dyDescent="0.15">
      <c r="A37" s="36" t="s">
        <v>17</v>
      </c>
      <c r="B37" s="32" t="s">
        <v>83</v>
      </c>
      <c r="C37" s="15"/>
      <c r="D37" s="4"/>
      <c r="E37" s="4"/>
      <c r="G37" s="4"/>
      <c r="H37" s="4"/>
      <c r="I37" s="4"/>
      <c r="J37" s="4"/>
      <c r="L37" s="4"/>
      <c r="M37" s="4"/>
      <c r="N37" s="4"/>
      <c r="O37" s="4"/>
      <c r="P37" s="87"/>
      <c r="Q37" s="21">
        <v>1</v>
      </c>
      <c r="R37" s="21">
        <v>1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88">
        <f t="shared" si="5"/>
        <v>2</v>
      </c>
      <c r="AE37" s="13">
        <v>1</v>
      </c>
      <c r="AF37" s="13">
        <v>1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>
        <v>1</v>
      </c>
      <c r="AQ37" s="13"/>
      <c r="AR37" s="89">
        <f t="shared" si="6"/>
        <v>3</v>
      </c>
      <c r="AS37" s="54"/>
      <c r="AT37" s="54">
        <v>1</v>
      </c>
      <c r="AU37" s="54"/>
      <c r="AV37" s="54"/>
      <c r="AW37" s="54"/>
      <c r="AX37" s="56"/>
      <c r="AY37" s="54"/>
      <c r="AZ37" s="54"/>
      <c r="BA37" s="54"/>
      <c r="BB37" s="54"/>
      <c r="BC37" s="54"/>
      <c r="BD37" s="54"/>
      <c r="BE37" s="54"/>
      <c r="BF37" s="90">
        <f t="shared" si="7"/>
        <v>1</v>
      </c>
      <c r="BG37" s="64">
        <v>1</v>
      </c>
      <c r="BH37" s="64">
        <v>1</v>
      </c>
      <c r="BI37" s="64"/>
      <c r="BJ37" s="64">
        <v>1</v>
      </c>
      <c r="BK37" s="64"/>
      <c r="BL37" s="66"/>
      <c r="BM37" s="64"/>
      <c r="BN37" s="64"/>
      <c r="BO37" s="64"/>
      <c r="BP37" s="64"/>
      <c r="BQ37" s="64"/>
      <c r="BR37" s="64">
        <v>1</v>
      </c>
      <c r="BS37" s="64"/>
      <c r="BT37" s="91">
        <f>COUNTA(BG37:BS37)</f>
        <v>4</v>
      </c>
      <c r="BU37">
        <f>COUNTA(C37:O37)+COUNTA(Q37:AC37)+COUNTA(AE37:AQ37)+COUNTA(AS37:BE37)+COUNTA(BG37:BS37)</f>
        <v>10</v>
      </c>
      <c r="BW37" s="36" t="s">
        <v>17</v>
      </c>
      <c r="BX37" s="38"/>
      <c r="BY37" s="38"/>
      <c r="BZ37" s="38"/>
      <c r="CA37" s="38"/>
      <c r="CB37" s="38"/>
      <c r="CC37" s="38"/>
      <c r="CD37" s="35"/>
      <c r="CE37" s="35"/>
      <c r="CF37" s="35"/>
      <c r="CG37" s="35"/>
      <c r="CH37" s="35"/>
      <c r="CI37" s="83"/>
      <c r="CO37"/>
      <c r="CP37" s="54"/>
      <c r="CQ37" s="54"/>
      <c r="CR37" s="54"/>
      <c r="CS37" s="54"/>
      <c r="CT37" s="54"/>
      <c r="CU37" s="54"/>
      <c r="CV37" s="64"/>
      <c r="CW37" s="64"/>
      <c r="CX37" s="64"/>
      <c r="CY37" s="64"/>
      <c r="CZ37" s="64"/>
      <c r="DA37" s="64"/>
      <c r="DB37" s="69"/>
      <c r="DC37" s="69"/>
      <c r="DD37" s="69"/>
      <c r="DE37" s="69"/>
      <c r="DF37" s="69"/>
      <c r="DG37" s="69"/>
      <c r="DH37" s="72"/>
      <c r="DI37" s="72"/>
      <c r="DJ37" s="72"/>
      <c r="DK37" s="72"/>
      <c r="DL37" s="72"/>
      <c r="DM37" s="72"/>
      <c r="DN37" s="4">
        <f t="shared" si="14"/>
        <v>0</v>
      </c>
      <c r="DO37">
        <f t="shared" si="15"/>
        <v>10</v>
      </c>
      <c r="DR37" s="21"/>
      <c r="DS37" s="13"/>
    </row>
    <row r="38" spans="1:123" ht="14.25" x14ac:dyDescent="0.15">
      <c r="A38" s="40" t="s">
        <v>111</v>
      </c>
      <c r="B38" s="19"/>
      <c r="C38" s="15"/>
      <c r="D38" s="4"/>
      <c r="E38" s="4"/>
      <c r="G38" s="4"/>
      <c r="H38" s="4"/>
      <c r="I38" s="4"/>
      <c r="J38" s="4"/>
      <c r="L38" s="4"/>
      <c r="M38" s="4"/>
      <c r="N38" s="4"/>
      <c r="O38" s="4"/>
      <c r="P38" s="87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88">
        <f t="shared" ref="AD38:AD69" si="18">COUNTA(Q38:AC38)</f>
        <v>0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89">
        <f t="shared" ref="AR38:AR69" si="19">COUNTA(AE38:AQ38)</f>
        <v>0</v>
      </c>
      <c r="AS38" s="54"/>
      <c r="AT38" s="54"/>
      <c r="AU38" s="54"/>
      <c r="AV38" s="54"/>
      <c r="AW38" s="54"/>
      <c r="AX38" s="56"/>
      <c r="AY38" s="54"/>
      <c r="AZ38" s="54"/>
      <c r="BA38" s="54"/>
      <c r="BB38" s="54"/>
      <c r="BC38" s="54"/>
      <c r="BD38" s="54"/>
      <c r="BE38" s="54"/>
      <c r="BF38" s="90">
        <f t="shared" ref="BF38:BF69" si="20">COUNTA(AS38:BE38)</f>
        <v>0</v>
      </c>
      <c r="BG38" s="64"/>
      <c r="BH38" s="64"/>
      <c r="BI38" s="64"/>
      <c r="BJ38" s="64"/>
      <c r="BK38" s="64"/>
      <c r="BL38" s="66"/>
      <c r="BM38" s="64"/>
      <c r="BN38" s="64"/>
      <c r="BO38" s="64"/>
      <c r="BP38" s="64"/>
      <c r="BQ38" s="64"/>
      <c r="BR38" s="64"/>
      <c r="BS38" s="64"/>
      <c r="BT38" s="91"/>
      <c r="BW38" s="40" t="s">
        <v>111</v>
      </c>
      <c r="BX38" s="38"/>
      <c r="BY38" s="38"/>
      <c r="BZ38" s="38"/>
      <c r="CA38" s="38"/>
      <c r="CB38" s="38"/>
      <c r="CC38" s="38"/>
      <c r="CD38" s="35"/>
      <c r="CE38" s="35"/>
      <c r="CF38" s="35"/>
      <c r="CG38" s="35"/>
      <c r="CH38" s="35"/>
      <c r="CI38" s="83"/>
      <c r="CK38" s="4">
        <v>2</v>
      </c>
      <c r="CL38" s="4">
        <v>3</v>
      </c>
      <c r="CO38">
        <f>COUNTA(CJ38:CN38)</f>
        <v>2</v>
      </c>
      <c r="CP38" s="54"/>
      <c r="CQ38" s="54">
        <v>2</v>
      </c>
      <c r="CR38" s="54">
        <v>2</v>
      </c>
      <c r="CS38" s="54"/>
      <c r="CT38" s="54"/>
      <c r="CU38" s="54">
        <f>COUNTA(CP38:CT38)</f>
        <v>2</v>
      </c>
      <c r="CV38" s="64"/>
      <c r="CW38" s="64">
        <v>2</v>
      </c>
      <c r="CX38" s="64">
        <v>1</v>
      </c>
      <c r="CY38" s="64"/>
      <c r="CZ38" s="64"/>
      <c r="DA38" s="64">
        <f>COUNTA(CV38:CZ38)</f>
        <v>2</v>
      </c>
      <c r="DB38" s="69"/>
      <c r="DC38" s="69">
        <v>2</v>
      </c>
      <c r="DD38" s="69">
        <v>1</v>
      </c>
      <c r="DE38" s="69"/>
      <c r="DF38" s="69"/>
      <c r="DG38" s="69">
        <f>COUNTA(DB38:DF38)</f>
        <v>2</v>
      </c>
      <c r="DH38" s="72"/>
      <c r="DI38" s="72">
        <v>3</v>
      </c>
      <c r="DJ38" s="72">
        <v>2</v>
      </c>
      <c r="DK38" s="72"/>
      <c r="DL38" s="72"/>
      <c r="DM38" s="72">
        <f>COUNTA(DH38:DL38)</f>
        <v>2</v>
      </c>
      <c r="DN38" s="4">
        <f t="shared" ref="DN38:DN73" si="21">COUNTA(BX38:CB38)+COUNTA(CD38:CH38)+COUNTA(CJ38:CN38)+COUNTA(CP38:CT38)+COUNTA(CV38:CZ38)+COUNTA(DB38:DF38)+COUNTA(DH38:DL38)</f>
        <v>10</v>
      </c>
      <c r="DO38">
        <f t="shared" ref="DO38:DO69" si="22">BU38+DN38</f>
        <v>10</v>
      </c>
      <c r="DR38" s="21"/>
      <c r="DS38" s="13"/>
    </row>
    <row r="39" spans="1:123" ht="14.25" x14ac:dyDescent="0.15">
      <c r="A39" s="2" t="s">
        <v>6</v>
      </c>
      <c r="B39" s="32" t="s">
        <v>80</v>
      </c>
      <c r="C39" s="15"/>
      <c r="D39" s="4"/>
      <c r="E39" s="4"/>
      <c r="G39" s="4"/>
      <c r="H39" s="4"/>
      <c r="I39" s="4"/>
      <c r="J39" s="4"/>
      <c r="L39" s="4"/>
      <c r="M39" s="4"/>
      <c r="N39" s="4"/>
      <c r="O39" s="4"/>
      <c r="P39" s="87"/>
      <c r="Q39" s="21"/>
      <c r="R39" s="21">
        <v>1</v>
      </c>
      <c r="S39" s="21"/>
      <c r="T39" s="21"/>
      <c r="U39" s="21">
        <v>1</v>
      </c>
      <c r="V39" s="21"/>
      <c r="W39" s="21"/>
      <c r="X39" s="21"/>
      <c r="Y39" s="21"/>
      <c r="Z39" s="21"/>
      <c r="AA39" s="21"/>
      <c r="AB39" s="21"/>
      <c r="AC39" s="21"/>
      <c r="AD39" s="88">
        <f t="shared" si="18"/>
        <v>2</v>
      </c>
      <c r="AE39" s="13">
        <v>2</v>
      </c>
      <c r="AF39" s="13">
        <v>1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89">
        <f t="shared" si="19"/>
        <v>2</v>
      </c>
      <c r="AS39" s="54">
        <v>1</v>
      </c>
      <c r="AT39" s="54">
        <v>1</v>
      </c>
      <c r="AU39" s="54"/>
      <c r="AV39" s="54"/>
      <c r="AW39" s="54"/>
      <c r="AX39" s="56"/>
      <c r="AY39" s="54"/>
      <c r="AZ39" s="54"/>
      <c r="BA39" s="54"/>
      <c r="BB39" s="54"/>
      <c r="BC39" s="54"/>
      <c r="BD39" s="54"/>
      <c r="BE39" s="54"/>
      <c r="BF39" s="90">
        <f t="shared" si="20"/>
        <v>2</v>
      </c>
      <c r="BG39" s="64">
        <v>1</v>
      </c>
      <c r="BH39" s="64">
        <v>1</v>
      </c>
      <c r="BI39" s="64"/>
      <c r="BJ39" s="64"/>
      <c r="BK39" s="64"/>
      <c r="BL39" s="66"/>
      <c r="BM39" s="64"/>
      <c r="BN39" s="64"/>
      <c r="BO39" s="64"/>
      <c r="BP39" s="64">
        <v>3</v>
      </c>
      <c r="BQ39" s="64"/>
      <c r="BR39" s="64"/>
      <c r="BS39" s="64"/>
      <c r="BT39" s="91">
        <f>COUNTA(BG39:BS39)</f>
        <v>3</v>
      </c>
      <c r="BU39">
        <f t="shared" ref="BU39:BU69" si="23">COUNTA(C39:O39)+COUNTA(Q39:AC39)+COUNTA(AE39:AQ39)+COUNTA(AS39:BE39)+COUNTA(BG39:BS39)</f>
        <v>9</v>
      </c>
      <c r="BW39" s="2" t="s">
        <v>6</v>
      </c>
      <c r="BX39" s="38"/>
      <c r="BY39" s="38"/>
      <c r="BZ39" s="38"/>
      <c r="CA39" s="38"/>
      <c r="CB39" s="38"/>
      <c r="CC39" s="38"/>
      <c r="CD39" s="35"/>
      <c r="CE39" s="35"/>
      <c r="CF39" s="35"/>
      <c r="CG39" s="35"/>
      <c r="CH39" s="35"/>
      <c r="CI39" s="83"/>
      <c r="CO39"/>
      <c r="CP39" s="54"/>
      <c r="CQ39" s="54"/>
      <c r="CR39" s="54"/>
      <c r="CS39" s="54"/>
      <c r="CT39" s="54"/>
      <c r="CU39" s="54"/>
      <c r="CV39" s="64"/>
      <c r="CW39" s="64"/>
      <c r="CX39" s="64"/>
      <c r="CY39" s="64"/>
      <c r="CZ39" s="64"/>
      <c r="DA39" s="64"/>
      <c r="DB39" s="69"/>
      <c r="DC39" s="69"/>
      <c r="DD39" s="69"/>
      <c r="DE39" s="69"/>
      <c r="DF39" s="69"/>
      <c r="DG39" s="69"/>
      <c r="DH39" s="72"/>
      <c r="DI39" s="72"/>
      <c r="DJ39" s="72"/>
      <c r="DK39" s="72"/>
      <c r="DL39" s="72"/>
      <c r="DM39" s="72"/>
      <c r="DN39" s="4">
        <f t="shared" si="21"/>
        <v>0</v>
      </c>
      <c r="DO39">
        <f t="shared" si="22"/>
        <v>9</v>
      </c>
      <c r="DR39" s="21"/>
      <c r="DS39" s="13"/>
    </row>
    <row r="40" spans="1:123" ht="14.25" x14ac:dyDescent="0.15">
      <c r="A40" s="7" t="s">
        <v>72</v>
      </c>
      <c r="B40" s="19" t="s">
        <v>53</v>
      </c>
      <c r="C40" s="19"/>
      <c r="D40" s="4"/>
      <c r="E40" s="4"/>
      <c r="G40" s="4">
        <v>1</v>
      </c>
      <c r="H40" s="4"/>
      <c r="I40" s="4"/>
      <c r="J40" s="4"/>
      <c r="L40" s="4"/>
      <c r="M40" s="4"/>
      <c r="N40" s="4"/>
      <c r="O40" s="4"/>
      <c r="P40" s="87">
        <f>COUNTA(C40:O40)</f>
        <v>1</v>
      </c>
      <c r="Q40" s="21"/>
      <c r="R40" s="21"/>
      <c r="S40" s="21"/>
      <c r="T40" s="21"/>
      <c r="U40" s="21">
        <v>2</v>
      </c>
      <c r="V40" s="21"/>
      <c r="W40" s="21"/>
      <c r="X40" s="21"/>
      <c r="Y40" s="21"/>
      <c r="Z40" s="21"/>
      <c r="AA40" s="21"/>
      <c r="AB40" s="21"/>
      <c r="AC40" s="21"/>
      <c r="AD40" s="88">
        <f t="shared" si="18"/>
        <v>1</v>
      </c>
      <c r="AE40" s="13"/>
      <c r="AF40" s="13"/>
      <c r="AG40" s="13"/>
      <c r="AH40" s="13"/>
      <c r="AI40" s="13">
        <v>1</v>
      </c>
      <c r="AJ40" s="13">
        <v>1</v>
      </c>
      <c r="AK40" s="13"/>
      <c r="AL40" s="13">
        <v>1</v>
      </c>
      <c r="AM40" s="13"/>
      <c r="AN40" s="13"/>
      <c r="AO40" s="13"/>
      <c r="AP40" s="13">
        <v>1</v>
      </c>
      <c r="AQ40" s="13">
        <v>1</v>
      </c>
      <c r="AR40" s="89">
        <f t="shared" si="19"/>
        <v>5</v>
      </c>
      <c r="AS40" s="54"/>
      <c r="AT40" s="54"/>
      <c r="AU40" s="54"/>
      <c r="AV40" s="54"/>
      <c r="AW40" s="54"/>
      <c r="AX40" s="56">
        <v>1</v>
      </c>
      <c r="AY40" s="54">
        <v>1</v>
      </c>
      <c r="AZ40" s="54"/>
      <c r="BA40" s="54"/>
      <c r="BB40" s="54"/>
      <c r="BC40" s="54"/>
      <c r="BD40" s="54"/>
      <c r="BE40" s="54"/>
      <c r="BF40" s="90">
        <f t="shared" si="20"/>
        <v>2</v>
      </c>
      <c r="BG40" s="64"/>
      <c r="BH40" s="64"/>
      <c r="BI40" s="64"/>
      <c r="BJ40" s="64"/>
      <c r="BK40" s="64"/>
      <c r="BL40" s="66"/>
      <c r="BM40" s="64"/>
      <c r="BN40" s="64"/>
      <c r="BO40" s="64"/>
      <c r="BP40" s="64"/>
      <c r="BQ40" s="64"/>
      <c r="BR40" s="64"/>
      <c r="BS40" s="64"/>
      <c r="BT40" s="91"/>
      <c r="BU40">
        <f t="shared" si="23"/>
        <v>9</v>
      </c>
      <c r="BV40" s="4"/>
      <c r="BW40" s="7" t="s">
        <v>72</v>
      </c>
      <c r="BX40" s="38"/>
      <c r="BY40" s="38"/>
      <c r="BZ40" s="38"/>
      <c r="CA40" s="38"/>
      <c r="CB40" s="38"/>
      <c r="CC40" s="38"/>
      <c r="CD40" s="35"/>
      <c r="CE40" s="35"/>
      <c r="CF40" s="35"/>
      <c r="CG40" s="35"/>
      <c r="CH40" s="35"/>
      <c r="CI40" s="83"/>
      <c r="CO40"/>
      <c r="CP40" s="54"/>
      <c r="CQ40" s="54"/>
      <c r="CR40" s="54"/>
      <c r="CS40" s="54"/>
      <c r="CT40" s="54"/>
      <c r="CU40" s="54"/>
      <c r="CV40" s="64"/>
      <c r="CW40" s="64"/>
      <c r="CX40" s="64"/>
      <c r="CY40" s="64"/>
      <c r="CZ40" s="64"/>
      <c r="DA40" s="64"/>
      <c r="DB40" s="69"/>
      <c r="DC40" s="69"/>
      <c r="DD40" s="69"/>
      <c r="DE40" s="69"/>
      <c r="DF40" s="69"/>
      <c r="DG40" s="69"/>
      <c r="DH40" s="72"/>
      <c r="DI40" s="72"/>
      <c r="DJ40" s="72"/>
      <c r="DK40" s="72"/>
      <c r="DL40" s="72"/>
      <c r="DM40" s="72"/>
      <c r="DN40" s="4">
        <f t="shared" si="21"/>
        <v>0</v>
      </c>
      <c r="DO40">
        <f t="shared" si="22"/>
        <v>9</v>
      </c>
      <c r="DR40" s="21"/>
      <c r="DS40" s="13"/>
    </row>
    <row r="41" spans="1:123" ht="14.25" x14ac:dyDescent="0.15">
      <c r="A41" s="2" t="s">
        <v>62</v>
      </c>
      <c r="B41" s="32" t="s">
        <v>74</v>
      </c>
      <c r="C41" s="15"/>
      <c r="D41" s="4"/>
      <c r="E41" s="4"/>
      <c r="G41" s="4"/>
      <c r="H41" s="4"/>
      <c r="I41" s="4"/>
      <c r="J41" s="4"/>
      <c r="L41" s="4"/>
      <c r="M41" s="4"/>
      <c r="N41" s="4"/>
      <c r="O41" s="4"/>
      <c r="P41" s="87"/>
      <c r="Q41" s="21"/>
      <c r="R41" s="21"/>
      <c r="S41" s="21"/>
      <c r="T41" s="21"/>
      <c r="U41" s="21"/>
      <c r="V41" s="21">
        <v>1</v>
      </c>
      <c r="W41" s="21">
        <v>1</v>
      </c>
      <c r="X41" s="21"/>
      <c r="Y41" s="21"/>
      <c r="Z41" s="21"/>
      <c r="AA41" s="21"/>
      <c r="AB41" s="21"/>
      <c r="AC41" s="21"/>
      <c r="AD41" s="88">
        <f t="shared" si="18"/>
        <v>2</v>
      </c>
      <c r="AE41" s="13"/>
      <c r="AF41" s="13"/>
      <c r="AG41" s="13"/>
      <c r="AH41" s="13"/>
      <c r="AI41" s="13"/>
      <c r="AJ41" s="13">
        <v>1</v>
      </c>
      <c r="AK41" s="13">
        <v>1</v>
      </c>
      <c r="AL41" s="13"/>
      <c r="AM41" s="13"/>
      <c r="AN41" s="13"/>
      <c r="AO41" s="13"/>
      <c r="AP41" s="13"/>
      <c r="AQ41" s="13"/>
      <c r="AR41" s="89">
        <f t="shared" si="19"/>
        <v>2</v>
      </c>
      <c r="AS41" s="54"/>
      <c r="AT41" s="54"/>
      <c r="AU41" s="54"/>
      <c r="AV41" s="54"/>
      <c r="AW41" s="54"/>
      <c r="AX41" s="56">
        <v>1</v>
      </c>
      <c r="AY41" s="54">
        <v>1</v>
      </c>
      <c r="AZ41" s="54"/>
      <c r="BA41" s="54"/>
      <c r="BB41" s="54"/>
      <c r="BC41" s="54"/>
      <c r="BD41" s="54"/>
      <c r="BE41" s="54"/>
      <c r="BF41" s="90">
        <f t="shared" si="20"/>
        <v>2</v>
      </c>
      <c r="BG41" s="64"/>
      <c r="BH41" s="64"/>
      <c r="BI41" s="64"/>
      <c r="BJ41" s="64"/>
      <c r="BK41" s="64"/>
      <c r="BL41" s="66">
        <v>2</v>
      </c>
      <c r="BM41" s="64">
        <v>2</v>
      </c>
      <c r="BN41" s="64"/>
      <c r="BO41" s="64"/>
      <c r="BP41" s="64"/>
      <c r="BQ41" s="64"/>
      <c r="BR41" s="64"/>
      <c r="BS41" s="64"/>
      <c r="BT41" s="91">
        <f>COUNTA(BG41:BS41)</f>
        <v>2</v>
      </c>
      <c r="BU41">
        <f t="shared" si="23"/>
        <v>8</v>
      </c>
      <c r="BW41" s="2" t="s">
        <v>62</v>
      </c>
      <c r="BX41" s="38"/>
      <c r="BY41" s="38"/>
      <c r="BZ41" s="38"/>
      <c r="CA41" s="38"/>
      <c r="CB41" s="38"/>
      <c r="CC41" s="38"/>
      <c r="CD41" s="35"/>
      <c r="CE41" s="35"/>
      <c r="CF41" s="35"/>
      <c r="CG41" s="35"/>
      <c r="CH41" s="35"/>
      <c r="CI41" s="83"/>
      <c r="CO41"/>
      <c r="CP41" s="54"/>
      <c r="CQ41" s="54"/>
      <c r="CR41" s="54"/>
      <c r="CS41" s="54"/>
      <c r="CT41" s="54"/>
      <c r="CU41" s="54"/>
      <c r="CV41" s="64"/>
      <c r="CW41" s="64"/>
      <c r="CX41" s="64"/>
      <c r="CY41" s="64"/>
      <c r="CZ41" s="64"/>
      <c r="DA41" s="64"/>
      <c r="DB41" s="69"/>
      <c r="DC41" s="69"/>
      <c r="DD41" s="69"/>
      <c r="DE41" s="69"/>
      <c r="DF41" s="69"/>
      <c r="DG41" s="69"/>
      <c r="DH41" s="72"/>
      <c r="DI41" s="72"/>
      <c r="DJ41" s="72"/>
      <c r="DK41" s="72"/>
      <c r="DL41" s="72"/>
      <c r="DM41" s="72"/>
      <c r="DN41" s="4">
        <f t="shared" si="21"/>
        <v>0</v>
      </c>
      <c r="DO41">
        <f t="shared" si="22"/>
        <v>8</v>
      </c>
      <c r="DR41" s="21"/>
      <c r="DS41" s="13"/>
    </row>
    <row r="42" spans="1:123" ht="14.25" x14ac:dyDescent="0.15">
      <c r="A42" s="2" t="s">
        <v>45</v>
      </c>
      <c r="B42" s="32" t="s">
        <v>81</v>
      </c>
      <c r="C42" s="17"/>
      <c r="D42" s="4"/>
      <c r="E42" s="4"/>
      <c r="G42" s="4"/>
      <c r="H42" s="4"/>
      <c r="I42" s="4"/>
      <c r="J42" s="4"/>
      <c r="L42" s="4"/>
      <c r="M42" s="4"/>
      <c r="N42" s="4"/>
      <c r="O42" s="4"/>
      <c r="P42" s="87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88">
        <f t="shared" si="18"/>
        <v>0</v>
      </c>
      <c r="AE42" s="13"/>
      <c r="AF42" s="13"/>
      <c r="AG42" s="13"/>
      <c r="AH42" s="13"/>
      <c r="AI42" s="13"/>
      <c r="AJ42" s="13"/>
      <c r="AK42" s="13">
        <v>1</v>
      </c>
      <c r="AL42" s="13"/>
      <c r="AM42" s="13"/>
      <c r="AN42" s="13"/>
      <c r="AO42" s="13"/>
      <c r="AP42" s="13"/>
      <c r="AQ42" s="13"/>
      <c r="AR42" s="89">
        <f t="shared" si="19"/>
        <v>1</v>
      </c>
      <c r="AS42" s="54"/>
      <c r="AT42" s="54"/>
      <c r="AU42" s="54"/>
      <c r="AV42" s="54"/>
      <c r="AW42" s="54">
        <v>1</v>
      </c>
      <c r="AX42" s="56"/>
      <c r="AY42" s="54"/>
      <c r="AZ42" s="54">
        <v>1</v>
      </c>
      <c r="BA42" s="54"/>
      <c r="BB42" s="54"/>
      <c r="BC42" s="54"/>
      <c r="BD42" s="54"/>
      <c r="BE42" s="54"/>
      <c r="BF42" s="90">
        <f t="shared" si="20"/>
        <v>2</v>
      </c>
      <c r="BG42" s="64"/>
      <c r="BH42" s="64"/>
      <c r="BI42" s="64"/>
      <c r="BJ42" s="64"/>
      <c r="BK42" s="64">
        <v>1</v>
      </c>
      <c r="BL42" s="66"/>
      <c r="BM42" s="64">
        <v>1</v>
      </c>
      <c r="BN42" s="64">
        <v>1</v>
      </c>
      <c r="BO42" s="64"/>
      <c r="BP42" s="64"/>
      <c r="BQ42" s="64"/>
      <c r="BR42" s="64">
        <v>1</v>
      </c>
      <c r="BS42" s="64"/>
      <c r="BT42" s="91">
        <f>COUNTA(BG42:BS42)</f>
        <v>4</v>
      </c>
      <c r="BU42">
        <f t="shared" si="23"/>
        <v>7</v>
      </c>
      <c r="BW42" s="2" t="s">
        <v>45</v>
      </c>
      <c r="BX42" s="38"/>
      <c r="BY42" s="38"/>
      <c r="BZ42" s="38"/>
      <c r="CA42" s="38"/>
      <c r="CB42" s="38"/>
      <c r="CC42" s="38"/>
      <c r="CD42" s="35"/>
      <c r="CE42" s="35"/>
      <c r="CF42" s="35"/>
      <c r="CG42" s="35"/>
      <c r="CH42" s="35"/>
      <c r="CI42" s="83"/>
      <c r="CO42"/>
      <c r="CP42" s="54"/>
      <c r="CQ42" s="54"/>
      <c r="CR42" s="54"/>
      <c r="CS42" s="54"/>
      <c r="CT42" s="54"/>
      <c r="CU42" s="54"/>
      <c r="CV42" s="64"/>
      <c r="CW42" s="64"/>
      <c r="CX42" s="64"/>
      <c r="CY42" s="64"/>
      <c r="CZ42" s="64"/>
      <c r="DA42" s="64"/>
      <c r="DB42" s="69"/>
      <c r="DC42" s="69"/>
      <c r="DD42" s="69"/>
      <c r="DE42" s="69"/>
      <c r="DF42" s="69"/>
      <c r="DG42" s="69"/>
      <c r="DH42" s="72"/>
      <c r="DI42" s="72"/>
      <c r="DJ42" s="72"/>
      <c r="DK42" s="72"/>
      <c r="DL42" s="72"/>
      <c r="DM42" s="72"/>
      <c r="DN42" s="4">
        <f t="shared" si="21"/>
        <v>0</v>
      </c>
      <c r="DO42">
        <f t="shared" si="22"/>
        <v>7</v>
      </c>
      <c r="DR42" s="21"/>
      <c r="DS42" s="13"/>
    </row>
    <row r="43" spans="1:123" ht="14.25" x14ac:dyDescent="0.15">
      <c r="A43" s="2" t="s">
        <v>32</v>
      </c>
      <c r="B43" s="15" t="s">
        <v>84</v>
      </c>
      <c r="C43" s="15"/>
      <c r="D43" s="4"/>
      <c r="E43" s="4"/>
      <c r="F43" s="4">
        <v>1</v>
      </c>
      <c r="G43" s="4"/>
      <c r="H43" s="4">
        <v>1</v>
      </c>
      <c r="I43" s="4"/>
      <c r="J43" s="4"/>
      <c r="K43" s="4">
        <v>1</v>
      </c>
      <c r="L43" s="4"/>
      <c r="M43" s="4"/>
      <c r="N43" s="4"/>
      <c r="O43" s="4"/>
      <c r="P43" s="87">
        <f>COUNTA(C43:O43)</f>
        <v>3</v>
      </c>
      <c r="Q43" s="21"/>
      <c r="R43" s="21"/>
      <c r="S43" s="21"/>
      <c r="T43" s="21"/>
      <c r="U43" s="21"/>
      <c r="V43" s="21"/>
      <c r="W43" s="21"/>
      <c r="X43" s="21"/>
      <c r="Y43" s="21"/>
      <c r="Z43" s="21">
        <v>1</v>
      </c>
      <c r="AA43" s="21"/>
      <c r="AB43" s="21"/>
      <c r="AC43" s="21"/>
      <c r="AD43" s="88">
        <f t="shared" si="18"/>
        <v>1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>
        <v>1</v>
      </c>
      <c r="AP43" s="13">
        <v>1</v>
      </c>
      <c r="AQ43" s="13"/>
      <c r="AR43" s="89">
        <f t="shared" si="19"/>
        <v>2</v>
      </c>
      <c r="AS43" s="54"/>
      <c r="AT43" s="54"/>
      <c r="AU43" s="54"/>
      <c r="AV43" s="54"/>
      <c r="AW43" s="54"/>
      <c r="AX43" s="56"/>
      <c r="AY43" s="54"/>
      <c r="AZ43" s="54"/>
      <c r="BA43" s="54"/>
      <c r="BB43" s="54"/>
      <c r="BC43" s="54">
        <v>1</v>
      </c>
      <c r="BD43" s="54"/>
      <c r="BE43" s="54"/>
      <c r="BF43" s="90">
        <f t="shared" si="20"/>
        <v>1</v>
      </c>
      <c r="BG43" s="64"/>
      <c r="BH43" s="64"/>
      <c r="BI43" s="64"/>
      <c r="BJ43" s="64"/>
      <c r="BK43" s="64"/>
      <c r="BL43" s="66"/>
      <c r="BM43" s="64"/>
      <c r="BN43" s="64"/>
      <c r="BO43" s="64"/>
      <c r="BP43" s="64"/>
      <c r="BQ43" s="64"/>
      <c r="BR43" s="64"/>
      <c r="BS43" s="64"/>
      <c r="BT43" s="91"/>
      <c r="BU43">
        <f t="shared" si="23"/>
        <v>7</v>
      </c>
      <c r="BW43" s="2" t="s">
        <v>32</v>
      </c>
      <c r="BX43" s="38"/>
      <c r="BY43" s="38"/>
      <c r="BZ43" s="38"/>
      <c r="CA43" s="38"/>
      <c r="CB43" s="38"/>
      <c r="CC43" s="38"/>
      <c r="CD43" s="35"/>
      <c r="CE43" s="35"/>
      <c r="CF43" s="35"/>
      <c r="CG43" s="35"/>
      <c r="CH43" s="35"/>
      <c r="CI43" s="83"/>
      <c r="CO43"/>
      <c r="CP43" s="54"/>
      <c r="CQ43" s="54"/>
      <c r="CR43" s="54"/>
      <c r="CS43" s="54"/>
      <c r="CT43" s="54"/>
      <c r="CU43" s="54"/>
      <c r="CV43" s="64"/>
      <c r="CW43" s="64"/>
      <c r="CX43" s="64"/>
      <c r="CY43" s="64"/>
      <c r="CZ43" s="64"/>
      <c r="DA43" s="64"/>
      <c r="DB43" s="69"/>
      <c r="DC43" s="69"/>
      <c r="DD43" s="69"/>
      <c r="DE43" s="69"/>
      <c r="DF43" s="69"/>
      <c r="DG43" s="69"/>
      <c r="DH43" s="72"/>
      <c r="DI43" s="72"/>
      <c r="DJ43" s="72"/>
      <c r="DK43" s="72"/>
      <c r="DL43" s="72"/>
      <c r="DM43" s="72"/>
      <c r="DN43" s="4">
        <f t="shared" si="21"/>
        <v>0</v>
      </c>
      <c r="DO43">
        <f t="shared" si="22"/>
        <v>7</v>
      </c>
      <c r="DR43" s="21">
        <v>1</v>
      </c>
      <c r="DS43" s="13">
        <v>1</v>
      </c>
    </row>
    <row r="44" spans="1:123" ht="14.25" x14ac:dyDescent="0.15">
      <c r="A44" s="33" t="s">
        <v>60</v>
      </c>
      <c r="B44" s="32" t="s">
        <v>74</v>
      </c>
      <c r="C44" s="16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87"/>
      <c r="Q44" s="21"/>
      <c r="R44" s="21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88">
        <f t="shared" si="18"/>
        <v>0</v>
      </c>
      <c r="AE44" s="12"/>
      <c r="AF44" s="12"/>
      <c r="AG44" s="12"/>
      <c r="AH44" s="12"/>
      <c r="AI44" s="55">
        <v>1</v>
      </c>
      <c r="AJ44" s="12"/>
      <c r="AK44" s="12"/>
      <c r="AL44" s="12"/>
      <c r="AM44" s="12"/>
      <c r="AN44" s="12"/>
      <c r="AO44" s="12"/>
      <c r="AP44" s="12"/>
      <c r="AQ44" s="12"/>
      <c r="AR44" s="89">
        <f t="shared" si="19"/>
        <v>1</v>
      </c>
      <c r="AS44" s="53"/>
      <c r="AT44" s="53"/>
      <c r="AU44" s="53"/>
      <c r="AV44" s="53"/>
      <c r="AW44" s="57">
        <v>1</v>
      </c>
      <c r="AX44" s="53"/>
      <c r="AY44" s="53"/>
      <c r="AZ44" s="57">
        <v>1</v>
      </c>
      <c r="BA44" s="53"/>
      <c r="BB44" s="53"/>
      <c r="BC44" s="53"/>
      <c r="BD44" s="53"/>
      <c r="BE44" s="53"/>
      <c r="BF44" s="90">
        <f t="shared" si="20"/>
        <v>2</v>
      </c>
      <c r="BG44" s="63"/>
      <c r="BH44" s="63"/>
      <c r="BI44" s="63"/>
      <c r="BJ44" s="63"/>
      <c r="BK44" s="65">
        <v>1</v>
      </c>
      <c r="BL44" s="65">
        <v>1</v>
      </c>
      <c r="BM44" s="63"/>
      <c r="BN44" s="65">
        <v>1</v>
      </c>
      <c r="BO44" s="63"/>
      <c r="BP44" s="63"/>
      <c r="BQ44" s="63"/>
      <c r="BR44" s="63"/>
      <c r="BS44" s="63"/>
      <c r="BT44" s="91">
        <f>COUNTA(BG44:BS44)</f>
        <v>3</v>
      </c>
      <c r="BU44">
        <f t="shared" si="23"/>
        <v>6</v>
      </c>
      <c r="BW44" s="33" t="s">
        <v>60</v>
      </c>
      <c r="BX44" s="38"/>
      <c r="BY44" s="38"/>
      <c r="BZ44" s="38"/>
      <c r="CA44" s="38"/>
      <c r="CB44" s="38"/>
      <c r="CC44" s="38"/>
      <c r="CD44" s="35"/>
      <c r="CE44" s="35"/>
      <c r="CF44" s="35"/>
      <c r="CG44" s="35"/>
      <c r="CH44" s="35"/>
      <c r="CI44" s="83"/>
      <c r="CO44"/>
      <c r="CP44" s="54"/>
      <c r="CQ44" s="54"/>
      <c r="CR44" s="54"/>
      <c r="CS44" s="54"/>
      <c r="CT44" s="54"/>
      <c r="CU44" s="54"/>
      <c r="CV44" s="64"/>
      <c r="CW44" s="64"/>
      <c r="CX44" s="64"/>
      <c r="CY44" s="64"/>
      <c r="CZ44" s="64"/>
      <c r="DA44" s="64"/>
      <c r="DB44" s="69"/>
      <c r="DC44" s="69"/>
      <c r="DD44" s="69"/>
      <c r="DE44" s="69"/>
      <c r="DF44" s="69"/>
      <c r="DG44" s="69"/>
      <c r="DH44" s="72"/>
      <c r="DI44" s="72"/>
      <c r="DJ44" s="72"/>
      <c r="DK44" s="72"/>
      <c r="DL44" s="72"/>
      <c r="DM44" s="72"/>
      <c r="DN44" s="4">
        <f t="shared" si="21"/>
        <v>0</v>
      </c>
      <c r="DO44">
        <f t="shared" si="22"/>
        <v>6</v>
      </c>
      <c r="DR44" s="23"/>
      <c r="DS44" s="12"/>
    </row>
    <row r="45" spans="1:123" ht="14.25" x14ac:dyDescent="0.15">
      <c r="A45" s="3" t="s">
        <v>102</v>
      </c>
      <c r="B45" s="19" t="s">
        <v>78</v>
      </c>
      <c r="C45" s="17"/>
      <c r="D45" s="4"/>
      <c r="E45" s="4"/>
      <c r="G45" s="4"/>
      <c r="H45" s="4"/>
      <c r="I45" s="4"/>
      <c r="J45" s="4"/>
      <c r="L45" s="4"/>
      <c r="M45" s="4"/>
      <c r="N45" s="4"/>
      <c r="O45" s="4"/>
      <c r="P45" s="87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88">
        <f t="shared" si="18"/>
        <v>0</v>
      </c>
      <c r="AE45" s="13">
        <v>1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89">
        <f t="shared" si="19"/>
        <v>1</v>
      </c>
      <c r="AS45" s="54">
        <v>1</v>
      </c>
      <c r="AT45" s="54"/>
      <c r="AU45" s="54"/>
      <c r="AV45" s="54"/>
      <c r="AW45" s="54"/>
      <c r="AX45" s="56"/>
      <c r="AY45" s="54"/>
      <c r="AZ45" s="54">
        <v>1</v>
      </c>
      <c r="BA45" s="54"/>
      <c r="BB45" s="54"/>
      <c r="BC45" s="54"/>
      <c r="BD45" s="54"/>
      <c r="BE45" s="54"/>
      <c r="BF45" s="90">
        <f t="shared" si="20"/>
        <v>2</v>
      </c>
      <c r="BG45" s="64">
        <v>2</v>
      </c>
      <c r="BH45" s="64"/>
      <c r="BI45" s="64"/>
      <c r="BJ45" s="64"/>
      <c r="BK45" s="64"/>
      <c r="BL45" s="66"/>
      <c r="BM45" s="64"/>
      <c r="BN45" s="64">
        <v>1</v>
      </c>
      <c r="BO45" s="64"/>
      <c r="BP45" s="64"/>
      <c r="BQ45" s="64">
        <v>1</v>
      </c>
      <c r="BR45" s="64"/>
      <c r="BS45" s="64"/>
      <c r="BT45" s="91">
        <f>COUNTA(BG45:BS45)</f>
        <v>3</v>
      </c>
      <c r="BU45">
        <f t="shared" si="23"/>
        <v>6</v>
      </c>
      <c r="BW45" s="3" t="s">
        <v>102</v>
      </c>
      <c r="BX45" s="38"/>
      <c r="BY45" s="38"/>
      <c r="BZ45" s="38"/>
      <c r="CA45" s="38"/>
      <c r="CB45" s="38"/>
      <c r="CC45" s="38"/>
      <c r="CD45" s="35"/>
      <c r="CE45" s="35"/>
      <c r="CF45" s="35"/>
      <c r="CG45" s="35"/>
      <c r="CH45" s="35"/>
      <c r="CI45" s="83"/>
      <c r="CO45"/>
      <c r="CP45" s="54"/>
      <c r="CQ45" s="54"/>
      <c r="CR45" s="54"/>
      <c r="CS45" s="54"/>
      <c r="CT45" s="54"/>
      <c r="CU45" s="54"/>
      <c r="CV45" s="64"/>
      <c r="CW45" s="64"/>
      <c r="CX45" s="64"/>
      <c r="CY45" s="64"/>
      <c r="CZ45" s="64"/>
      <c r="DA45" s="64"/>
      <c r="DB45" s="69"/>
      <c r="DC45" s="69"/>
      <c r="DD45" s="69"/>
      <c r="DE45" s="69"/>
      <c r="DF45" s="69"/>
      <c r="DG45" s="69"/>
      <c r="DH45" s="72"/>
      <c r="DI45" s="72"/>
      <c r="DJ45" s="72"/>
      <c r="DK45" s="72"/>
      <c r="DL45" s="72"/>
      <c r="DM45" s="72"/>
      <c r="DN45" s="4">
        <f t="shared" si="21"/>
        <v>0</v>
      </c>
      <c r="DO45">
        <f t="shared" si="22"/>
        <v>6</v>
      </c>
      <c r="DR45" s="21"/>
      <c r="DS45" s="13"/>
    </row>
    <row r="46" spans="1:123" ht="14.25" x14ac:dyDescent="0.15">
      <c r="A46" s="7" t="s">
        <v>52</v>
      </c>
      <c r="B46" s="19" t="s">
        <v>77</v>
      </c>
      <c r="C46" s="15"/>
      <c r="D46" s="4"/>
      <c r="E46" s="4"/>
      <c r="G46" s="4"/>
      <c r="H46" s="4"/>
      <c r="I46" s="4"/>
      <c r="J46" s="4"/>
      <c r="L46" s="4"/>
      <c r="M46" s="4"/>
      <c r="N46" s="4"/>
      <c r="O46" s="4"/>
      <c r="P46" s="87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88">
        <f t="shared" si="18"/>
        <v>0</v>
      </c>
      <c r="AE46" s="13">
        <v>1</v>
      </c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89">
        <f t="shared" si="19"/>
        <v>1</v>
      </c>
      <c r="AS46" s="54">
        <v>1</v>
      </c>
      <c r="AT46" s="54">
        <v>1</v>
      </c>
      <c r="AU46" s="54"/>
      <c r="AV46" s="54"/>
      <c r="AW46" s="54"/>
      <c r="AX46" s="56"/>
      <c r="AY46" s="54"/>
      <c r="AZ46" s="54"/>
      <c r="BA46" s="54"/>
      <c r="BB46" s="54"/>
      <c r="BC46" s="54"/>
      <c r="BD46" s="54"/>
      <c r="BE46" s="54"/>
      <c r="BF46" s="90">
        <f t="shared" si="20"/>
        <v>2</v>
      </c>
      <c r="BG46" s="64">
        <v>1</v>
      </c>
      <c r="BH46" s="64">
        <v>1</v>
      </c>
      <c r="BI46" s="64"/>
      <c r="BJ46" s="64"/>
      <c r="BK46" s="64"/>
      <c r="BL46" s="66"/>
      <c r="BM46" s="64"/>
      <c r="BN46" s="64"/>
      <c r="BO46" s="64"/>
      <c r="BP46" s="64"/>
      <c r="BQ46" s="64"/>
      <c r="BR46" s="64"/>
      <c r="BS46" s="64"/>
      <c r="BT46" s="91">
        <f>COUNTA(BG46:BS46)</f>
        <v>2</v>
      </c>
      <c r="BU46">
        <f t="shared" si="23"/>
        <v>5</v>
      </c>
      <c r="BW46" s="7" t="s">
        <v>52</v>
      </c>
      <c r="BX46" s="38"/>
      <c r="BY46" s="38"/>
      <c r="BZ46" s="38"/>
      <c r="CA46" s="38"/>
      <c r="CB46" s="38"/>
      <c r="CC46" s="38"/>
      <c r="CD46" s="35"/>
      <c r="CE46" s="35"/>
      <c r="CF46" s="35"/>
      <c r="CG46" s="35"/>
      <c r="CH46" s="35"/>
      <c r="CI46" s="83"/>
      <c r="CO46"/>
      <c r="CP46" s="54"/>
      <c r="CQ46" s="54"/>
      <c r="CR46" s="54"/>
      <c r="CS46" s="54"/>
      <c r="CT46" s="54"/>
      <c r="CU46" s="54"/>
      <c r="CV46" s="64"/>
      <c r="CW46" s="64"/>
      <c r="CX46" s="64"/>
      <c r="CY46" s="64"/>
      <c r="CZ46" s="64"/>
      <c r="DA46" s="64"/>
      <c r="DB46" s="69"/>
      <c r="DC46" s="69"/>
      <c r="DD46" s="69"/>
      <c r="DE46" s="69"/>
      <c r="DF46" s="69"/>
      <c r="DG46" s="69"/>
      <c r="DH46" s="72"/>
      <c r="DI46" s="72"/>
      <c r="DJ46" s="72">
        <v>1</v>
      </c>
      <c r="DK46" s="72"/>
      <c r="DL46" s="72"/>
      <c r="DM46" s="72">
        <f>COUNTA(DH46:DL46)</f>
        <v>1</v>
      </c>
      <c r="DN46" s="4">
        <f t="shared" si="21"/>
        <v>1</v>
      </c>
      <c r="DO46">
        <f t="shared" si="22"/>
        <v>6</v>
      </c>
      <c r="DR46" s="21"/>
      <c r="DS46" s="13"/>
    </row>
    <row r="47" spans="1:123" ht="14.25" x14ac:dyDescent="0.15">
      <c r="A47" s="2" t="s">
        <v>26</v>
      </c>
      <c r="B47" s="32" t="s">
        <v>79</v>
      </c>
      <c r="C47" s="15"/>
      <c r="D47" s="4"/>
      <c r="E47" s="4"/>
      <c r="G47" s="4"/>
      <c r="H47" s="4">
        <v>1</v>
      </c>
      <c r="I47" s="4"/>
      <c r="J47" s="4"/>
      <c r="L47" s="4"/>
      <c r="M47" s="4"/>
      <c r="N47" s="4"/>
      <c r="O47" s="4"/>
      <c r="P47" s="87">
        <f>COUNTA(C47:O47)</f>
        <v>1</v>
      </c>
      <c r="Q47" s="21"/>
      <c r="R47" s="21"/>
      <c r="S47" s="21"/>
      <c r="T47" s="21"/>
      <c r="U47" s="21"/>
      <c r="V47" s="21">
        <v>1</v>
      </c>
      <c r="W47" s="21"/>
      <c r="X47" s="21"/>
      <c r="Y47" s="21"/>
      <c r="Z47" s="21"/>
      <c r="AA47" s="21"/>
      <c r="AB47" s="21"/>
      <c r="AC47" s="21"/>
      <c r="AD47" s="88">
        <f t="shared" si="18"/>
        <v>1</v>
      </c>
      <c r="AE47" s="13"/>
      <c r="AF47" s="13"/>
      <c r="AG47" s="13"/>
      <c r="AH47" s="13"/>
      <c r="AI47" s="13"/>
      <c r="AJ47" s="13">
        <v>1</v>
      </c>
      <c r="AK47" s="13"/>
      <c r="AL47" s="13"/>
      <c r="AM47" s="13"/>
      <c r="AN47" s="13"/>
      <c r="AO47" s="13"/>
      <c r="AP47" s="13"/>
      <c r="AQ47" s="13"/>
      <c r="AR47" s="89">
        <f t="shared" si="19"/>
        <v>1</v>
      </c>
      <c r="AS47" s="54"/>
      <c r="AT47" s="54"/>
      <c r="AU47" s="54"/>
      <c r="AV47" s="54"/>
      <c r="AW47" s="54"/>
      <c r="AX47" s="56">
        <v>1</v>
      </c>
      <c r="AY47" s="54"/>
      <c r="AZ47" s="54"/>
      <c r="BA47" s="54"/>
      <c r="BB47" s="54"/>
      <c r="BC47" s="54"/>
      <c r="BD47" s="54"/>
      <c r="BE47" s="54"/>
      <c r="BF47" s="90">
        <f t="shared" si="20"/>
        <v>1</v>
      </c>
      <c r="BG47" s="64"/>
      <c r="BH47" s="64"/>
      <c r="BI47" s="64"/>
      <c r="BJ47" s="64"/>
      <c r="BK47" s="64"/>
      <c r="BL47" s="66">
        <v>2</v>
      </c>
      <c r="BM47" s="64"/>
      <c r="BN47" s="64"/>
      <c r="BO47" s="64"/>
      <c r="BP47" s="64"/>
      <c r="BQ47" s="64"/>
      <c r="BR47" s="64"/>
      <c r="BS47" s="64"/>
      <c r="BT47" s="91">
        <f>COUNTA(BG47:BS47)</f>
        <v>1</v>
      </c>
      <c r="BU47">
        <f t="shared" si="23"/>
        <v>5</v>
      </c>
      <c r="BW47" s="2" t="s">
        <v>26</v>
      </c>
      <c r="BX47" s="38"/>
      <c r="BY47" s="38"/>
      <c r="BZ47" s="38"/>
      <c r="CA47" s="38"/>
      <c r="CB47" s="38"/>
      <c r="CC47" s="38"/>
      <c r="CD47" s="35"/>
      <c r="CE47" s="35"/>
      <c r="CF47" s="35"/>
      <c r="CG47" s="35"/>
      <c r="CH47" s="35"/>
      <c r="CI47" s="83"/>
      <c r="CO47"/>
      <c r="CP47" s="54"/>
      <c r="CQ47" s="54"/>
      <c r="CR47" s="54"/>
      <c r="CS47" s="54"/>
      <c r="CT47" s="54"/>
      <c r="CU47" s="54"/>
      <c r="CV47" s="64"/>
      <c r="CW47" s="64"/>
      <c r="CX47" s="64"/>
      <c r="CY47" s="64"/>
      <c r="CZ47" s="64"/>
      <c r="DA47" s="64"/>
      <c r="DB47" s="69"/>
      <c r="DC47" s="69"/>
      <c r="DD47" s="69"/>
      <c r="DE47" s="69"/>
      <c r="DF47" s="69"/>
      <c r="DG47" s="69"/>
      <c r="DH47" s="72"/>
      <c r="DI47" s="72"/>
      <c r="DJ47" s="72"/>
      <c r="DK47" s="72"/>
      <c r="DL47" s="72"/>
      <c r="DM47" s="72"/>
      <c r="DN47" s="4">
        <f t="shared" si="21"/>
        <v>0</v>
      </c>
      <c r="DO47">
        <f t="shared" si="22"/>
        <v>5</v>
      </c>
      <c r="DR47" s="21"/>
      <c r="DS47" s="13"/>
    </row>
    <row r="48" spans="1:123" ht="14.25" x14ac:dyDescent="0.15">
      <c r="A48" s="2" t="s">
        <v>34</v>
      </c>
      <c r="B48" s="32" t="s">
        <v>80</v>
      </c>
      <c r="C48" s="15"/>
      <c r="D48" s="4"/>
      <c r="E48" s="4">
        <v>1</v>
      </c>
      <c r="G48" s="4"/>
      <c r="H48" s="4">
        <v>1</v>
      </c>
      <c r="I48" s="4">
        <v>1</v>
      </c>
      <c r="J48" s="4"/>
      <c r="L48" s="4"/>
      <c r="M48" s="4"/>
      <c r="N48" s="4"/>
      <c r="O48" s="4"/>
      <c r="P48" s="87">
        <f>COUNTA(C48:O48)</f>
        <v>3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>
        <v>1</v>
      </c>
      <c r="AB48" s="21"/>
      <c r="AC48" s="21"/>
      <c r="AD48" s="88">
        <f t="shared" si="18"/>
        <v>1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89">
        <f t="shared" si="19"/>
        <v>0</v>
      </c>
      <c r="AS48" s="54"/>
      <c r="AT48" s="54"/>
      <c r="AU48" s="54"/>
      <c r="AV48" s="54"/>
      <c r="AW48" s="54"/>
      <c r="AX48" s="56"/>
      <c r="AY48" s="54">
        <v>1</v>
      </c>
      <c r="AZ48" s="54"/>
      <c r="BA48" s="54"/>
      <c r="BB48" s="54"/>
      <c r="BC48" s="54"/>
      <c r="BD48" s="54"/>
      <c r="BE48" s="54"/>
      <c r="BF48" s="90">
        <f t="shared" si="20"/>
        <v>1</v>
      </c>
      <c r="BG48" s="64"/>
      <c r="BH48" s="64"/>
      <c r="BI48" s="64"/>
      <c r="BJ48" s="64"/>
      <c r="BK48" s="64"/>
      <c r="BL48" s="66"/>
      <c r="BM48" s="64"/>
      <c r="BN48" s="64"/>
      <c r="BO48" s="64"/>
      <c r="BP48" s="64"/>
      <c r="BQ48" s="64"/>
      <c r="BR48" s="64"/>
      <c r="BS48" s="64"/>
      <c r="BT48" s="91"/>
      <c r="BU48">
        <f t="shared" si="23"/>
        <v>5</v>
      </c>
      <c r="BW48" s="2" t="s">
        <v>34</v>
      </c>
      <c r="BX48" s="38"/>
      <c r="BY48" s="38"/>
      <c r="BZ48" s="38"/>
      <c r="CA48" s="38"/>
      <c r="CB48" s="38"/>
      <c r="CC48" s="38"/>
      <c r="CD48" s="35"/>
      <c r="CE48" s="35"/>
      <c r="CF48" s="35"/>
      <c r="CG48" s="35"/>
      <c r="CH48" s="35"/>
      <c r="CI48" s="83"/>
      <c r="CO48"/>
      <c r="CP48" s="54"/>
      <c r="CQ48" s="54"/>
      <c r="CR48" s="54"/>
      <c r="CS48" s="54"/>
      <c r="CT48" s="54"/>
      <c r="CU48" s="54"/>
      <c r="CV48" s="64"/>
      <c r="CW48" s="64"/>
      <c r="CX48" s="64"/>
      <c r="CY48" s="64"/>
      <c r="CZ48" s="64"/>
      <c r="DA48" s="64"/>
      <c r="DB48" s="69"/>
      <c r="DC48" s="69"/>
      <c r="DD48" s="69"/>
      <c r="DE48" s="69"/>
      <c r="DF48" s="69"/>
      <c r="DG48" s="69"/>
      <c r="DH48" s="72"/>
      <c r="DI48" s="72"/>
      <c r="DJ48" s="72"/>
      <c r="DK48" s="72"/>
      <c r="DL48" s="72"/>
      <c r="DM48" s="72"/>
      <c r="DN48" s="4">
        <f t="shared" si="21"/>
        <v>0</v>
      </c>
      <c r="DO48">
        <f t="shared" si="22"/>
        <v>5</v>
      </c>
      <c r="DR48" s="21"/>
      <c r="DS48" s="13"/>
    </row>
    <row r="49" spans="1:123" ht="14.25" x14ac:dyDescent="0.15">
      <c r="A49" s="36" t="s">
        <v>36</v>
      </c>
      <c r="B49" s="15" t="s">
        <v>73</v>
      </c>
      <c r="C49" s="15"/>
      <c r="D49" s="4"/>
      <c r="E49" s="4"/>
      <c r="F49" s="4">
        <v>1</v>
      </c>
      <c r="G49" s="4"/>
      <c r="H49" s="4"/>
      <c r="I49" s="4"/>
      <c r="J49" s="4"/>
      <c r="K49" s="4">
        <v>1</v>
      </c>
      <c r="L49" s="4"/>
      <c r="M49" s="4"/>
      <c r="N49" s="4"/>
      <c r="O49" s="4"/>
      <c r="P49" s="87">
        <f>COUNTA(C49:O49)</f>
        <v>2</v>
      </c>
      <c r="Q49" s="21"/>
      <c r="R49" s="21"/>
      <c r="S49" s="21"/>
      <c r="T49" s="21"/>
      <c r="U49" s="21"/>
      <c r="V49" s="21"/>
      <c r="W49" s="21"/>
      <c r="X49" s="21"/>
      <c r="Y49" s="21">
        <v>1</v>
      </c>
      <c r="Z49" s="21"/>
      <c r="AA49" s="21"/>
      <c r="AB49" s="21">
        <v>1</v>
      </c>
      <c r="AC49" s="21"/>
      <c r="AD49" s="88">
        <f t="shared" si="18"/>
        <v>2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89">
        <f t="shared" si="19"/>
        <v>0</v>
      </c>
      <c r="AS49" s="54"/>
      <c r="AT49" s="54"/>
      <c r="AU49" s="54"/>
      <c r="AV49" s="54"/>
      <c r="AW49" s="54"/>
      <c r="AX49" s="56"/>
      <c r="AY49" s="54"/>
      <c r="AZ49" s="54"/>
      <c r="BA49" s="54"/>
      <c r="BB49" s="54"/>
      <c r="BC49" s="54"/>
      <c r="BD49" s="54">
        <v>1</v>
      </c>
      <c r="BE49" s="54"/>
      <c r="BF49" s="90">
        <f t="shared" si="20"/>
        <v>1</v>
      </c>
      <c r="BG49" s="64"/>
      <c r="BH49" s="64"/>
      <c r="BI49" s="64"/>
      <c r="BJ49" s="64"/>
      <c r="BK49" s="64"/>
      <c r="BL49" s="66"/>
      <c r="BM49" s="64"/>
      <c r="BN49" s="64"/>
      <c r="BO49" s="64"/>
      <c r="BP49" s="64"/>
      <c r="BQ49" s="64"/>
      <c r="BR49" s="64"/>
      <c r="BS49" s="64"/>
      <c r="BT49" s="91"/>
      <c r="BU49">
        <f t="shared" si="23"/>
        <v>5</v>
      </c>
      <c r="BW49" s="36" t="s">
        <v>36</v>
      </c>
      <c r="BX49" s="38"/>
      <c r="BY49" s="38"/>
      <c r="BZ49" s="38"/>
      <c r="CA49" s="38"/>
      <c r="CB49" s="38"/>
      <c r="CC49" s="38"/>
      <c r="CD49" s="35"/>
      <c r="CE49" s="35"/>
      <c r="CF49" s="35"/>
      <c r="CG49" s="35"/>
      <c r="CH49" s="35"/>
      <c r="CI49" s="83"/>
      <c r="CO49"/>
      <c r="CP49" s="54"/>
      <c r="CQ49" s="54"/>
      <c r="CR49" s="54"/>
      <c r="CS49" s="54"/>
      <c r="CT49" s="54"/>
      <c r="CU49" s="54"/>
      <c r="CV49" s="64"/>
      <c r="CW49" s="64"/>
      <c r="CX49" s="64"/>
      <c r="CY49" s="64"/>
      <c r="CZ49" s="64"/>
      <c r="DA49" s="64"/>
      <c r="DB49" s="69"/>
      <c r="DC49" s="69"/>
      <c r="DD49" s="69"/>
      <c r="DE49" s="69"/>
      <c r="DF49" s="69"/>
      <c r="DG49" s="69"/>
      <c r="DH49" s="72"/>
      <c r="DI49" s="72"/>
      <c r="DJ49" s="72"/>
      <c r="DK49" s="72"/>
      <c r="DL49" s="72"/>
      <c r="DM49" s="72"/>
      <c r="DN49" s="4">
        <f t="shared" si="21"/>
        <v>0</v>
      </c>
      <c r="DO49">
        <f t="shared" si="22"/>
        <v>5</v>
      </c>
      <c r="DR49" s="21"/>
      <c r="DS49" s="13"/>
    </row>
    <row r="50" spans="1:123" ht="14.25" x14ac:dyDescent="0.15">
      <c r="A50" s="2" t="s">
        <v>28</v>
      </c>
      <c r="B50" s="15" t="s">
        <v>89</v>
      </c>
      <c r="C50" s="15"/>
      <c r="D50" s="4"/>
      <c r="E50" s="4"/>
      <c r="G50" s="4"/>
      <c r="H50" s="4">
        <v>1</v>
      </c>
      <c r="I50" s="4"/>
      <c r="J50" s="4"/>
      <c r="L50" s="4">
        <v>2</v>
      </c>
      <c r="M50" s="4"/>
      <c r="N50" s="4"/>
      <c r="O50" s="4"/>
      <c r="P50" s="87">
        <f>COUNTA(C50:O50)</f>
        <v>2</v>
      </c>
      <c r="Q50" s="21"/>
      <c r="R50" s="21"/>
      <c r="S50" s="21"/>
      <c r="T50" s="21"/>
      <c r="U50" s="21"/>
      <c r="V50" s="21">
        <v>1</v>
      </c>
      <c r="W50" s="21"/>
      <c r="X50" s="21"/>
      <c r="Y50" s="21"/>
      <c r="Z50" s="21"/>
      <c r="AA50" s="21"/>
      <c r="AB50" s="21"/>
      <c r="AC50" s="21"/>
      <c r="AD50" s="88">
        <f t="shared" si="18"/>
        <v>1</v>
      </c>
      <c r="AE50" s="13"/>
      <c r="AF50" s="13"/>
      <c r="AG50" s="13"/>
      <c r="AH50" s="13"/>
      <c r="AI50" s="13"/>
      <c r="AJ50" s="13"/>
      <c r="AK50" s="13"/>
      <c r="AL50" s="13"/>
      <c r="AM50" s="13"/>
      <c r="AN50" s="13">
        <v>1</v>
      </c>
      <c r="AO50" s="13"/>
      <c r="AP50" s="13"/>
      <c r="AQ50" s="13"/>
      <c r="AR50" s="89">
        <f t="shared" si="19"/>
        <v>1</v>
      </c>
      <c r="AS50" s="54"/>
      <c r="AT50" s="54"/>
      <c r="AU50" s="54"/>
      <c r="AV50" s="54"/>
      <c r="AW50" s="54"/>
      <c r="AX50" s="56"/>
      <c r="AY50" s="54"/>
      <c r="AZ50" s="54"/>
      <c r="BA50" s="54"/>
      <c r="BB50" s="54">
        <v>1</v>
      </c>
      <c r="BC50" s="54"/>
      <c r="BD50" s="54"/>
      <c r="BE50" s="54"/>
      <c r="BF50" s="90">
        <f t="shared" si="20"/>
        <v>1</v>
      </c>
      <c r="BG50" s="64"/>
      <c r="BH50" s="64"/>
      <c r="BI50" s="64"/>
      <c r="BJ50" s="64"/>
      <c r="BK50" s="64"/>
      <c r="BL50" s="66"/>
      <c r="BM50" s="64"/>
      <c r="BN50" s="64"/>
      <c r="BO50" s="64"/>
      <c r="BP50" s="64"/>
      <c r="BQ50" s="64"/>
      <c r="BR50" s="64"/>
      <c r="BS50" s="64"/>
      <c r="BT50" s="91"/>
      <c r="BU50">
        <f t="shared" si="23"/>
        <v>5</v>
      </c>
      <c r="BW50" s="2" t="s">
        <v>28</v>
      </c>
      <c r="BX50" s="38"/>
      <c r="BY50" s="38"/>
      <c r="BZ50" s="38"/>
      <c r="CA50" s="38"/>
      <c r="CB50" s="38"/>
      <c r="CC50" s="38"/>
      <c r="CD50" s="35"/>
      <c r="CE50" s="35"/>
      <c r="CF50" s="35"/>
      <c r="CG50" s="35"/>
      <c r="CH50" s="35"/>
      <c r="CI50" s="83"/>
      <c r="CO50"/>
      <c r="CP50" s="54"/>
      <c r="CQ50" s="54"/>
      <c r="CR50" s="54"/>
      <c r="CS50" s="54"/>
      <c r="CT50" s="54"/>
      <c r="CU50" s="54"/>
      <c r="CV50" s="64"/>
      <c r="CW50" s="64"/>
      <c r="CX50" s="64"/>
      <c r="CY50" s="64"/>
      <c r="CZ50" s="64"/>
      <c r="DA50" s="64"/>
      <c r="DB50" s="69"/>
      <c r="DC50" s="69"/>
      <c r="DD50" s="69"/>
      <c r="DE50" s="69"/>
      <c r="DF50" s="69"/>
      <c r="DG50" s="69"/>
      <c r="DH50" s="72"/>
      <c r="DI50" s="72"/>
      <c r="DJ50" s="72"/>
      <c r="DK50" s="72"/>
      <c r="DL50" s="72"/>
      <c r="DM50" s="72"/>
      <c r="DN50" s="4">
        <f t="shared" si="21"/>
        <v>0</v>
      </c>
      <c r="DO50">
        <f t="shared" si="22"/>
        <v>5</v>
      </c>
      <c r="DR50" s="21"/>
      <c r="DS50" s="13"/>
    </row>
    <row r="51" spans="1:123" ht="14.25" x14ac:dyDescent="0.15">
      <c r="A51" s="36" t="s">
        <v>103</v>
      </c>
      <c r="B51" s="15" t="s">
        <v>80</v>
      </c>
      <c r="C51" s="18"/>
      <c r="D51" s="4"/>
      <c r="E51" s="4"/>
      <c r="G51" s="4"/>
      <c r="H51" s="4"/>
      <c r="I51" s="4"/>
      <c r="J51" s="4"/>
      <c r="L51" s="4"/>
      <c r="M51" s="4"/>
      <c r="N51" s="4"/>
      <c r="O51" s="4"/>
      <c r="P51" s="87"/>
      <c r="Q51" s="21"/>
      <c r="R51" s="21"/>
      <c r="S51" s="21"/>
      <c r="T51" s="21"/>
      <c r="U51" s="21"/>
      <c r="V51" s="21">
        <v>1</v>
      </c>
      <c r="W51" s="21">
        <v>3</v>
      </c>
      <c r="X51" s="21"/>
      <c r="Y51" s="21"/>
      <c r="Z51" s="21"/>
      <c r="AA51" s="21"/>
      <c r="AB51" s="21"/>
      <c r="AC51" s="21"/>
      <c r="AD51" s="88">
        <f t="shared" si="18"/>
        <v>2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89">
        <f t="shared" si="19"/>
        <v>0</v>
      </c>
      <c r="AS51" s="54"/>
      <c r="AT51" s="54"/>
      <c r="AU51" s="54"/>
      <c r="AV51" s="54"/>
      <c r="AW51" s="54"/>
      <c r="AX51" s="56">
        <v>1</v>
      </c>
      <c r="AY51" s="54">
        <v>3</v>
      </c>
      <c r="AZ51" s="54"/>
      <c r="BA51" s="54"/>
      <c r="BB51" s="54"/>
      <c r="BC51" s="54"/>
      <c r="BD51" s="54"/>
      <c r="BE51" s="54"/>
      <c r="BF51" s="90">
        <f t="shared" si="20"/>
        <v>2</v>
      </c>
      <c r="BG51" s="64"/>
      <c r="BH51" s="64"/>
      <c r="BI51" s="64"/>
      <c r="BJ51" s="64"/>
      <c r="BK51" s="64"/>
      <c r="BL51" s="66"/>
      <c r="BM51" s="64">
        <v>3</v>
      </c>
      <c r="BN51" s="64"/>
      <c r="BO51" s="64"/>
      <c r="BP51" s="64"/>
      <c r="BQ51" s="64"/>
      <c r="BR51" s="64"/>
      <c r="BS51" s="64"/>
      <c r="BT51" s="91">
        <f>COUNTA(BG51:BS51)</f>
        <v>1</v>
      </c>
      <c r="BU51">
        <f t="shared" si="23"/>
        <v>5</v>
      </c>
      <c r="BW51" s="36" t="s">
        <v>103</v>
      </c>
      <c r="BX51" s="38"/>
      <c r="BY51" s="38"/>
      <c r="BZ51" s="38"/>
      <c r="CA51" s="38"/>
      <c r="CB51" s="38"/>
      <c r="CC51" s="38"/>
      <c r="CD51" s="35"/>
      <c r="CE51" s="35"/>
      <c r="CF51" s="35"/>
      <c r="CG51" s="35"/>
      <c r="CH51" s="35"/>
      <c r="CI51" s="83"/>
      <c r="CO51"/>
      <c r="CP51" s="54"/>
      <c r="CQ51" s="54"/>
      <c r="CR51" s="54"/>
      <c r="CS51" s="54"/>
      <c r="CT51" s="54"/>
      <c r="CU51" s="54"/>
      <c r="CV51" s="64"/>
      <c r="CW51" s="64"/>
      <c r="CX51" s="64"/>
      <c r="CY51" s="64"/>
      <c r="CZ51" s="64"/>
      <c r="DA51" s="64"/>
      <c r="DB51" s="69"/>
      <c r="DC51" s="69"/>
      <c r="DD51" s="69"/>
      <c r="DE51" s="69"/>
      <c r="DF51" s="69"/>
      <c r="DG51" s="69"/>
      <c r="DH51" s="72"/>
      <c r="DI51" s="72"/>
      <c r="DJ51" s="72"/>
      <c r="DK51" s="72"/>
      <c r="DL51" s="72"/>
      <c r="DM51" s="72"/>
      <c r="DN51" s="4">
        <f t="shared" si="21"/>
        <v>0</v>
      </c>
      <c r="DO51">
        <f t="shared" si="22"/>
        <v>5</v>
      </c>
      <c r="DR51" s="21"/>
      <c r="DS51" s="13"/>
    </row>
    <row r="52" spans="1:123" ht="14.25" x14ac:dyDescent="0.15">
      <c r="A52" s="33" t="s">
        <v>105</v>
      </c>
      <c r="B52" s="32" t="s">
        <v>77</v>
      </c>
      <c r="C52" s="16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87"/>
      <c r="Q52" s="21"/>
      <c r="R52" s="21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88">
        <f t="shared" si="18"/>
        <v>0</v>
      </c>
      <c r="AE52" s="12"/>
      <c r="AF52" s="12"/>
      <c r="AG52" s="12"/>
      <c r="AH52" s="12"/>
      <c r="AI52" s="55"/>
      <c r="AJ52" s="12"/>
      <c r="AK52" s="12"/>
      <c r="AL52" s="12"/>
      <c r="AM52" s="12"/>
      <c r="AN52" s="12"/>
      <c r="AO52" s="12"/>
      <c r="AP52" s="12"/>
      <c r="AQ52" s="12"/>
      <c r="AR52" s="89">
        <f t="shared" si="19"/>
        <v>0</v>
      </c>
      <c r="AS52" s="53"/>
      <c r="AT52" s="53"/>
      <c r="AU52" s="53"/>
      <c r="AV52" s="53"/>
      <c r="AW52" s="57"/>
      <c r="AX52" s="53"/>
      <c r="AY52" s="53"/>
      <c r="AZ52" s="57"/>
      <c r="BA52" s="57">
        <v>1</v>
      </c>
      <c r="BB52" s="53"/>
      <c r="BC52" s="53"/>
      <c r="BD52" s="53"/>
      <c r="BE52" s="53"/>
      <c r="BF52" s="90">
        <f t="shared" si="20"/>
        <v>1</v>
      </c>
      <c r="BG52" s="63"/>
      <c r="BH52" s="63"/>
      <c r="BI52" s="63"/>
      <c r="BJ52" s="63"/>
      <c r="BK52" s="65">
        <v>1</v>
      </c>
      <c r="BL52" s="63"/>
      <c r="BM52" s="63"/>
      <c r="BN52" s="65"/>
      <c r="BO52" s="63"/>
      <c r="BP52" s="63"/>
      <c r="BQ52" s="63"/>
      <c r="BR52" s="63"/>
      <c r="BS52" s="63"/>
      <c r="BT52" s="91">
        <f>COUNTA(BG52:BS52)</f>
        <v>1</v>
      </c>
      <c r="BU52">
        <f t="shared" si="23"/>
        <v>2</v>
      </c>
      <c r="BW52" s="33" t="s">
        <v>105</v>
      </c>
      <c r="BX52" s="38"/>
      <c r="BY52" s="38"/>
      <c r="BZ52" s="38"/>
      <c r="CA52" s="38"/>
      <c r="CB52" s="38"/>
      <c r="CC52" s="38"/>
      <c r="CD52" s="35"/>
      <c r="CE52" s="35"/>
      <c r="CF52" s="35"/>
      <c r="CG52" s="35"/>
      <c r="CH52" s="35"/>
      <c r="CI52" s="83"/>
      <c r="CO52"/>
      <c r="CP52" s="54"/>
      <c r="CQ52" s="54"/>
      <c r="CR52" s="54"/>
      <c r="CS52" s="54"/>
      <c r="CT52" s="54"/>
      <c r="CU52" s="54"/>
      <c r="CV52" s="64"/>
      <c r="CW52" s="64"/>
      <c r="CX52" s="64"/>
      <c r="CY52" s="64"/>
      <c r="CZ52" s="64"/>
      <c r="DA52" s="64"/>
      <c r="DB52" s="69"/>
      <c r="DC52" s="69">
        <v>1</v>
      </c>
      <c r="DD52" s="69"/>
      <c r="DE52" s="69"/>
      <c r="DF52" s="69"/>
      <c r="DG52" s="69">
        <f>COUNTA(DB52:DF52)</f>
        <v>1</v>
      </c>
      <c r="DH52" s="72"/>
      <c r="DI52" s="72">
        <v>2</v>
      </c>
      <c r="DJ52" s="72">
        <v>2</v>
      </c>
      <c r="DK52" s="72"/>
      <c r="DL52" s="72"/>
      <c r="DM52" s="72">
        <f>COUNTA(DH52:DL52)</f>
        <v>2</v>
      </c>
      <c r="DN52" s="4">
        <f t="shared" si="21"/>
        <v>3</v>
      </c>
      <c r="DO52">
        <f t="shared" si="22"/>
        <v>5</v>
      </c>
      <c r="DR52" s="23"/>
      <c r="DS52" s="12"/>
    </row>
    <row r="53" spans="1:123" ht="14.25" x14ac:dyDescent="0.15">
      <c r="A53" s="2" t="s">
        <v>37</v>
      </c>
      <c r="B53" s="32" t="s">
        <v>76</v>
      </c>
      <c r="C53" s="15"/>
      <c r="D53" s="4"/>
      <c r="E53" s="4"/>
      <c r="G53" s="4"/>
      <c r="H53" s="4"/>
      <c r="I53" s="4"/>
      <c r="J53" s="4"/>
      <c r="L53" s="4"/>
      <c r="M53" s="4"/>
      <c r="N53" s="4"/>
      <c r="O53" s="4"/>
      <c r="P53" s="87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>
        <v>1</v>
      </c>
      <c r="AC53" s="21"/>
      <c r="AD53" s="88">
        <f t="shared" si="18"/>
        <v>1</v>
      </c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>
        <v>1</v>
      </c>
      <c r="AQ53" s="13"/>
      <c r="AR53" s="89">
        <f t="shared" si="19"/>
        <v>1</v>
      </c>
      <c r="AS53" s="54"/>
      <c r="AT53" s="54"/>
      <c r="AU53" s="54"/>
      <c r="AV53" s="54"/>
      <c r="AW53" s="54"/>
      <c r="AX53" s="56"/>
      <c r="AY53" s="54"/>
      <c r="AZ53" s="54"/>
      <c r="BA53" s="54"/>
      <c r="BB53" s="54"/>
      <c r="BC53" s="54"/>
      <c r="BD53" s="54">
        <v>1</v>
      </c>
      <c r="BE53" s="54"/>
      <c r="BF53" s="90">
        <f t="shared" si="20"/>
        <v>1</v>
      </c>
      <c r="BG53" s="64"/>
      <c r="BH53" s="64"/>
      <c r="BI53" s="64"/>
      <c r="BJ53" s="64"/>
      <c r="BK53" s="64"/>
      <c r="BL53" s="66"/>
      <c r="BM53" s="64"/>
      <c r="BN53" s="64"/>
      <c r="BO53" s="64"/>
      <c r="BP53" s="64"/>
      <c r="BQ53" s="64"/>
      <c r="BR53" s="64">
        <v>1</v>
      </c>
      <c r="BS53" s="64"/>
      <c r="BT53" s="91">
        <f>COUNTA(BG53:BS53)</f>
        <v>1</v>
      </c>
      <c r="BU53">
        <f t="shared" si="23"/>
        <v>4</v>
      </c>
      <c r="BW53" s="2" t="s">
        <v>37</v>
      </c>
      <c r="BX53" s="38"/>
      <c r="BY53" s="38"/>
      <c r="BZ53" s="38"/>
      <c r="CA53" s="38"/>
      <c r="CB53" s="38"/>
      <c r="CC53" s="38"/>
      <c r="CD53" s="35"/>
      <c r="CE53" s="35"/>
      <c r="CF53" s="35"/>
      <c r="CG53" s="35"/>
      <c r="CH53" s="35"/>
      <c r="CI53" s="83"/>
      <c r="CO53"/>
      <c r="CP53" s="54"/>
      <c r="CQ53" s="54"/>
      <c r="CR53" s="54"/>
      <c r="CS53" s="54"/>
      <c r="CT53" s="54"/>
      <c r="CU53" s="54"/>
      <c r="CV53" s="64"/>
      <c r="CW53" s="64"/>
      <c r="CX53" s="64"/>
      <c r="CY53" s="64"/>
      <c r="CZ53" s="64"/>
      <c r="DA53" s="64"/>
      <c r="DB53" s="69"/>
      <c r="DC53" s="69"/>
      <c r="DD53" s="69"/>
      <c r="DE53" s="69"/>
      <c r="DF53" s="69"/>
      <c r="DG53" s="69"/>
      <c r="DH53" s="72"/>
      <c r="DI53" s="72"/>
      <c r="DJ53" s="72"/>
      <c r="DK53" s="72"/>
      <c r="DL53" s="72"/>
      <c r="DM53" s="72"/>
      <c r="DN53" s="4">
        <f t="shared" si="21"/>
        <v>0</v>
      </c>
      <c r="DO53">
        <f t="shared" si="22"/>
        <v>4</v>
      </c>
      <c r="DR53" s="21"/>
      <c r="DS53" s="13"/>
    </row>
    <row r="54" spans="1:123" ht="14.25" x14ac:dyDescent="0.15">
      <c r="A54" s="2" t="s">
        <v>23</v>
      </c>
      <c r="B54" s="15" t="s">
        <v>84</v>
      </c>
      <c r="C54" s="15"/>
      <c r="D54" s="4"/>
      <c r="E54" s="4"/>
      <c r="G54" s="4"/>
      <c r="H54" s="4"/>
      <c r="I54" s="4"/>
      <c r="J54" s="4"/>
      <c r="L54" s="4"/>
      <c r="M54" s="4"/>
      <c r="N54" s="4"/>
      <c r="O54" s="4"/>
      <c r="P54" s="87"/>
      <c r="Q54" s="21">
        <v>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88">
        <f t="shared" si="18"/>
        <v>1</v>
      </c>
      <c r="AE54" s="13">
        <v>1</v>
      </c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89">
        <f t="shared" si="19"/>
        <v>1</v>
      </c>
      <c r="AS54" s="54">
        <v>1</v>
      </c>
      <c r="AT54" s="54">
        <v>1</v>
      </c>
      <c r="AU54" s="54"/>
      <c r="AV54" s="54"/>
      <c r="AW54" s="54"/>
      <c r="AX54" s="56"/>
      <c r="AY54" s="54"/>
      <c r="AZ54" s="54"/>
      <c r="BA54" s="54"/>
      <c r="BB54" s="54"/>
      <c r="BC54" s="54"/>
      <c r="BD54" s="54"/>
      <c r="BE54" s="54"/>
      <c r="BF54" s="90">
        <f t="shared" si="20"/>
        <v>2</v>
      </c>
      <c r="BG54" s="64"/>
      <c r="BH54" s="64"/>
      <c r="BI54" s="64"/>
      <c r="BJ54" s="64"/>
      <c r="BK54" s="64"/>
      <c r="BL54" s="66"/>
      <c r="BM54" s="64"/>
      <c r="BN54" s="64"/>
      <c r="BO54" s="64"/>
      <c r="BP54" s="64"/>
      <c r="BQ54" s="64"/>
      <c r="BR54" s="64"/>
      <c r="BS54" s="64"/>
      <c r="BT54" s="91"/>
      <c r="BU54">
        <f t="shared" si="23"/>
        <v>4</v>
      </c>
      <c r="BW54" s="2" t="s">
        <v>23</v>
      </c>
      <c r="BX54" s="38"/>
      <c r="BY54" s="38"/>
      <c r="BZ54" s="38"/>
      <c r="CA54" s="38"/>
      <c r="CB54" s="38"/>
      <c r="CC54" s="38"/>
      <c r="CD54" s="35"/>
      <c r="CE54" s="35"/>
      <c r="CF54" s="35"/>
      <c r="CG54" s="35"/>
      <c r="CH54" s="35"/>
      <c r="CI54" s="83"/>
      <c r="CO54"/>
      <c r="CP54" s="54"/>
      <c r="CQ54" s="54"/>
      <c r="CR54" s="54"/>
      <c r="CS54" s="54"/>
      <c r="CT54" s="54"/>
      <c r="CU54" s="54"/>
      <c r="CV54" s="64"/>
      <c r="CW54" s="64"/>
      <c r="CX54" s="64"/>
      <c r="CY54" s="64"/>
      <c r="CZ54" s="64"/>
      <c r="DA54" s="64"/>
      <c r="DB54" s="69"/>
      <c r="DC54" s="69"/>
      <c r="DD54" s="69"/>
      <c r="DE54" s="69"/>
      <c r="DF54" s="69"/>
      <c r="DG54" s="69"/>
      <c r="DH54" s="72"/>
      <c r="DI54" s="72"/>
      <c r="DJ54" s="72"/>
      <c r="DK54" s="72"/>
      <c r="DL54" s="72"/>
      <c r="DM54" s="72"/>
      <c r="DN54" s="4">
        <f t="shared" si="21"/>
        <v>0</v>
      </c>
      <c r="DO54">
        <f t="shared" si="22"/>
        <v>4</v>
      </c>
      <c r="DR54" s="21"/>
      <c r="DS54" s="13"/>
    </row>
    <row r="55" spans="1:123" ht="14.25" x14ac:dyDescent="0.15">
      <c r="A55" s="7" t="s">
        <v>61</v>
      </c>
      <c r="B55" s="19" t="s">
        <v>80</v>
      </c>
      <c r="C55" s="20"/>
      <c r="D55" s="4"/>
      <c r="E55" s="4"/>
      <c r="G55" s="4"/>
      <c r="H55" s="4"/>
      <c r="I55" s="4"/>
      <c r="J55" s="4"/>
      <c r="L55" s="4"/>
      <c r="M55" s="4"/>
      <c r="N55" s="4"/>
      <c r="O55" s="4"/>
      <c r="P55" s="87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88">
        <f t="shared" si="18"/>
        <v>0</v>
      </c>
      <c r="AE55" s="13">
        <v>1</v>
      </c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89">
        <f t="shared" si="19"/>
        <v>1</v>
      </c>
      <c r="AS55" s="54"/>
      <c r="AT55" s="54"/>
      <c r="AU55" s="54">
        <v>1</v>
      </c>
      <c r="AV55" s="54"/>
      <c r="AW55" s="54"/>
      <c r="AX55" s="56"/>
      <c r="AY55" s="54"/>
      <c r="AZ55" s="54"/>
      <c r="BA55" s="54"/>
      <c r="BB55" s="54"/>
      <c r="BC55" s="54"/>
      <c r="BD55" s="54"/>
      <c r="BE55" s="54"/>
      <c r="BF55" s="90">
        <f t="shared" si="20"/>
        <v>1</v>
      </c>
      <c r="BG55" s="64">
        <v>1</v>
      </c>
      <c r="BH55" s="64"/>
      <c r="BI55" s="64">
        <v>1</v>
      </c>
      <c r="BJ55" s="64"/>
      <c r="BK55" s="64"/>
      <c r="BL55" s="66"/>
      <c r="BM55" s="64"/>
      <c r="BN55" s="64"/>
      <c r="BO55" s="64"/>
      <c r="BP55" s="64"/>
      <c r="BQ55" s="64"/>
      <c r="BR55" s="64"/>
      <c r="BS55" s="64"/>
      <c r="BT55" s="91">
        <f>COUNTA(BG55:BS55)</f>
        <v>2</v>
      </c>
      <c r="BU55">
        <f t="shared" si="23"/>
        <v>4</v>
      </c>
      <c r="BV55" s="4"/>
      <c r="BW55" s="7" t="s">
        <v>61</v>
      </c>
      <c r="BX55" s="38"/>
      <c r="BY55" s="38"/>
      <c r="BZ55" s="38"/>
      <c r="CA55" s="38"/>
      <c r="CB55" s="38"/>
      <c r="CC55" s="38"/>
      <c r="CD55" s="35"/>
      <c r="CE55" s="35"/>
      <c r="CF55" s="35"/>
      <c r="CG55" s="35"/>
      <c r="CH55" s="35"/>
      <c r="CI55" s="83"/>
      <c r="CO55"/>
      <c r="CP55" s="54"/>
      <c r="CQ55" s="54"/>
      <c r="CR55" s="54"/>
      <c r="CS55" s="54"/>
      <c r="CT55" s="54"/>
      <c r="CU55" s="54"/>
      <c r="CV55" s="64"/>
      <c r="CW55" s="64"/>
      <c r="CX55" s="64"/>
      <c r="CY55" s="64"/>
      <c r="CZ55" s="64"/>
      <c r="DA55" s="64"/>
      <c r="DB55" s="69"/>
      <c r="DC55" s="69"/>
      <c r="DD55" s="69"/>
      <c r="DE55" s="69"/>
      <c r="DF55" s="69"/>
      <c r="DG55" s="69"/>
      <c r="DH55" s="72"/>
      <c r="DI55" s="72"/>
      <c r="DJ55" s="72"/>
      <c r="DK55" s="72"/>
      <c r="DL55" s="72"/>
      <c r="DM55" s="72"/>
      <c r="DN55" s="4">
        <f t="shared" si="21"/>
        <v>0</v>
      </c>
      <c r="DO55">
        <f t="shared" si="22"/>
        <v>4</v>
      </c>
      <c r="DR55" s="21"/>
      <c r="DS55" s="13"/>
    </row>
    <row r="56" spans="1:123" ht="14.25" x14ac:dyDescent="0.15">
      <c r="A56" s="5" t="s">
        <v>42</v>
      </c>
      <c r="B56" s="19" t="s">
        <v>80</v>
      </c>
      <c r="C56" s="20"/>
      <c r="D56" s="4"/>
      <c r="E56" s="4"/>
      <c r="G56" s="4"/>
      <c r="H56" s="4"/>
      <c r="I56" s="4"/>
      <c r="J56" s="4"/>
      <c r="L56" s="4"/>
      <c r="M56" s="4"/>
      <c r="N56" s="4"/>
      <c r="O56" s="4"/>
      <c r="P56" s="87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88">
        <f t="shared" si="18"/>
        <v>0</v>
      </c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89">
        <f t="shared" si="19"/>
        <v>0</v>
      </c>
      <c r="AS56" s="54"/>
      <c r="AT56" s="54"/>
      <c r="AU56" s="54">
        <v>1</v>
      </c>
      <c r="AV56" s="54"/>
      <c r="AW56" s="54"/>
      <c r="AX56" s="56"/>
      <c r="AY56" s="54">
        <v>1</v>
      </c>
      <c r="AZ56" s="54"/>
      <c r="BA56" s="54"/>
      <c r="BB56" s="54"/>
      <c r="BC56" s="54"/>
      <c r="BD56" s="54"/>
      <c r="BE56" s="54"/>
      <c r="BF56" s="90">
        <f t="shared" si="20"/>
        <v>2</v>
      </c>
      <c r="BG56" s="64"/>
      <c r="BH56" s="64"/>
      <c r="BI56" s="64">
        <v>1</v>
      </c>
      <c r="BJ56" s="64"/>
      <c r="BK56" s="64"/>
      <c r="BL56" s="66"/>
      <c r="BM56" s="64"/>
      <c r="BN56" s="64"/>
      <c r="BO56" s="64"/>
      <c r="BP56" s="64"/>
      <c r="BQ56" s="64"/>
      <c r="BR56" s="64"/>
      <c r="BS56" s="64">
        <v>1</v>
      </c>
      <c r="BT56" s="91">
        <f>COUNTA(BG56:BS56)</f>
        <v>2</v>
      </c>
      <c r="BU56">
        <f t="shared" si="23"/>
        <v>4</v>
      </c>
      <c r="BV56" s="4"/>
      <c r="BW56" s="5" t="s">
        <v>42</v>
      </c>
      <c r="BX56" s="38"/>
      <c r="BY56" s="38"/>
      <c r="BZ56" s="38"/>
      <c r="CA56" s="38"/>
      <c r="CB56" s="38"/>
      <c r="CC56" s="38"/>
      <c r="CD56" s="35"/>
      <c r="CE56" s="35"/>
      <c r="CF56" s="35"/>
      <c r="CG56" s="35"/>
      <c r="CH56" s="35"/>
      <c r="CI56" s="83"/>
      <c r="CO56"/>
      <c r="CP56" s="54"/>
      <c r="CQ56" s="54"/>
      <c r="CR56" s="54"/>
      <c r="CS56" s="54"/>
      <c r="CT56" s="54"/>
      <c r="CU56" s="54"/>
      <c r="CV56" s="64"/>
      <c r="CW56" s="64"/>
      <c r="CX56" s="64"/>
      <c r="CY56" s="64"/>
      <c r="CZ56" s="64"/>
      <c r="DA56" s="64"/>
      <c r="DB56" s="69"/>
      <c r="DC56" s="69"/>
      <c r="DD56" s="69"/>
      <c r="DE56" s="69"/>
      <c r="DF56" s="69"/>
      <c r="DG56" s="69"/>
      <c r="DH56" s="72"/>
      <c r="DI56" s="72"/>
      <c r="DJ56" s="72"/>
      <c r="DK56" s="72"/>
      <c r="DL56" s="72"/>
      <c r="DM56" s="72"/>
      <c r="DN56" s="4">
        <f t="shared" si="21"/>
        <v>0</v>
      </c>
      <c r="DO56">
        <f t="shared" si="22"/>
        <v>4</v>
      </c>
      <c r="DR56" s="21"/>
      <c r="DS56" s="13"/>
    </row>
    <row r="57" spans="1:123" ht="14.25" x14ac:dyDescent="0.15">
      <c r="A57" s="2" t="s">
        <v>33</v>
      </c>
      <c r="B57" s="32" t="s">
        <v>76</v>
      </c>
      <c r="C57" s="15"/>
      <c r="D57" s="4"/>
      <c r="E57" s="4"/>
      <c r="G57" s="4"/>
      <c r="H57" s="4"/>
      <c r="I57" s="4"/>
      <c r="J57" s="4"/>
      <c r="L57" s="4"/>
      <c r="M57" s="4"/>
      <c r="N57" s="4"/>
      <c r="O57" s="4"/>
      <c r="P57" s="87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88">
        <f t="shared" si="18"/>
        <v>0</v>
      </c>
      <c r="AE57" s="13"/>
      <c r="AF57" s="13"/>
      <c r="AG57" s="13"/>
      <c r="AH57" s="13"/>
      <c r="AI57" s="13"/>
      <c r="AJ57" s="13"/>
      <c r="AK57" s="13"/>
      <c r="AL57" s="13"/>
      <c r="AM57" s="13">
        <v>1</v>
      </c>
      <c r="AN57" s="13"/>
      <c r="AO57" s="13"/>
      <c r="AP57" s="13"/>
      <c r="AQ57" s="13"/>
      <c r="AR57" s="89">
        <f t="shared" si="19"/>
        <v>1</v>
      </c>
      <c r="AS57" s="54"/>
      <c r="AT57" s="54"/>
      <c r="AU57" s="54"/>
      <c r="AV57" s="54"/>
      <c r="AW57" s="54"/>
      <c r="AX57" s="56"/>
      <c r="AY57" s="54"/>
      <c r="AZ57" s="54"/>
      <c r="BA57" s="54">
        <v>1</v>
      </c>
      <c r="BB57" s="54"/>
      <c r="BC57" s="54"/>
      <c r="BD57" s="54"/>
      <c r="BE57" s="54"/>
      <c r="BF57" s="90">
        <f t="shared" si="20"/>
        <v>1</v>
      </c>
      <c r="BG57" s="64"/>
      <c r="BH57" s="64"/>
      <c r="BI57" s="64"/>
      <c r="BJ57" s="64"/>
      <c r="BK57" s="64"/>
      <c r="BL57" s="66"/>
      <c r="BM57" s="64"/>
      <c r="BN57" s="64"/>
      <c r="BO57" s="64">
        <v>1</v>
      </c>
      <c r="BP57" s="64"/>
      <c r="BQ57" s="64"/>
      <c r="BR57" s="64"/>
      <c r="BS57" s="64"/>
      <c r="BT57" s="91">
        <f>COUNTA(BG57:BS57)</f>
        <v>1</v>
      </c>
      <c r="BU57">
        <f t="shared" si="23"/>
        <v>3</v>
      </c>
      <c r="BW57" s="2" t="s">
        <v>33</v>
      </c>
      <c r="BX57" s="38"/>
      <c r="BY57" s="38"/>
      <c r="BZ57" s="38"/>
      <c r="CA57" s="38"/>
      <c r="CB57" s="38"/>
      <c r="CC57" s="38"/>
      <c r="CD57" s="35"/>
      <c r="CE57" s="35"/>
      <c r="CF57" s="35"/>
      <c r="CG57" s="35"/>
      <c r="CH57" s="35"/>
      <c r="CI57" s="83"/>
      <c r="CO57"/>
      <c r="CP57" s="54"/>
      <c r="CQ57" s="54"/>
      <c r="CR57" s="54"/>
      <c r="CS57" s="54"/>
      <c r="CT57" s="54"/>
      <c r="CU57" s="54"/>
      <c r="CV57" s="64"/>
      <c r="CW57" s="64"/>
      <c r="CX57" s="64"/>
      <c r="CY57" s="64"/>
      <c r="CZ57" s="64"/>
      <c r="DA57" s="64"/>
      <c r="DB57" s="69"/>
      <c r="DC57" s="69"/>
      <c r="DD57" s="69"/>
      <c r="DE57" s="69"/>
      <c r="DF57" s="69"/>
      <c r="DG57" s="69"/>
      <c r="DH57" s="72"/>
      <c r="DI57" s="72"/>
      <c r="DJ57" s="72"/>
      <c r="DK57" s="72"/>
      <c r="DL57" s="72"/>
      <c r="DM57" s="72"/>
      <c r="DN57" s="4">
        <f t="shared" si="21"/>
        <v>0</v>
      </c>
      <c r="DO57">
        <f t="shared" si="22"/>
        <v>3</v>
      </c>
      <c r="DR57" s="21"/>
      <c r="DS57" s="13">
        <v>1</v>
      </c>
    </row>
    <row r="58" spans="1:123" ht="14.25" x14ac:dyDescent="0.15">
      <c r="A58" s="2" t="s">
        <v>44</v>
      </c>
      <c r="B58" s="15" t="s">
        <v>80</v>
      </c>
      <c r="C58" s="15"/>
      <c r="D58" s="4"/>
      <c r="E58" s="4"/>
      <c r="G58" s="4"/>
      <c r="H58" s="4"/>
      <c r="I58" s="4"/>
      <c r="J58" s="4"/>
      <c r="L58" s="4"/>
      <c r="M58" s="4"/>
      <c r="N58" s="4"/>
      <c r="O58" s="4"/>
      <c r="P58" s="87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88">
        <f t="shared" si="18"/>
        <v>0</v>
      </c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89">
        <f t="shared" si="19"/>
        <v>0</v>
      </c>
      <c r="AS58" s="54"/>
      <c r="AT58" s="54"/>
      <c r="AU58" s="54"/>
      <c r="AV58" s="54"/>
      <c r="AW58" s="54"/>
      <c r="AX58" s="56"/>
      <c r="AY58" s="54"/>
      <c r="AZ58" s="54"/>
      <c r="BA58" s="54"/>
      <c r="BB58" s="54"/>
      <c r="BC58" s="54"/>
      <c r="BD58" s="54"/>
      <c r="BE58" s="54"/>
      <c r="BF58" s="90">
        <f t="shared" si="20"/>
        <v>0</v>
      </c>
      <c r="BG58" s="64"/>
      <c r="BH58" s="64"/>
      <c r="BI58" s="64"/>
      <c r="BJ58" s="64">
        <v>1</v>
      </c>
      <c r="BK58" s="64"/>
      <c r="BL58" s="66">
        <v>1</v>
      </c>
      <c r="BM58" s="64">
        <v>2</v>
      </c>
      <c r="BN58" s="64"/>
      <c r="BO58" s="64"/>
      <c r="BP58" s="64"/>
      <c r="BQ58" s="64"/>
      <c r="BR58" s="64"/>
      <c r="BS58" s="64"/>
      <c r="BT58" s="91">
        <f>COUNTA(BG58:BS58)</f>
        <v>3</v>
      </c>
      <c r="BU58">
        <f t="shared" si="23"/>
        <v>3</v>
      </c>
      <c r="BW58" s="2" t="s">
        <v>44</v>
      </c>
      <c r="BX58" s="38"/>
      <c r="BY58" s="38"/>
      <c r="BZ58" s="38"/>
      <c r="CA58" s="38"/>
      <c r="CB58" s="38"/>
      <c r="CC58" s="38"/>
      <c r="CD58" s="35"/>
      <c r="CE58" s="35"/>
      <c r="CF58" s="35"/>
      <c r="CG58" s="35"/>
      <c r="CH58" s="35"/>
      <c r="CI58" s="83"/>
      <c r="CO58"/>
      <c r="CP58" s="54"/>
      <c r="CQ58" s="54"/>
      <c r="CR58" s="54"/>
      <c r="CS58" s="54"/>
      <c r="CT58" s="54"/>
      <c r="CU58" s="54"/>
      <c r="CV58" s="64"/>
      <c r="CW58" s="64"/>
      <c r="CX58" s="64"/>
      <c r="CY58" s="64"/>
      <c r="CZ58" s="64"/>
      <c r="DA58" s="64"/>
      <c r="DB58" s="69"/>
      <c r="DC58" s="69"/>
      <c r="DD58" s="69"/>
      <c r="DE58" s="69"/>
      <c r="DF58" s="69"/>
      <c r="DG58" s="69"/>
      <c r="DH58" s="72"/>
      <c r="DI58" s="72"/>
      <c r="DJ58" s="72"/>
      <c r="DK58" s="72"/>
      <c r="DL58" s="72"/>
      <c r="DM58" s="72"/>
      <c r="DN58" s="4">
        <f t="shared" si="21"/>
        <v>0</v>
      </c>
      <c r="DO58">
        <f t="shared" si="22"/>
        <v>3</v>
      </c>
      <c r="DR58" s="21"/>
      <c r="DS58" s="13"/>
    </row>
    <row r="59" spans="1:123" ht="14.25" x14ac:dyDescent="0.15">
      <c r="A59" s="3" t="s">
        <v>56</v>
      </c>
      <c r="B59" s="15" t="s">
        <v>80</v>
      </c>
      <c r="C59" s="17"/>
      <c r="D59" s="4"/>
      <c r="E59" s="4"/>
      <c r="G59" s="4"/>
      <c r="H59" s="4"/>
      <c r="I59" s="4"/>
      <c r="J59" s="4"/>
      <c r="L59" s="4"/>
      <c r="M59" s="4"/>
      <c r="N59" s="4"/>
      <c r="O59" s="4"/>
      <c r="P59" s="87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88">
        <f t="shared" si="18"/>
        <v>0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89">
        <f t="shared" si="19"/>
        <v>0</v>
      </c>
      <c r="AS59" s="54"/>
      <c r="AT59" s="54"/>
      <c r="AU59" s="54"/>
      <c r="AV59" s="54"/>
      <c r="AW59" s="54"/>
      <c r="AX59" s="56"/>
      <c r="AY59" s="54"/>
      <c r="AZ59" s="54"/>
      <c r="BA59" s="54"/>
      <c r="BB59" s="54"/>
      <c r="BC59" s="54"/>
      <c r="BD59" s="54"/>
      <c r="BE59" s="54"/>
      <c r="BF59" s="90">
        <f t="shared" si="20"/>
        <v>0</v>
      </c>
      <c r="BG59" s="64"/>
      <c r="BH59" s="64">
        <v>1</v>
      </c>
      <c r="BI59" s="64"/>
      <c r="BJ59" s="64"/>
      <c r="BK59" s="64">
        <v>1</v>
      </c>
      <c r="BL59" s="66"/>
      <c r="BM59" s="64"/>
      <c r="BN59" s="64"/>
      <c r="BO59" s="64"/>
      <c r="BP59" s="64">
        <v>1</v>
      </c>
      <c r="BQ59" s="64"/>
      <c r="BR59" s="64"/>
      <c r="BS59" s="64"/>
      <c r="BT59" s="91">
        <f>COUNTA(BG59:BS59)</f>
        <v>3</v>
      </c>
      <c r="BU59">
        <f t="shared" si="23"/>
        <v>3</v>
      </c>
      <c r="BW59" s="3" t="s">
        <v>56</v>
      </c>
      <c r="BX59" s="38"/>
      <c r="BY59" s="38"/>
      <c r="BZ59" s="38"/>
      <c r="CA59" s="38"/>
      <c r="CB59" s="38"/>
      <c r="CC59" s="38"/>
      <c r="CD59" s="35"/>
      <c r="CE59" s="35"/>
      <c r="CF59" s="35"/>
      <c r="CG59" s="35"/>
      <c r="CH59" s="35"/>
      <c r="CI59" s="83"/>
      <c r="CO59"/>
      <c r="CP59" s="54"/>
      <c r="CQ59" s="54"/>
      <c r="CR59" s="54"/>
      <c r="CS59" s="54"/>
      <c r="CT59" s="54"/>
      <c r="CU59" s="54"/>
      <c r="CV59" s="64"/>
      <c r="CW59" s="64"/>
      <c r="CX59" s="64"/>
      <c r="CY59" s="64"/>
      <c r="CZ59" s="64"/>
      <c r="DA59" s="64"/>
      <c r="DB59" s="69"/>
      <c r="DC59" s="69"/>
      <c r="DD59" s="69"/>
      <c r="DE59" s="69"/>
      <c r="DF59" s="69"/>
      <c r="DG59" s="69"/>
      <c r="DH59" s="72"/>
      <c r="DI59" s="72"/>
      <c r="DJ59" s="72"/>
      <c r="DK59" s="72"/>
      <c r="DL59" s="72"/>
      <c r="DM59" s="72"/>
      <c r="DN59" s="4">
        <f t="shared" si="21"/>
        <v>0</v>
      </c>
      <c r="DO59">
        <f t="shared" si="22"/>
        <v>3</v>
      </c>
      <c r="DR59" s="21"/>
      <c r="DS59" s="13"/>
    </row>
    <row r="60" spans="1:123" ht="14.25" x14ac:dyDescent="0.15">
      <c r="A60" s="39" t="s">
        <v>29</v>
      </c>
      <c r="B60" s="32" t="s">
        <v>77</v>
      </c>
      <c r="C60" s="15"/>
      <c r="D60" s="4"/>
      <c r="E60" s="4"/>
      <c r="G60" s="4"/>
      <c r="H60" s="4">
        <v>1</v>
      </c>
      <c r="I60" s="4"/>
      <c r="J60" s="4"/>
      <c r="L60" s="4"/>
      <c r="M60" s="4"/>
      <c r="N60" s="4"/>
      <c r="O60" s="4"/>
      <c r="P60" s="87">
        <f>COUNTA(C60:O60)</f>
        <v>1</v>
      </c>
      <c r="Q60" s="21"/>
      <c r="R60" s="21"/>
      <c r="S60" s="21"/>
      <c r="T60" s="21"/>
      <c r="U60" s="21"/>
      <c r="V60" s="21">
        <v>1</v>
      </c>
      <c r="W60" s="21"/>
      <c r="X60" s="21"/>
      <c r="Y60" s="21"/>
      <c r="Z60" s="21"/>
      <c r="AA60" s="21"/>
      <c r="AB60" s="21"/>
      <c r="AC60" s="21"/>
      <c r="AD60" s="88">
        <f t="shared" si="18"/>
        <v>1</v>
      </c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89">
        <f t="shared" si="19"/>
        <v>0</v>
      </c>
      <c r="AS60" s="54"/>
      <c r="AT60" s="54"/>
      <c r="AU60" s="54"/>
      <c r="AV60" s="54"/>
      <c r="AW60" s="54"/>
      <c r="AX60" s="56"/>
      <c r="AY60" s="54"/>
      <c r="AZ60" s="54"/>
      <c r="BA60" s="54"/>
      <c r="BB60" s="54"/>
      <c r="BC60" s="54"/>
      <c r="BD60" s="54"/>
      <c r="BE60" s="54"/>
      <c r="BF60" s="90">
        <f t="shared" si="20"/>
        <v>0</v>
      </c>
      <c r="BG60" s="64"/>
      <c r="BH60" s="64"/>
      <c r="BI60" s="64"/>
      <c r="BJ60" s="64"/>
      <c r="BK60" s="64"/>
      <c r="BL60" s="66"/>
      <c r="BM60" s="64"/>
      <c r="BN60" s="64"/>
      <c r="BO60" s="64"/>
      <c r="BP60" s="64"/>
      <c r="BQ60" s="64"/>
      <c r="BR60" s="64"/>
      <c r="BS60" s="64"/>
      <c r="BT60" s="91"/>
      <c r="BU60">
        <f t="shared" si="23"/>
        <v>2</v>
      </c>
      <c r="BW60" s="39" t="s">
        <v>29</v>
      </c>
      <c r="BX60" s="38"/>
      <c r="BY60" s="38"/>
      <c r="BZ60" s="38"/>
      <c r="CA60" s="38"/>
      <c r="CB60" s="38"/>
      <c r="CC60" s="38"/>
      <c r="CD60" s="35"/>
      <c r="CE60" s="35"/>
      <c r="CF60" s="35"/>
      <c r="CG60" s="35"/>
      <c r="CH60" s="35"/>
      <c r="CI60" s="83"/>
      <c r="CO60"/>
      <c r="CP60" s="54"/>
      <c r="CQ60" s="54"/>
      <c r="CR60" s="54"/>
      <c r="CS60" s="54"/>
      <c r="CT60" s="54"/>
      <c r="CU60" s="54"/>
      <c r="CV60" s="64"/>
      <c r="CW60" s="64"/>
      <c r="CX60" s="64"/>
      <c r="CY60" s="64"/>
      <c r="CZ60" s="64"/>
      <c r="DA60" s="64"/>
      <c r="DB60" s="69"/>
      <c r="DC60" s="69"/>
      <c r="DD60" s="69"/>
      <c r="DE60" s="69"/>
      <c r="DF60" s="69"/>
      <c r="DG60" s="69"/>
      <c r="DH60" s="72"/>
      <c r="DI60" s="72"/>
      <c r="DJ60" s="72"/>
      <c r="DK60" s="72"/>
      <c r="DL60" s="72"/>
      <c r="DM60" s="72"/>
      <c r="DN60" s="4">
        <f t="shared" si="21"/>
        <v>0</v>
      </c>
      <c r="DO60">
        <f t="shared" si="22"/>
        <v>2</v>
      </c>
      <c r="DR60" s="21"/>
      <c r="DS60" s="13"/>
    </row>
    <row r="61" spans="1:123" s="4" customFormat="1" ht="14.25" x14ac:dyDescent="0.15">
      <c r="A61" s="2" t="s">
        <v>57</v>
      </c>
      <c r="B61" s="15" t="s">
        <v>80</v>
      </c>
      <c r="C61" s="17"/>
      <c r="P61" s="87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88">
        <f t="shared" si="18"/>
        <v>0</v>
      </c>
      <c r="AE61" s="13"/>
      <c r="AF61" s="13">
        <v>1</v>
      </c>
      <c r="AG61" s="13"/>
      <c r="AH61" s="13"/>
      <c r="AI61" s="13"/>
      <c r="AJ61" s="13"/>
      <c r="AK61" s="13"/>
      <c r="AL61" s="13"/>
      <c r="AM61" s="13"/>
      <c r="AN61" s="13"/>
      <c r="AO61" s="13">
        <v>1</v>
      </c>
      <c r="AP61" s="13"/>
      <c r="AQ61" s="13"/>
      <c r="AR61" s="89">
        <f t="shared" si="19"/>
        <v>2</v>
      </c>
      <c r="AS61" s="54"/>
      <c r="AT61" s="54"/>
      <c r="AU61" s="54"/>
      <c r="AV61" s="54"/>
      <c r="AW61" s="54"/>
      <c r="AX61" s="56"/>
      <c r="AY61" s="54"/>
      <c r="AZ61" s="54"/>
      <c r="BA61" s="54"/>
      <c r="BB61" s="54"/>
      <c r="BC61" s="54"/>
      <c r="BD61" s="54"/>
      <c r="BE61" s="54"/>
      <c r="BF61" s="90">
        <f t="shared" si="20"/>
        <v>0</v>
      </c>
      <c r="BG61" s="64"/>
      <c r="BH61" s="64"/>
      <c r="BI61" s="64"/>
      <c r="BJ61" s="64"/>
      <c r="BK61" s="64"/>
      <c r="BL61" s="66"/>
      <c r="BM61" s="64"/>
      <c r="BN61" s="64"/>
      <c r="BO61" s="64"/>
      <c r="BP61" s="64"/>
      <c r="BQ61" s="64"/>
      <c r="BR61" s="64"/>
      <c r="BS61" s="64"/>
      <c r="BT61" s="91"/>
      <c r="BU61">
        <f t="shared" si="23"/>
        <v>2</v>
      </c>
      <c r="BV61"/>
      <c r="BW61" s="2" t="s">
        <v>57</v>
      </c>
      <c r="BX61" s="38"/>
      <c r="BY61" s="38"/>
      <c r="BZ61" s="38"/>
      <c r="CA61" s="38"/>
      <c r="CB61" s="38"/>
      <c r="CC61" s="38"/>
      <c r="CD61" s="35"/>
      <c r="CE61" s="35"/>
      <c r="CF61" s="35"/>
      <c r="CG61" s="35"/>
      <c r="CH61" s="35"/>
      <c r="CI61" s="83"/>
      <c r="CO61"/>
      <c r="CP61" s="54"/>
      <c r="CQ61" s="54"/>
      <c r="CR61" s="54"/>
      <c r="CS61" s="54"/>
      <c r="CT61" s="54"/>
      <c r="CU61" s="54"/>
      <c r="CV61" s="64"/>
      <c r="CW61" s="64"/>
      <c r="CX61" s="64"/>
      <c r="CY61" s="64"/>
      <c r="CZ61" s="64"/>
      <c r="DA61" s="64"/>
      <c r="DB61" s="69"/>
      <c r="DC61" s="69"/>
      <c r="DD61" s="69"/>
      <c r="DE61" s="69"/>
      <c r="DF61" s="69"/>
      <c r="DG61" s="69"/>
      <c r="DH61" s="72"/>
      <c r="DI61" s="72"/>
      <c r="DJ61" s="72"/>
      <c r="DK61" s="72"/>
      <c r="DL61" s="72"/>
      <c r="DM61" s="72"/>
      <c r="DN61" s="4">
        <f t="shared" si="21"/>
        <v>0</v>
      </c>
      <c r="DO61">
        <f t="shared" si="22"/>
        <v>2</v>
      </c>
      <c r="DP61"/>
      <c r="DQ61"/>
      <c r="DR61" s="21"/>
      <c r="DS61" s="13"/>
    </row>
    <row r="62" spans="1:123" s="4" customFormat="1" ht="14.25" x14ac:dyDescent="0.15">
      <c r="A62" s="5" t="s">
        <v>106</v>
      </c>
      <c r="B62" s="19"/>
      <c r="C62" s="20"/>
      <c r="P62" s="87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88">
        <f t="shared" si="18"/>
        <v>0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>
        <v>1</v>
      </c>
      <c r="AP62" s="13"/>
      <c r="AQ62" s="13"/>
      <c r="AR62" s="89">
        <f t="shared" si="19"/>
        <v>1</v>
      </c>
      <c r="AS62" s="54"/>
      <c r="AT62" s="54"/>
      <c r="AU62" s="54"/>
      <c r="AV62" s="54"/>
      <c r="AW62" s="54"/>
      <c r="AX62" s="56"/>
      <c r="AY62" s="54"/>
      <c r="AZ62" s="54"/>
      <c r="BA62" s="54"/>
      <c r="BB62" s="54"/>
      <c r="BC62" s="54">
        <v>1</v>
      </c>
      <c r="BD62" s="54"/>
      <c r="BE62" s="54"/>
      <c r="BF62" s="90">
        <f t="shared" si="20"/>
        <v>1</v>
      </c>
      <c r="BG62" s="64"/>
      <c r="BH62" s="64"/>
      <c r="BI62" s="64"/>
      <c r="BJ62" s="64"/>
      <c r="BK62" s="64"/>
      <c r="BL62" s="66"/>
      <c r="BM62" s="64"/>
      <c r="BN62" s="64"/>
      <c r="BO62" s="64"/>
      <c r="BP62" s="64"/>
      <c r="BQ62" s="64"/>
      <c r="BR62" s="64"/>
      <c r="BS62" s="64"/>
      <c r="BT62" s="91"/>
      <c r="BU62">
        <f t="shared" si="23"/>
        <v>2</v>
      </c>
      <c r="BW62" s="5" t="s">
        <v>106</v>
      </c>
      <c r="BX62" s="38"/>
      <c r="BY62" s="38"/>
      <c r="BZ62" s="38"/>
      <c r="CA62" s="38"/>
      <c r="CB62" s="38"/>
      <c r="CC62" s="38"/>
      <c r="CD62" s="35"/>
      <c r="CE62" s="35"/>
      <c r="CF62" s="35"/>
      <c r="CG62" s="35"/>
      <c r="CH62" s="35"/>
      <c r="CI62" s="83"/>
      <c r="CO62"/>
      <c r="CP62" s="54"/>
      <c r="CQ62" s="54"/>
      <c r="CR62" s="54"/>
      <c r="CS62" s="54"/>
      <c r="CT62" s="54"/>
      <c r="CU62" s="54"/>
      <c r="CV62" s="64"/>
      <c r="CW62" s="64"/>
      <c r="CX62" s="64"/>
      <c r="CY62" s="64"/>
      <c r="CZ62" s="64"/>
      <c r="DA62" s="64"/>
      <c r="DB62" s="69"/>
      <c r="DC62" s="69"/>
      <c r="DD62" s="69"/>
      <c r="DE62" s="69"/>
      <c r="DF62" s="69"/>
      <c r="DG62" s="69"/>
      <c r="DH62" s="72"/>
      <c r="DI62" s="72"/>
      <c r="DJ62" s="72"/>
      <c r="DK62" s="72"/>
      <c r="DL62" s="72"/>
      <c r="DM62" s="72"/>
      <c r="DN62" s="4">
        <f t="shared" si="21"/>
        <v>0</v>
      </c>
      <c r="DO62">
        <f t="shared" si="22"/>
        <v>2</v>
      </c>
      <c r="DP62"/>
      <c r="DQ62"/>
      <c r="DR62" s="21"/>
      <c r="DS62" s="13"/>
    </row>
    <row r="63" spans="1:123" ht="14.25" x14ac:dyDescent="0.15">
      <c r="A63" s="5" t="s">
        <v>96</v>
      </c>
      <c r="B63" s="19" t="s">
        <v>97</v>
      </c>
      <c r="C63" s="20"/>
      <c r="D63" s="4"/>
      <c r="E63" s="4"/>
      <c r="G63" s="4"/>
      <c r="H63" s="4"/>
      <c r="I63" s="4"/>
      <c r="J63" s="4"/>
      <c r="L63" s="4"/>
      <c r="M63" s="4"/>
      <c r="N63" s="4"/>
      <c r="O63" s="4"/>
      <c r="P63" s="87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88">
        <f t="shared" si="18"/>
        <v>0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89">
        <f t="shared" si="19"/>
        <v>0</v>
      </c>
      <c r="AS63" s="54"/>
      <c r="AT63" s="54"/>
      <c r="AU63" s="54"/>
      <c r="AV63" s="54"/>
      <c r="AW63" s="54"/>
      <c r="AX63" s="56">
        <v>1</v>
      </c>
      <c r="AY63" s="54"/>
      <c r="AZ63" s="54"/>
      <c r="BA63" s="54"/>
      <c r="BB63" s="54"/>
      <c r="BC63" s="54"/>
      <c r="BD63" s="54"/>
      <c r="BE63" s="54"/>
      <c r="BF63" s="90">
        <f t="shared" si="20"/>
        <v>1</v>
      </c>
      <c r="BG63" s="64"/>
      <c r="BH63" s="64"/>
      <c r="BI63" s="64"/>
      <c r="BJ63" s="64"/>
      <c r="BK63" s="64"/>
      <c r="BL63" s="66"/>
      <c r="BM63" s="64"/>
      <c r="BN63" s="64"/>
      <c r="BO63" s="64">
        <v>1</v>
      </c>
      <c r="BP63" s="64"/>
      <c r="BQ63" s="64"/>
      <c r="BR63" s="64"/>
      <c r="BS63" s="64"/>
      <c r="BT63" s="91">
        <f>COUNTA(BG63:BS63)</f>
        <v>1</v>
      </c>
      <c r="BU63">
        <f t="shared" si="23"/>
        <v>2</v>
      </c>
      <c r="BV63" s="4"/>
      <c r="BW63" s="5" t="s">
        <v>96</v>
      </c>
      <c r="BX63" s="38"/>
      <c r="BY63" s="38"/>
      <c r="BZ63" s="38"/>
      <c r="CA63" s="38"/>
      <c r="CB63" s="38"/>
      <c r="CC63" s="38"/>
      <c r="CD63" s="35"/>
      <c r="CE63" s="35"/>
      <c r="CF63" s="35"/>
      <c r="CG63" s="35"/>
      <c r="CH63" s="35"/>
      <c r="CI63" s="83"/>
      <c r="CO63"/>
      <c r="CP63" s="54"/>
      <c r="CQ63" s="54"/>
      <c r="CR63" s="54"/>
      <c r="CS63" s="54"/>
      <c r="CT63" s="54"/>
      <c r="CU63" s="54"/>
      <c r="CV63" s="64"/>
      <c r="CW63" s="64"/>
      <c r="CX63" s="64"/>
      <c r="CY63" s="64"/>
      <c r="CZ63" s="64"/>
      <c r="DA63" s="64"/>
      <c r="DB63" s="69"/>
      <c r="DC63" s="69"/>
      <c r="DD63" s="69"/>
      <c r="DE63" s="69"/>
      <c r="DF63" s="69"/>
      <c r="DG63" s="69"/>
      <c r="DH63" s="72"/>
      <c r="DI63" s="72"/>
      <c r="DJ63" s="72"/>
      <c r="DK63" s="72"/>
      <c r="DL63" s="72"/>
      <c r="DM63" s="72"/>
      <c r="DN63" s="4">
        <f t="shared" si="21"/>
        <v>0</v>
      </c>
      <c r="DO63">
        <f t="shared" si="22"/>
        <v>2</v>
      </c>
      <c r="DR63" s="21"/>
      <c r="DS63" s="13"/>
    </row>
    <row r="64" spans="1:123" ht="14.25" x14ac:dyDescent="0.15">
      <c r="A64" s="78" t="s">
        <v>134</v>
      </c>
      <c r="B64" s="32"/>
      <c r="C64" s="17"/>
      <c r="D64" s="4"/>
      <c r="E64" s="4"/>
      <c r="G64" s="4"/>
      <c r="H64" s="4"/>
      <c r="I64" s="4"/>
      <c r="J64" s="4"/>
      <c r="L64" s="4"/>
      <c r="M64" s="4"/>
      <c r="N64" s="4"/>
      <c r="O64" s="4"/>
      <c r="P64" s="87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88">
        <f t="shared" si="18"/>
        <v>0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89">
        <f t="shared" si="19"/>
        <v>0</v>
      </c>
      <c r="AS64" s="54"/>
      <c r="AT64" s="54"/>
      <c r="AU64" s="54"/>
      <c r="AV64" s="54"/>
      <c r="AW64" s="54"/>
      <c r="AX64" s="56"/>
      <c r="AY64" s="54"/>
      <c r="AZ64" s="54"/>
      <c r="BA64" s="54"/>
      <c r="BB64" s="54"/>
      <c r="BC64" s="54"/>
      <c r="BD64" s="54"/>
      <c r="BE64" s="54"/>
      <c r="BF64" s="90">
        <f t="shared" si="20"/>
        <v>0</v>
      </c>
      <c r="BG64" s="64"/>
      <c r="BH64" s="64"/>
      <c r="BI64" s="64"/>
      <c r="BJ64" s="64"/>
      <c r="BK64" s="64"/>
      <c r="BL64" s="66"/>
      <c r="BM64" s="64"/>
      <c r="BN64" s="64"/>
      <c r="BO64" s="64"/>
      <c r="BP64" s="64"/>
      <c r="BQ64" s="64">
        <v>1</v>
      </c>
      <c r="BR64" s="64"/>
      <c r="BS64" s="64"/>
      <c r="BT64" s="91">
        <f>COUNTA(BG64:BS64)</f>
        <v>1</v>
      </c>
      <c r="BU64">
        <f t="shared" si="23"/>
        <v>1</v>
      </c>
      <c r="BW64" s="78" t="s">
        <v>134</v>
      </c>
      <c r="BX64" s="38"/>
      <c r="BY64" s="38"/>
      <c r="BZ64" s="38"/>
      <c r="CA64" s="38"/>
      <c r="CB64" s="38"/>
      <c r="CC64" s="38"/>
      <c r="CD64" s="35"/>
      <c r="CE64" s="35"/>
      <c r="CF64" s="35"/>
      <c r="CG64" s="35"/>
      <c r="CH64" s="35"/>
      <c r="CI64" s="83"/>
      <c r="CO64"/>
      <c r="CP64" s="54"/>
      <c r="CQ64" s="54"/>
      <c r="CR64" s="54"/>
      <c r="CS64" s="54"/>
      <c r="CT64" s="54"/>
      <c r="CU64" s="54"/>
      <c r="CV64" s="64"/>
      <c r="CW64" s="64"/>
      <c r="CX64" s="64"/>
      <c r="CY64" s="64"/>
      <c r="CZ64" s="64"/>
      <c r="DA64" s="64"/>
      <c r="DB64" s="69"/>
      <c r="DC64" s="69"/>
      <c r="DD64" s="69"/>
      <c r="DE64" s="69"/>
      <c r="DF64" s="69"/>
      <c r="DG64" s="69"/>
      <c r="DH64" s="72"/>
      <c r="DI64" s="72"/>
      <c r="DJ64" s="72"/>
      <c r="DK64" s="72"/>
      <c r="DL64" s="72"/>
      <c r="DM64" s="72"/>
      <c r="DN64" s="4">
        <f t="shared" si="21"/>
        <v>0</v>
      </c>
      <c r="DO64">
        <f t="shared" si="22"/>
        <v>1</v>
      </c>
      <c r="DR64" s="21"/>
      <c r="DS64" s="13"/>
    </row>
    <row r="65" spans="1:123" ht="14.25" x14ac:dyDescent="0.15">
      <c r="A65" s="76" t="s">
        <v>133</v>
      </c>
      <c r="B65" s="32"/>
      <c r="C65" s="15"/>
      <c r="D65" s="4"/>
      <c r="E65" s="4"/>
      <c r="G65" s="4"/>
      <c r="H65" s="4"/>
      <c r="I65" s="4"/>
      <c r="J65" s="4"/>
      <c r="L65" s="4"/>
      <c r="M65" s="4"/>
      <c r="N65" s="4"/>
      <c r="O65" s="4"/>
      <c r="P65" s="87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88">
        <f t="shared" si="18"/>
        <v>0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89">
        <f t="shared" si="19"/>
        <v>0</v>
      </c>
      <c r="AS65" s="54"/>
      <c r="AT65" s="54"/>
      <c r="AU65" s="54"/>
      <c r="AV65" s="54"/>
      <c r="AW65" s="54"/>
      <c r="AX65" s="56"/>
      <c r="AY65" s="54"/>
      <c r="AZ65" s="54"/>
      <c r="BA65" s="54"/>
      <c r="BB65" s="54"/>
      <c r="BC65" s="54"/>
      <c r="BD65" s="54"/>
      <c r="BE65" s="54"/>
      <c r="BF65" s="90">
        <f t="shared" si="20"/>
        <v>0</v>
      </c>
      <c r="BG65" s="64"/>
      <c r="BH65" s="64"/>
      <c r="BI65" s="64"/>
      <c r="BJ65" s="64"/>
      <c r="BK65" s="64"/>
      <c r="BL65" s="66"/>
      <c r="BM65" s="64"/>
      <c r="BN65" s="64"/>
      <c r="BO65" s="64"/>
      <c r="BP65" s="64">
        <v>1</v>
      </c>
      <c r="BQ65" s="64"/>
      <c r="BR65" s="64"/>
      <c r="BS65" s="64"/>
      <c r="BT65" s="91">
        <f>COUNTA(BG65:BS65)</f>
        <v>1</v>
      </c>
      <c r="BU65">
        <f t="shared" si="23"/>
        <v>1</v>
      </c>
      <c r="BW65" s="76" t="s">
        <v>133</v>
      </c>
      <c r="BX65" s="38"/>
      <c r="BY65" s="38"/>
      <c r="BZ65" s="38"/>
      <c r="CA65" s="38"/>
      <c r="CB65" s="38"/>
      <c r="CC65" s="38"/>
      <c r="CD65" s="35"/>
      <c r="CE65" s="35"/>
      <c r="CF65" s="35"/>
      <c r="CG65" s="35"/>
      <c r="CH65" s="35"/>
      <c r="CI65" s="83"/>
      <c r="CO65"/>
      <c r="CP65" s="54"/>
      <c r="CQ65" s="54"/>
      <c r="CR65" s="54"/>
      <c r="CS65" s="54"/>
      <c r="CT65" s="54"/>
      <c r="CU65" s="54"/>
      <c r="CV65" s="64"/>
      <c r="CW65" s="64"/>
      <c r="CX65" s="64"/>
      <c r="CY65" s="64"/>
      <c r="CZ65" s="64"/>
      <c r="DA65" s="64"/>
      <c r="DB65" s="69"/>
      <c r="DC65" s="69"/>
      <c r="DD65" s="69"/>
      <c r="DE65" s="69"/>
      <c r="DF65" s="69"/>
      <c r="DG65" s="69"/>
      <c r="DH65" s="72"/>
      <c r="DI65" s="72"/>
      <c r="DJ65" s="72"/>
      <c r="DK65" s="72"/>
      <c r="DL65" s="72"/>
      <c r="DM65" s="72"/>
      <c r="DN65" s="4">
        <f t="shared" si="21"/>
        <v>0</v>
      </c>
      <c r="DO65">
        <f t="shared" si="22"/>
        <v>1</v>
      </c>
      <c r="DR65" s="21"/>
      <c r="DS65" s="13"/>
    </row>
    <row r="66" spans="1:123" ht="14.25" x14ac:dyDescent="0.15">
      <c r="A66" s="5" t="s">
        <v>70</v>
      </c>
      <c r="B66" s="32" t="s">
        <v>82</v>
      </c>
      <c r="C66" s="19"/>
      <c r="D66" s="4"/>
      <c r="E66" s="4"/>
      <c r="G66" s="4"/>
      <c r="H66" s="4"/>
      <c r="I66" s="4"/>
      <c r="J66" s="4"/>
      <c r="L66" s="4"/>
      <c r="M66" s="4"/>
      <c r="N66" s="4"/>
      <c r="O66" s="4"/>
      <c r="P66" s="87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88">
        <f t="shared" si="18"/>
        <v>0</v>
      </c>
      <c r="AE66" s="13"/>
      <c r="AF66" s="13"/>
      <c r="AG66" s="13"/>
      <c r="AH66" s="13"/>
      <c r="AI66" s="13"/>
      <c r="AJ66" s="13"/>
      <c r="AK66" s="13"/>
      <c r="AL66" s="13">
        <v>1</v>
      </c>
      <c r="AM66" s="13"/>
      <c r="AN66" s="13"/>
      <c r="AO66" s="13"/>
      <c r="AP66" s="13"/>
      <c r="AQ66" s="13"/>
      <c r="AR66" s="89">
        <f t="shared" si="19"/>
        <v>1</v>
      </c>
      <c r="AS66" s="54"/>
      <c r="AT66" s="54"/>
      <c r="AU66" s="54"/>
      <c r="AV66" s="54"/>
      <c r="AW66" s="54"/>
      <c r="AX66" s="56"/>
      <c r="AY66" s="54"/>
      <c r="AZ66" s="54"/>
      <c r="BA66" s="54"/>
      <c r="BB66" s="54"/>
      <c r="BC66" s="54"/>
      <c r="BD66" s="54"/>
      <c r="BE66" s="54"/>
      <c r="BF66" s="90">
        <f t="shared" si="20"/>
        <v>0</v>
      </c>
      <c r="BG66" s="64"/>
      <c r="BH66" s="64"/>
      <c r="BI66" s="64"/>
      <c r="BJ66" s="64"/>
      <c r="BK66" s="64"/>
      <c r="BL66" s="66"/>
      <c r="BM66" s="64"/>
      <c r="BN66" s="64"/>
      <c r="BO66" s="64"/>
      <c r="BP66" s="64"/>
      <c r="BQ66" s="64"/>
      <c r="BR66" s="64"/>
      <c r="BS66" s="64"/>
      <c r="BT66" s="91"/>
      <c r="BU66">
        <f t="shared" si="23"/>
        <v>1</v>
      </c>
      <c r="BV66" s="4"/>
      <c r="BW66" s="5" t="s">
        <v>70</v>
      </c>
      <c r="BX66" s="38"/>
      <c r="BY66" s="38"/>
      <c r="BZ66" s="38"/>
      <c r="CA66" s="38"/>
      <c r="CB66" s="38"/>
      <c r="CC66" s="38"/>
      <c r="CD66" s="35"/>
      <c r="CE66" s="35"/>
      <c r="CF66" s="35"/>
      <c r="CG66" s="35"/>
      <c r="CH66" s="35"/>
      <c r="CI66" s="83"/>
      <c r="CO66"/>
      <c r="CP66" s="54"/>
      <c r="CQ66" s="54"/>
      <c r="CR66" s="54"/>
      <c r="CS66" s="54"/>
      <c r="CT66" s="54"/>
      <c r="CU66" s="54"/>
      <c r="CV66" s="64"/>
      <c r="CW66" s="64"/>
      <c r="CX66" s="64"/>
      <c r="CY66" s="64"/>
      <c r="CZ66" s="64"/>
      <c r="DA66" s="64"/>
      <c r="DB66" s="69"/>
      <c r="DC66" s="69"/>
      <c r="DD66" s="69"/>
      <c r="DE66" s="69"/>
      <c r="DF66" s="69"/>
      <c r="DG66" s="69"/>
      <c r="DH66" s="72"/>
      <c r="DI66" s="72"/>
      <c r="DJ66" s="72"/>
      <c r="DK66" s="72"/>
      <c r="DL66" s="72"/>
      <c r="DM66" s="72"/>
      <c r="DN66" s="4">
        <f t="shared" si="21"/>
        <v>0</v>
      </c>
      <c r="DO66">
        <f t="shared" si="22"/>
        <v>1</v>
      </c>
      <c r="DR66" s="21"/>
      <c r="DS66" s="13"/>
    </row>
    <row r="67" spans="1:123" ht="14.25" x14ac:dyDescent="0.15">
      <c r="A67" s="39" t="s">
        <v>67</v>
      </c>
      <c r="B67" s="15" t="s">
        <v>82</v>
      </c>
      <c r="C67" s="15"/>
      <c r="D67" s="4"/>
      <c r="E67" s="4"/>
      <c r="G67" s="4"/>
      <c r="H67" s="4"/>
      <c r="I67" s="4"/>
      <c r="J67" s="4"/>
      <c r="K67" s="4">
        <v>1</v>
      </c>
      <c r="L67" s="4"/>
      <c r="M67" s="4"/>
      <c r="N67" s="4"/>
      <c r="O67" s="4"/>
      <c r="P67" s="87">
        <f>COUNTA(C67:O67)</f>
        <v>1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88">
        <f t="shared" si="18"/>
        <v>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89">
        <f t="shared" si="19"/>
        <v>0</v>
      </c>
      <c r="AS67" s="54"/>
      <c r="AT67" s="54"/>
      <c r="AU67" s="54"/>
      <c r="AV67" s="54"/>
      <c r="AW67" s="54"/>
      <c r="AX67" s="56"/>
      <c r="AY67" s="54"/>
      <c r="AZ67" s="54"/>
      <c r="BA67" s="54"/>
      <c r="BB67" s="54"/>
      <c r="BC67" s="54"/>
      <c r="BD67" s="54"/>
      <c r="BE67" s="54"/>
      <c r="BF67" s="90">
        <f t="shared" si="20"/>
        <v>0</v>
      </c>
      <c r="BG67" s="64"/>
      <c r="BH67" s="64"/>
      <c r="BI67" s="64"/>
      <c r="BJ67" s="64"/>
      <c r="BK67" s="64"/>
      <c r="BL67" s="66"/>
      <c r="BM67" s="64"/>
      <c r="BN67" s="64"/>
      <c r="BO67" s="64"/>
      <c r="BP67" s="64"/>
      <c r="BQ67" s="64"/>
      <c r="BR67" s="64"/>
      <c r="BS67" s="64"/>
      <c r="BT67" s="91"/>
      <c r="BU67">
        <f t="shared" si="23"/>
        <v>1</v>
      </c>
      <c r="BW67" s="39" t="s">
        <v>67</v>
      </c>
      <c r="BX67" s="38"/>
      <c r="BY67" s="38"/>
      <c r="BZ67" s="38"/>
      <c r="CA67" s="38"/>
      <c r="CB67" s="38"/>
      <c r="CC67" s="38"/>
      <c r="CD67" s="35"/>
      <c r="CE67" s="35"/>
      <c r="CF67" s="35"/>
      <c r="CG67" s="35"/>
      <c r="CH67" s="35"/>
      <c r="CI67" s="83"/>
      <c r="CO67"/>
      <c r="CP67" s="54"/>
      <c r="CQ67" s="54"/>
      <c r="CR67" s="54"/>
      <c r="CS67" s="54"/>
      <c r="CT67" s="54"/>
      <c r="CU67" s="54"/>
      <c r="CV67" s="64"/>
      <c r="CW67" s="64"/>
      <c r="CX67" s="64"/>
      <c r="CY67" s="64"/>
      <c r="CZ67" s="64"/>
      <c r="DA67" s="64"/>
      <c r="DB67" s="69"/>
      <c r="DC67" s="69"/>
      <c r="DD67" s="69"/>
      <c r="DE67" s="69"/>
      <c r="DF67" s="69"/>
      <c r="DG67" s="69"/>
      <c r="DH67" s="72"/>
      <c r="DI67" s="72"/>
      <c r="DJ67" s="72"/>
      <c r="DK67" s="72"/>
      <c r="DL67" s="72"/>
      <c r="DM67" s="72"/>
      <c r="DN67" s="4">
        <f t="shared" si="21"/>
        <v>0</v>
      </c>
      <c r="DO67">
        <f t="shared" si="22"/>
        <v>1</v>
      </c>
      <c r="DR67" s="21"/>
      <c r="DS67" s="13"/>
    </row>
    <row r="68" spans="1:123" ht="14.25" x14ac:dyDescent="0.15">
      <c r="A68" s="76" t="s">
        <v>132</v>
      </c>
      <c r="B68" s="15" t="s">
        <v>84</v>
      </c>
      <c r="C68" s="15"/>
      <c r="D68" s="4"/>
      <c r="E68" s="4"/>
      <c r="G68" s="4"/>
      <c r="H68" s="4"/>
      <c r="I68" s="4"/>
      <c r="J68" s="4"/>
      <c r="L68" s="4"/>
      <c r="M68" s="4"/>
      <c r="N68" s="4"/>
      <c r="O68" s="4"/>
      <c r="P68" s="87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88">
        <f t="shared" si="18"/>
        <v>0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89">
        <f t="shared" si="19"/>
        <v>0</v>
      </c>
      <c r="AS68" s="54"/>
      <c r="AT68" s="54"/>
      <c r="AU68" s="54"/>
      <c r="AV68" s="54"/>
      <c r="AW68" s="54"/>
      <c r="AX68" s="56"/>
      <c r="AY68" s="54"/>
      <c r="AZ68" s="54"/>
      <c r="BA68" s="54"/>
      <c r="BB68" s="54"/>
      <c r="BC68" s="54"/>
      <c r="BD68" s="54"/>
      <c r="BE68" s="54"/>
      <c r="BF68" s="90">
        <f t="shared" si="20"/>
        <v>0</v>
      </c>
      <c r="BG68" s="64"/>
      <c r="BH68" s="64"/>
      <c r="BI68" s="64"/>
      <c r="BJ68" s="64"/>
      <c r="BK68" s="64"/>
      <c r="BL68" s="66">
        <v>1</v>
      </c>
      <c r="BM68" s="64"/>
      <c r="BN68" s="64"/>
      <c r="BO68" s="64"/>
      <c r="BP68" s="64"/>
      <c r="BQ68" s="64"/>
      <c r="BR68" s="64"/>
      <c r="BS68" s="64"/>
      <c r="BT68" s="91">
        <f>COUNTA(BG68:BS68)</f>
        <v>1</v>
      </c>
      <c r="BU68">
        <f t="shared" si="23"/>
        <v>1</v>
      </c>
      <c r="BW68" s="76" t="s">
        <v>132</v>
      </c>
      <c r="BX68" s="38"/>
      <c r="BY68" s="38"/>
      <c r="BZ68" s="38"/>
      <c r="CA68" s="38"/>
      <c r="CB68" s="38"/>
      <c r="CC68" s="38"/>
      <c r="CD68" s="35"/>
      <c r="CE68" s="35"/>
      <c r="CF68" s="35"/>
      <c r="CG68" s="35"/>
      <c r="CH68" s="35"/>
      <c r="CI68" s="83"/>
      <c r="CO68"/>
      <c r="CP68" s="54"/>
      <c r="CQ68" s="54"/>
      <c r="CR68" s="54"/>
      <c r="CS68" s="54"/>
      <c r="CT68" s="54"/>
      <c r="CU68" s="54"/>
      <c r="CV68" s="64"/>
      <c r="CW68" s="64"/>
      <c r="CX68" s="64"/>
      <c r="CY68" s="64"/>
      <c r="CZ68" s="64"/>
      <c r="DA68" s="64"/>
      <c r="DB68" s="69"/>
      <c r="DC68" s="69"/>
      <c r="DD68" s="69"/>
      <c r="DE68" s="69"/>
      <c r="DF68" s="69"/>
      <c r="DG68" s="69"/>
      <c r="DH68" s="72"/>
      <c r="DI68" s="72"/>
      <c r="DJ68" s="72"/>
      <c r="DK68" s="72"/>
      <c r="DL68" s="72"/>
      <c r="DM68" s="72"/>
      <c r="DN68" s="4">
        <f t="shared" si="21"/>
        <v>0</v>
      </c>
      <c r="DO68">
        <f t="shared" si="22"/>
        <v>1</v>
      </c>
      <c r="DR68" s="21"/>
      <c r="DS68" s="13"/>
    </row>
    <row r="69" spans="1:123" ht="14.25" x14ac:dyDescent="0.15">
      <c r="A69" s="41" t="s">
        <v>66</v>
      </c>
      <c r="B69" s="19" t="s">
        <v>85</v>
      </c>
      <c r="C69" s="20"/>
      <c r="D69" s="4"/>
      <c r="E69" s="4"/>
      <c r="G69" s="4">
        <v>1</v>
      </c>
      <c r="H69" s="4"/>
      <c r="I69" s="4"/>
      <c r="J69" s="4"/>
      <c r="L69" s="4"/>
      <c r="M69" s="4"/>
      <c r="N69" s="4"/>
      <c r="O69" s="4"/>
      <c r="P69" s="87">
        <f>COUNTA(C69:O69)</f>
        <v>1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88">
        <f t="shared" si="18"/>
        <v>0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89">
        <f t="shared" si="19"/>
        <v>0</v>
      </c>
      <c r="AS69" s="54"/>
      <c r="AT69" s="54"/>
      <c r="AU69" s="54"/>
      <c r="AV69" s="54"/>
      <c r="AW69" s="54"/>
      <c r="AX69" s="56"/>
      <c r="AY69" s="54"/>
      <c r="AZ69" s="54"/>
      <c r="BA69" s="54"/>
      <c r="BB69" s="54"/>
      <c r="BC69" s="54"/>
      <c r="BD69" s="54"/>
      <c r="BE69" s="54"/>
      <c r="BF69" s="90">
        <f t="shared" si="20"/>
        <v>0</v>
      </c>
      <c r="BG69" s="64"/>
      <c r="BH69" s="64"/>
      <c r="BI69" s="64"/>
      <c r="BJ69" s="64"/>
      <c r="BK69" s="64"/>
      <c r="BL69" s="66"/>
      <c r="BM69" s="64"/>
      <c r="BN69" s="64"/>
      <c r="BO69" s="64"/>
      <c r="BP69" s="64"/>
      <c r="BQ69" s="64"/>
      <c r="BR69" s="64"/>
      <c r="BS69" s="64"/>
      <c r="BT69" s="91"/>
      <c r="BU69">
        <f t="shared" si="23"/>
        <v>1</v>
      </c>
      <c r="BV69" s="4"/>
      <c r="BW69" s="41" t="s">
        <v>66</v>
      </c>
      <c r="BX69" s="38"/>
      <c r="BY69" s="38"/>
      <c r="BZ69" s="38"/>
      <c r="CA69" s="38"/>
      <c r="CB69" s="38"/>
      <c r="CC69" s="38"/>
      <c r="CD69" s="35"/>
      <c r="CE69" s="35"/>
      <c r="CF69" s="35"/>
      <c r="CG69" s="35"/>
      <c r="CH69" s="35"/>
      <c r="CI69" s="83"/>
      <c r="CO69"/>
      <c r="CP69" s="54"/>
      <c r="CQ69" s="54"/>
      <c r="CR69" s="54"/>
      <c r="CS69" s="54"/>
      <c r="CT69" s="54"/>
      <c r="CU69" s="54"/>
      <c r="CV69" s="64"/>
      <c r="CW69" s="64"/>
      <c r="CX69" s="64"/>
      <c r="CY69" s="64"/>
      <c r="CZ69" s="64"/>
      <c r="DA69" s="64"/>
      <c r="DB69" s="69"/>
      <c r="DC69" s="69"/>
      <c r="DD69" s="69"/>
      <c r="DE69" s="69"/>
      <c r="DF69" s="69"/>
      <c r="DG69" s="69"/>
      <c r="DH69" s="72"/>
      <c r="DI69" s="72"/>
      <c r="DJ69" s="72"/>
      <c r="DK69" s="72"/>
      <c r="DL69" s="72"/>
      <c r="DM69" s="72"/>
      <c r="DN69" s="4">
        <f t="shared" si="21"/>
        <v>0</v>
      </c>
      <c r="DO69">
        <f t="shared" si="22"/>
        <v>1</v>
      </c>
      <c r="DR69" s="21"/>
      <c r="DS69" s="13"/>
    </row>
    <row r="70" spans="1:123" ht="14.25" x14ac:dyDescent="0.15">
      <c r="A70" s="2" t="s">
        <v>112</v>
      </c>
      <c r="B70" s="32"/>
      <c r="C70" s="15"/>
      <c r="D70" s="4"/>
      <c r="E70" s="4"/>
      <c r="G70" s="4"/>
      <c r="H70" s="4"/>
      <c r="I70" s="4"/>
      <c r="J70" s="4"/>
      <c r="L70" s="4"/>
      <c r="M70" s="4"/>
      <c r="N70" s="4"/>
      <c r="O70" s="4"/>
      <c r="P70" s="87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88">
        <f t="shared" ref="AD70:AD73" si="24">COUNTA(Q70:AC70)</f>
        <v>0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89">
        <f t="shared" ref="AR70:AR73" si="25">COUNTA(AE70:AQ70)</f>
        <v>0</v>
      </c>
      <c r="AS70" s="54"/>
      <c r="AT70" s="54"/>
      <c r="AU70" s="54"/>
      <c r="AV70" s="54"/>
      <c r="AW70" s="54"/>
      <c r="AX70" s="56"/>
      <c r="AY70" s="54"/>
      <c r="AZ70" s="54"/>
      <c r="BA70" s="54"/>
      <c r="BB70" s="54"/>
      <c r="BC70" s="54"/>
      <c r="BD70" s="54"/>
      <c r="BE70" s="54"/>
      <c r="BF70" s="90">
        <f t="shared" ref="BF70:BF73" si="26">COUNTA(AS70:BE70)</f>
        <v>0</v>
      </c>
      <c r="BG70" s="64"/>
      <c r="BH70" s="64"/>
      <c r="BI70" s="64"/>
      <c r="BJ70" s="64"/>
      <c r="BK70" s="64"/>
      <c r="BL70" s="66"/>
      <c r="BM70" s="64"/>
      <c r="BN70" s="64"/>
      <c r="BO70" s="64"/>
      <c r="BP70" s="64"/>
      <c r="BQ70" s="64"/>
      <c r="BR70" s="64"/>
      <c r="BS70" s="64"/>
      <c r="BT70" s="91"/>
      <c r="BW70" s="2" t="s">
        <v>112</v>
      </c>
      <c r="BX70" s="38"/>
      <c r="BY70" s="38"/>
      <c r="BZ70" s="38"/>
      <c r="CA70" s="38"/>
      <c r="CB70" s="38"/>
      <c r="CC70" s="38"/>
      <c r="CD70" s="35"/>
      <c r="CE70" s="35"/>
      <c r="CF70" s="35"/>
      <c r="CG70" s="35"/>
      <c r="CH70" s="35"/>
      <c r="CI70" s="83"/>
      <c r="CL70" s="4">
        <v>1</v>
      </c>
      <c r="CO70">
        <f>COUNTA(CJ70:CN70)</f>
        <v>1</v>
      </c>
      <c r="CP70" s="54"/>
      <c r="CQ70" s="54"/>
      <c r="CR70" s="54"/>
      <c r="CS70" s="54"/>
      <c r="CT70" s="54"/>
      <c r="CU70" s="54"/>
      <c r="CV70" s="64"/>
      <c r="CW70" s="64"/>
      <c r="CX70" s="64"/>
      <c r="CY70" s="64"/>
      <c r="CZ70" s="64"/>
      <c r="DA70" s="64"/>
      <c r="DB70" s="69"/>
      <c r="DC70" s="69"/>
      <c r="DD70" s="69"/>
      <c r="DE70" s="69"/>
      <c r="DF70" s="69"/>
      <c r="DG70" s="69"/>
      <c r="DH70" s="72"/>
      <c r="DI70" s="72"/>
      <c r="DJ70" s="72"/>
      <c r="DK70" s="72"/>
      <c r="DL70" s="72"/>
      <c r="DM70" s="72"/>
      <c r="DN70" s="4">
        <f t="shared" si="21"/>
        <v>1</v>
      </c>
      <c r="DO70">
        <f t="shared" ref="DO70:DO73" si="27">BU70+DN70</f>
        <v>1</v>
      </c>
      <c r="DR70" s="21"/>
      <c r="DS70" s="13"/>
    </row>
    <row r="71" spans="1:123" ht="14.25" x14ac:dyDescent="0.15">
      <c r="A71" s="36" t="s">
        <v>94</v>
      </c>
      <c r="B71" s="15" t="s">
        <v>88</v>
      </c>
      <c r="C71" s="15"/>
      <c r="D71" s="4"/>
      <c r="E71" s="4"/>
      <c r="G71" s="4"/>
      <c r="H71" s="4"/>
      <c r="I71" s="4"/>
      <c r="J71" s="4"/>
      <c r="L71" s="4"/>
      <c r="M71" s="4"/>
      <c r="N71" s="4"/>
      <c r="O71" s="4"/>
      <c r="P71" s="87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88">
        <f t="shared" si="24"/>
        <v>0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89">
        <f t="shared" si="25"/>
        <v>0</v>
      </c>
      <c r="AS71" s="54"/>
      <c r="AT71" s="54"/>
      <c r="AU71" s="54"/>
      <c r="AV71" s="54"/>
      <c r="AW71" s="54"/>
      <c r="AX71" s="56"/>
      <c r="AY71" s="54"/>
      <c r="AZ71" s="54"/>
      <c r="BA71" s="54"/>
      <c r="BB71" s="54"/>
      <c r="BC71" s="54"/>
      <c r="BD71" s="54"/>
      <c r="BE71" s="54"/>
      <c r="BF71" s="90">
        <f t="shared" si="26"/>
        <v>0</v>
      </c>
      <c r="BG71" s="64"/>
      <c r="BH71" s="64"/>
      <c r="BI71" s="64"/>
      <c r="BJ71" s="64"/>
      <c r="BK71" s="64"/>
      <c r="BL71" s="66"/>
      <c r="BM71" s="64"/>
      <c r="BN71" s="64"/>
      <c r="BO71" s="64"/>
      <c r="BP71" s="64"/>
      <c r="BQ71" s="64"/>
      <c r="BR71" s="64"/>
      <c r="BS71" s="64"/>
      <c r="BT71" s="91"/>
      <c r="BW71" s="36" t="s">
        <v>94</v>
      </c>
      <c r="BX71" s="38"/>
      <c r="BY71" s="38"/>
      <c r="BZ71" s="38"/>
      <c r="CA71" s="38"/>
      <c r="CB71" s="38"/>
      <c r="CC71" s="38"/>
      <c r="CD71" s="35"/>
      <c r="CE71" s="35">
        <v>1</v>
      </c>
      <c r="CF71" s="35"/>
      <c r="CG71" s="35"/>
      <c r="CH71" s="35"/>
      <c r="CI71" s="83">
        <f>COUNTA(CD71:CH71)</f>
        <v>1</v>
      </c>
      <c r="CO71"/>
      <c r="CP71" s="54"/>
      <c r="CQ71" s="54"/>
      <c r="CR71" s="54"/>
      <c r="CS71" s="54"/>
      <c r="CT71" s="54"/>
      <c r="CU71" s="54"/>
      <c r="CV71" s="64"/>
      <c r="CW71" s="64"/>
      <c r="CX71" s="64"/>
      <c r="CY71" s="64"/>
      <c r="CZ71" s="64"/>
      <c r="DA71" s="64"/>
      <c r="DB71" s="69"/>
      <c r="DC71" s="69"/>
      <c r="DD71" s="69"/>
      <c r="DE71" s="69"/>
      <c r="DF71" s="69"/>
      <c r="DG71" s="69"/>
      <c r="DH71" s="72"/>
      <c r="DI71" s="72"/>
      <c r="DJ71" s="72"/>
      <c r="DK71" s="72"/>
      <c r="DL71" s="72"/>
      <c r="DM71" s="72"/>
      <c r="DN71" s="4">
        <f t="shared" si="21"/>
        <v>1</v>
      </c>
      <c r="DO71">
        <f t="shared" si="27"/>
        <v>1</v>
      </c>
      <c r="DR71" s="21"/>
      <c r="DS71" s="13"/>
    </row>
    <row r="72" spans="1:123" ht="14.25" x14ac:dyDescent="0.15">
      <c r="A72" s="40" t="s">
        <v>95</v>
      </c>
      <c r="B72" s="19" t="s">
        <v>84</v>
      </c>
      <c r="C72" s="15"/>
      <c r="D72" s="4"/>
      <c r="E72" s="4"/>
      <c r="G72" s="4"/>
      <c r="H72" s="4"/>
      <c r="I72" s="4"/>
      <c r="J72" s="4"/>
      <c r="L72" s="4"/>
      <c r="M72" s="4"/>
      <c r="N72" s="4"/>
      <c r="O72" s="4"/>
      <c r="P72" s="87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88">
        <f t="shared" si="24"/>
        <v>0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89">
        <f t="shared" si="25"/>
        <v>0</v>
      </c>
      <c r="AS72" s="54"/>
      <c r="AT72" s="54"/>
      <c r="AU72" s="54"/>
      <c r="AV72" s="54"/>
      <c r="AW72" s="54"/>
      <c r="AX72" s="56"/>
      <c r="AY72" s="54"/>
      <c r="AZ72" s="54"/>
      <c r="BA72" s="54"/>
      <c r="BB72" s="54"/>
      <c r="BC72" s="54"/>
      <c r="BD72" s="54"/>
      <c r="BE72" s="54"/>
      <c r="BF72" s="90">
        <f t="shared" si="26"/>
        <v>0</v>
      </c>
      <c r="BG72" s="64"/>
      <c r="BH72" s="64"/>
      <c r="BI72" s="64"/>
      <c r="BJ72" s="64"/>
      <c r="BK72" s="64"/>
      <c r="BL72" s="66"/>
      <c r="BM72" s="64"/>
      <c r="BN72" s="64"/>
      <c r="BO72" s="64"/>
      <c r="BP72" s="64"/>
      <c r="BQ72" s="64"/>
      <c r="BR72" s="64"/>
      <c r="BS72" s="64"/>
      <c r="BT72" s="91"/>
      <c r="BW72" s="40" t="s">
        <v>95</v>
      </c>
      <c r="BX72" s="38"/>
      <c r="BY72" s="38"/>
      <c r="BZ72" s="38"/>
      <c r="CA72" s="38"/>
      <c r="CB72" s="38"/>
      <c r="CC72" s="38"/>
      <c r="CD72" s="35"/>
      <c r="CE72" s="35"/>
      <c r="CF72" s="35">
        <v>1</v>
      </c>
      <c r="CG72" s="35"/>
      <c r="CH72" s="35"/>
      <c r="CI72" s="83">
        <f>COUNTA(CD72:CH72)</f>
        <v>1</v>
      </c>
      <c r="CO72"/>
      <c r="CP72" s="54"/>
      <c r="CQ72" s="54"/>
      <c r="CR72" s="54"/>
      <c r="CS72" s="54"/>
      <c r="CT72" s="54"/>
      <c r="CU72" s="54"/>
      <c r="CV72" s="64"/>
      <c r="CW72" s="64"/>
      <c r="CX72" s="64"/>
      <c r="CY72" s="64"/>
      <c r="CZ72" s="64"/>
      <c r="DA72" s="64"/>
      <c r="DB72" s="69"/>
      <c r="DC72" s="69"/>
      <c r="DD72" s="69"/>
      <c r="DE72" s="69"/>
      <c r="DF72" s="69"/>
      <c r="DG72" s="69"/>
      <c r="DH72" s="72"/>
      <c r="DI72" s="72"/>
      <c r="DJ72" s="72"/>
      <c r="DK72" s="72"/>
      <c r="DL72" s="72"/>
      <c r="DM72" s="72"/>
      <c r="DN72" s="4">
        <f t="shared" si="21"/>
        <v>1</v>
      </c>
      <c r="DO72">
        <f t="shared" si="27"/>
        <v>1</v>
      </c>
      <c r="DR72" s="21"/>
      <c r="DS72" s="13"/>
    </row>
    <row r="73" spans="1:123" ht="14.25" x14ac:dyDescent="0.15">
      <c r="A73" s="2" t="s">
        <v>109</v>
      </c>
      <c r="B73" s="32"/>
      <c r="C73" s="15"/>
      <c r="D73" s="4"/>
      <c r="E73" s="4"/>
      <c r="G73" s="4"/>
      <c r="H73" s="4"/>
      <c r="I73" s="4"/>
      <c r="J73" s="4"/>
      <c r="L73" s="4"/>
      <c r="M73" s="4"/>
      <c r="N73" s="4"/>
      <c r="O73" s="4"/>
      <c r="P73" s="87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88">
        <f t="shared" si="24"/>
        <v>0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89">
        <f t="shared" si="25"/>
        <v>0</v>
      </c>
      <c r="AS73" s="54"/>
      <c r="AT73" s="54"/>
      <c r="AU73" s="54"/>
      <c r="AV73" s="54"/>
      <c r="AW73" s="54"/>
      <c r="AX73" s="56"/>
      <c r="AY73" s="54"/>
      <c r="AZ73" s="54"/>
      <c r="BA73" s="54"/>
      <c r="BB73" s="54"/>
      <c r="BC73" s="54"/>
      <c r="BD73" s="54">
        <v>1</v>
      </c>
      <c r="BE73" s="54"/>
      <c r="BF73" s="90">
        <f t="shared" si="26"/>
        <v>1</v>
      </c>
      <c r="BG73" s="64"/>
      <c r="BH73" s="64"/>
      <c r="BI73" s="64"/>
      <c r="BJ73" s="64"/>
      <c r="BK73" s="64"/>
      <c r="BL73" s="66"/>
      <c r="BM73" s="64"/>
      <c r="BN73" s="64"/>
      <c r="BO73" s="64"/>
      <c r="BP73" s="64"/>
      <c r="BQ73" s="64"/>
      <c r="BR73" s="64"/>
      <c r="BS73" s="64"/>
      <c r="BT73" s="91"/>
      <c r="BU73">
        <f>COUNTA(C73:O73)+COUNTA(Q73:AC73)+COUNTA(AE73:AQ73)+COUNTA(AS73:BE73)+COUNTA(BG73:BS73)</f>
        <v>1</v>
      </c>
      <c r="BW73" s="2" t="s">
        <v>109</v>
      </c>
      <c r="BX73" s="38"/>
      <c r="BY73" s="38"/>
      <c r="BZ73" s="38"/>
      <c r="CA73" s="38"/>
      <c r="CB73" s="38"/>
      <c r="CC73" s="38"/>
      <c r="CD73" s="35"/>
      <c r="CE73" s="35"/>
      <c r="CF73" s="35"/>
      <c r="CG73" s="35"/>
      <c r="CH73" s="35"/>
      <c r="CI73" s="83"/>
      <c r="CO73"/>
      <c r="CP73" s="54"/>
      <c r="CQ73" s="54"/>
      <c r="CR73" s="54"/>
      <c r="CS73" s="54"/>
      <c r="CT73" s="54"/>
      <c r="CU73" s="54"/>
      <c r="CV73" s="64"/>
      <c r="CW73" s="64"/>
      <c r="CX73" s="64"/>
      <c r="CY73" s="64"/>
      <c r="CZ73" s="64"/>
      <c r="DA73" s="64"/>
      <c r="DB73" s="69"/>
      <c r="DC73" s="69"/>
      <c r="DD73" s="69"/>
      <c r="DE73" s="69"/>
      <c r="DF73" s="69"/>
      <c r="DG73" s="69"/>
      <c r="DH73" s="72"/>
      <c r="DI73" s="72"/>
      <c r="DJ73" s="72"/>
      <c r="DK73" s="72"/>
      <c r="DL73" s="72"/>
      <c r="DM73" s="72"/>
      <c r="DN73" s="4">
        <f t="shared" si="21"/>
        <v>0</v>
      </c>
      <c r="DO73">
        <f t="shared" si="27"/>
        <v>1</v>
      </c>
      <c r="DR73" s="21"/>
      <c r="DS73" s="13"/>
    </row>
    <row r="74" spans="1:123" ht="87" customHeight="1" x14ac:dyDescent="0.15">
      <c r="A74" t="s">
        <v>8</v>
      </c>
      <c r="C74" s="15"/>
      <c r="D74" s="1"/>
      <c r="E74" s="1"/>
      <c r="F74" s="14"/>
      <c r="G74" s="1"/>
      <c r="H74" s="1"/>
      <c r="I74" s="1"/>
      <c r="K74" s="1"/>
      <c r="M74" s="1"/>
      <c r="Q74" s="1"/>
      <c r="R74" s="1"/>
      <c r="S74" s="1"/>
      <c r="T74" s="1"/>
      <c r="U74" s="1"/>
      <c r="V74" s="1"/>
      <c r="W74" s="1"/>
      <c r="Y74" s="1"/>
      <c r="AA74" s="1"/>
      <c r="AE74" s="1"/>
      <c r="AF74" s="1"/>
      <c r="AG74" s="14"/>
      <c r="AH74" s="1"/>
      <c r="AI74" s="1"/>
      <c r="AJ74" s="1"/>
      <c r="AL74" s="1"/>
      <c r="AN74" s="1"/>
      <c r="AS74" s="14"/>
      <c r="AT74" s="14"/>
      <c r="AU74" s="14"/>
      <c r="AV74" s="14"/>
      <c r="AW74" s="14"/>
      <c r="AX74" s="50"/>
      <c r="AZ74" s="14"/>
      <c r="BB74" s="14"/>
      <c r="BC74" s="60" t="s">
        <v>107</v>
      </c>
      <c r="BG74" s="14"/>
      <c r="BH74" s="14"/>
      <c r="BI74" s="14"/>
      <c r="BJ74" s="14"/>
      <c r="BK74" s="14"/>
      <c r="BL74" s="50"/>
      <c r="BN74" s="14"/>
      <c r="BQ74" s="60"/>
      <c r="BW74" t="s">
        <v>8</v>
      </c>
    </row>
    <row r="75" spans="1:123" x14ac:dyDescent="0.15">
      <c r="C75" s="15"/>
      <c r="BP75" s="14"/>
    </row>
    <row r="76" spans="1:123" x14ac:dyDescent="0.15">
      <c r="A76">
        <f>COUNTA(A6:A72)</f>
        <v>67</v>
      </c>
      <c r="C76" s="15"/>
      <c r="BW76">
        <f>COUNTA(BW6:BW72)</f>
        <v>67</v>
      </c>
    </row>
    <row r="77" spans="1:123" x14ac:dyDescent="0.15">
      <c r="C77" s="15"/>
    </row>
    <row r="78" spans="1:123" x14ac:dyDescent="0.15">
      <c r="C78" s="15"/>
    </row>
    <row r="79" spans="1:123" x14ac:dyDescent="0.15">
      <c r="C79" s="15"/>
    </row>
    <row r="80" spans="1:123" x14ac:dyDescent="0.15">
      <c r="C80" s="15"/>
    </row>
    <row r="86" spans="1:123" s="4" customFormat="1" x14ac:dyDescent="0.15">
      <c r="A86" s="7" t="s">
        <v>47</v>
      </c>
      <c r="B86" s="32" t="s">
        <v>75</v>
      </c>
      <c r="C86" s="20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X86" s="49"/>
      <c r="BL86" s="49"/>
      <c r="BT86" s="19"/>
      <c r="BW86" s="7" t="s">
        <v>47</v>
      </c>
      <c r="BX86"/>
      <c r="BY86"/>
      <c r="BZ86"/>
      <c r="CA86"/>
      <c r="CB86"/>
      <c r="CC86"/>
      <c r="DR86" s="21"/>
      <c r="DS86" s="13"/>
    </row>
    <row r="87" spans="1:123" ht="15" customHeight="1" x14ac:dyDescent="0.15">
      <c r="A87" s="2" t="s">
        <v>43</v>
      </c>
      <c r="B87" s="15" t="s">
        <v>73</v>
      </c>
      <c r="C87" s="28"/>
      <c r="D87" s="10"/>
      <c r="E87" s="28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Q87" s="53"/>
      <c r="BR87" s="53"/>
      <c r="BS87" s="53"/>
      <c r="BT87" s="57"/>
      <c r="BU87" s="8"/>
      <c r="BV87" s="8"/>
      <c r="BW87" s="2" t="s">
        <v>43</v>
      </c>
      <c r="DR87" s="23"/>
      <c r="DS87" s="12"/>
    </row>
    <row r="88" spans="1:123" x14ac:dyDescent="0.15">
      <c r="A88" s="2" t="s">
        <v>44</v>
      </c>
      <c r="B88" s="32" t="s">
        <v>80</v>
      </c>
      <c r="C88" s="15"/>
      <c r="D88" s="4"/>
      <c r="E88" s="4"/>
      <c r="G88" s="4"/>
      <c r="H88" s="4"/>
      <c r="I88" s="4"/>
      <c r="J88" s="4"/>
      <c r="L88" s="4"/>
      <c r="M88" s="4"/>
      <c r="N88" s="4"/>
      <c r="O88" s="4"/>
      <c r="P88" s="4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54"/>
      <c r="AT88" s="54"/>
      <c r="AU88" s="54"/>
      <c r="AV88" s="54"/>
      <c r="AW88" s="54"/>
      <c r="AX88" s="56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6"/>
      <c r="BM88" s="54"/>
      <c r="BN88" s="54"/>
      <c r="BO88" s="54"/>
      <c r="BP88" s="53"/>
      <c r="BQ88" s="54"/>
      <c r="BR88" s="54"/>
      <c r="BS88" s="54"/>
      <c r="BT88" s="86"/>
      <c r="BW88" s="2" t="s">
        <v>44</v>
      </c>
      <c r="DR88" s="21"/>
      <c r="DS88" s="13"/>
    </row>
    <row r="89" spans="1:123" x14ac:dyDescent="0.15">
      <c r="A89" s="39" t="s">
        <v>69</v>
      </c>
      <c r="B89" s="15" t="s">
        <v>86</v>
      </c>
      <c r="C89" s="17"/>
      <c r="D89" s="4"/>
      <c r="E89" s="4"/>
      <c r="G89" s="4"/>
      <c r="H89" s="4"/>
      <c r="I89" s="4"/>
      <c r="J89" s="4"/>
      <c r="L89" s="4"/>
      <c r="M89" s="4"/>
      <c r="N89" s="4"/>
      <c r="O89" s="4"/>
      <c r="P89" s="4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54"/>
      <c r="AT89" s="54"/>
      <c r="AU89" s="54"/>
      <c r="AV89" s="54"/>
      <c r="AW89" s="54"/>
      <c r="AX89" s="56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6"/>
      <c r="BM89" s="54"/>
      <c r="BN89" s="54"/>
      <c r="BO89" s="54"/>
      <c r="BP89" s="54"/>
      <c r="BQ89" s="54"/>
      <c r="BR89" s="54"/>
      <c r="BS89" s="54"/>
      <c r="BT89" s="86"/>
      <c r="BW89" s="39" t="s">
        <v>69</v>
      </c>
      <c r="DR89" s="21"/>
      <c r="DS89" s="13"/>
    </row>
    <row r="90" spans="1:123" s="4" customFormat="1" x14ac:dyDescent="0.15">
      <c r="A90" s="5" t="s">
        <v>48</v>
      </c>
      <c r="B90" s="19" t="s">
        <v>84</v>
      </c>
      <c r="C90" s="15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54"/>
      <c r="AT90" s="54"/>
      <c r="AU90" s="54"/>
      <c r="AV90" s="54"/>
      <c r="AW90" s="54"/>
      <c r="AX90" s="56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6"/>
      <c r="BM90" s="54"/>
      <c r="BN90" s="54"/>
      <c r="BO90" s="54"/>
      <c r="BP90" s="54"/>
      <c r="BQ90" s="54"/>
      <c r="BR90" s="54"/>
      <c r="BS90" s="54"/>
      <c r="BT90" s="86"/>
      <c r="BU90"/>
      <c r="BV90"/>
      <c r="BW90" s="5" t="s">
        <v>48</v>
      </c>
      <c r="BX90"/>
      <c r="BY90"/>
      <c r="BZ90"/>
      <c r="CA90"/>
      <c r="CB90"/>
      <c r="CC90"/>
      <c r="DR90" s="21"/>
      <c r="DS90" s="13"/>
    </row>
    <row r="91" spans="1:123" x14ac:dyDescent="0.15">
      <c r="A91" s="3" t="s">
        <v>55</v>
      </c>
      <c r="B91" s="32" t="s">
        <v>80</v>
      </c>
      <c r="C91" s="17"/>
      <c r="D91" s="4"/>
      <c r="E91" s="4"/>
      <c r="G91" s="4"/>
      <c r="H91" s="4"/>
      <c r="I91" s="4"/>
      <c r="J91" s="4"/>
      <c r="L91" s="4"/>
      <c r="M91" s="4"/>
      <c r="N91" s="4"/>
      <c r="O91" s="4"/>
      <c r="P91" s="4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13"/>
      <c r="AF91" s="13">
        <v>1</v>
      </c>
      <c r="AG91" s="13"/>
      <c r="AH91" s="13">
        <v>1</v>
      </c>
      <c r="AI91" s="13">
        <v>1</v>
      </c>
      <c r="AJ91" s="13"/>
      <c r="AK91" s="13"/>
      <c r="AL91" s="13"/>
      <c r="AM91" s="13"/>
      <c r="AN91" s="13"/>
      <c r="AO91" s="13"/>
      <c r="AP91" s="13"/>
      <c r="AQ91" s="13"/>
      <c r="AR91" s="13"/>
      <c r="AS91" s="54"/>
      <c r="AT91" s="54"/>
      <c r="AU91" s="54"/>
      <c r="AV91" s="54"/>
      <c r="AW91" s="54"/>
      <c r="AX91" s="56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6"/>
      <c r="BM91" s="54"/>
      <c r="BN91" s="54"/>
      <c r="BO91" s="54"/>
      <c r="BP91" s="54"/>
      <c r="BQ91" s="54"/>
      <c r="BR91" s="54"/>
      <c r="BS91" s="54"/>
      <c r="BT91" s="86"/>
      <c r="BW91" s="3" t="s">
        <v>55</v>
      </c>
      <c r="DR91" s="21"/>
      <c r="DS91" s="13"/>
    </row>
    <row r="92" spans="1:123" ht="14.25" x14ac:dyDescent="0.15">
      <c r="A92" s="2" t="s">
        <v>18</v>
      </c>
      <c r="B92" s="32" t="s">
        <v>80</v>
      </c>
      <c r="C92" s="15"/>
      <c r="D92" s="4"/>
      <c r="E92" s="4"/>
      <c r="G92" s="4"/>
      <c r="H92" s="4"/>
      <c r="I92" s="4"/>
      <c r="J92" s="4"/>
      <c r="L92" s="4"/>
      <c r="M92" s="4">
        <v>1</v>
      </c>
      <c r="N92" s="4"/>
      <c r="O92" s="4"/>
      <c r="P92" s="87">
        <f>COUNTA(C92:O92)</f>
        <v>1</v>
      </c>
      <c r="Q92" s="21"/>
      <c r="R92" s="21"/>
      <c r="S92" s="21"/>
      <c r="T92" s="21"/>
      <c r="U92" s="21">
        <v>1</v>
      </c>
      <c r="V92" s="21">
        <v>1</v>
      </c>
      <c r="W92" s="21"/>
      <c r="X92" s="21"/>
      <c r="Y92" s="21">
        <v>1</v>
      </c>
      <c r="Z92" s="21"/>
      <c r="AA92" s="21">
        <v>3</v>
      </c>
      <c r="AB92" s="21">
        <v>2</v>
      </c>
      <c r="AC92" s="21">
        <v>1</v>
      </c>
      <c r="AD92" s="88">
        <f>COUNTA(Q92:AC92)</f>
        <v>6</v>
      </c>
      <c r="AE92" s="13"/>
      <c r="AF92" s="73"/>
      <c r="AG92" s="13">
        <v>1</v>
      </c>
      <c r="AH92" s="13"/>
      <c r="AI92" s="13">
        <v>1</v>
      </c>
      <c r="AJ92" s="13">
        <v>1</v>
      </c>
      <c r="AK92" s="13">
        <v>1</v>
      </c>
      <c r="AL92" s="13"/>
      <c r="AM92" s="13"/>
      <c r="AN92" s="13">
        <v>1</v>
      </c>
      <c r="AO92" s="13">
        <v>1</v>
      </c>
      <c r="AP92" s="13"/>
      <c r="AQ92" s="13"/>
      <c r="AR92" s="89">
        <f>COUNTA(AE92:AQ92)</f>
        <v>6</v>
      </c>
      <c r="AS92" s="54">
        <v>1</v>
      </c>
      <c r="AT92" s="74"/>
      <c r="AU92" s="54">
        <v>1</v>
      </c>
      <c r="AV92" s="54"/>
      <c r="AW92" s="54"/>
      <c r="AX92" s="56">
        <v>1</v>
      </c>
      <c r="AY92" s="54">
        <v>1</v>
      </c>
      <c r="AZ92" s="54">
        <v>1</v>
      </c>
      <c r="BA92" s="54">
        <v>1</v>
      </c>
      <c r="BB92" s="54"/>
      <c r="BC92" s="54">
        <v>2</v>
      </c>
      <c r="BD92" s="54"/>
      <c r="BE92" s="54">
        <v>1</v>
      </c>
      <c r="BF92" s="90">
        <f>COUNTA(AS92:BE92)</f>
        <v>8</v>
      </c>
      <c r="BG92" s="64"/>
      <c r="BH92" s="64"/>
      <c r="BI92" s="64">
        <v>1</v>
      </c>
      <c r="BJ92" s="64"/>
      <c r="BK92" s="64">
        <v>1</v>
      </c>
      <c r="BL92" s="66">
        <v>2</v>
      </c>
      <c r="BM92" s="64">
        <v>1</v>
      </c>
      <c r="BN92" s="64">
        <v>1</v>
      </c>
      <c r="BO92" s="64">
        <v>1</v>
      </c>
      <c r="BP92" s="64"/>
      <c r="BQ92" s="64">
        <v>1</v>
      </c>
      <c r="BR92" s="64">
        <v>1</v>
      </c>
      <c r="BS92" s="64">
        <v>1</v>
      </c>
      <c r="BT92" s="91">
        <f>COUNTA(BG92:BS92)</f>
        <v>9</v>
      </c>
      <c r="BU92">
        <f>COUNTA(C92:BT92)</f>
        <v>35</v>
      </c>
      <c r="BW92" s="2" t="s">
        <v>18</v>
      </c>
      <c r="BX92" s="38">
        <v>3</v>
      </c>
      <c r="BY92" s="38"/>
      <c r="BZ92" s="38"/>
      <c r="CA92" s="38"/>
      <c r="CB92" s="38"/>
      <c r="CC92" s="38">
        <f>COUNTA(BX92:CB92)</f>
        <v>1</v>
      </c>
      <c r="CD92" s="35">
        <v>2</v>
      </c>
      <c r="CE92" s="35"/>
      <c r="CF92" s="35"/>
      <c r="CG92" s="35"/>
      <c r="CH92" s="35">
        <v>1</v>
      </c>
      <c r="CI92" s="83">
        <f>COUNTA(CD92:CH92)</f>
        <v>2</v>
      </c>
      <c r="CJ92" s="4">
        <v>1</v>
      </c>
      <c r="CL92" s="4">
        <v>4</v>
      </c>
      <c r="CN92" s="4">
        <v>1</v>
      </c>
      <c r="CO92">
        <f>COUNTA(CJ92:CN92)</f>
        <v>3</v>
      </c>
      <c r="CP92" s="54">
        <v>1</v>
      </c>
      <c r="CQ92" s="54"/>
      <c r="CR92" s="54">
        <v>2</v>
      </c>
      <c r="CS92" s="54"/>
      <c r="CT92" s="54">
        <v>1</v>
      </c>
      <c r="CU92" s="54">
        <f>COUNTA(CP92:CT92)</f>
        <v>3</v>
      </c>
      <c r="CV92" s="64">
        <v>2</v>
      </c>
      <c r="CW92" s="64"/>
      <c r="CX92" s="64">
        <v>1</v>
      </c>
      <c r="CY92" s="64"/>
      <c r="CZ92" s="64">
        <v>1</v>
      </c>
      <c r="DA92" s="64">
        <f>COUNTA(CV92:CZ92)</f>
        <v>3</v>
      </c>
      <c r="DB92" s="69">
        <v>2</v>
      </c>
      <c r="DC92" s="69"/>
      <c r="DD92" s="69">
        <v>1</v>
      </c>
      <c r="DE92" s="69"/>
      <c r="DF92" s="69">
        <v>1</v>
      </c>
      <c r="DG92" s="69">
        <f>COUNTA(DB92:DF92)</f>
        <v>3</v>
      </c>
      <c r="DH92" s="72">
        <v>2</v>
      </c>
      <c r="DI92" s="72"/>
      <c r="DJ92" s="72"/>
      <c r="DK92" s="72"/>
      <c r="DL92" s="72"/>
      <c r="DM92" s="72">
        <f>COUNTA(DH92:DL92)</f>
        <v>1</v>
      </c>
      <c r="DN92" s="72"/>
      <c r="DR92" s="21">
        <v>3</v>
      </c>
      <c r="DS92" s="13">
        <v>1</v>
      </c>
    </row>
    <row r="93" spans="1:123" ht="14.25" customHeight="1" x14ac:dyDescent="0.15">
      <c r="A93" s="58" t="s">
        <v>104</v>
      </c>
      <c r="B93" s="19"/>
      <c r="C93" s="15"/>
      <c r="D93" s="4"/>
      <c r="E93" s="4"/>
      <c r="G93" s="4"/>
      <c r="H93" s="4"/>
      <c r="I93" s="4"/>
      <c r="J93" s="4"/>
      <c r="L93" s="4"/>
      <c r="M93" s="4"/>
      <c r="N93" s="4"/>
      <c r="O93" s="4"/>
      <c r="P93" s="87">
        <f>COUNTA(C93:O93)</f>
        <v>0</v>
      </c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88">
        <f>COUNTA(Q93:AC93)</f>
        <v>0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89">
        <f>COUNTA(AE93:AQ93)</f>
        <v>0</v>
      </c>
      <c r="AS93" s="54"/>
      <c r="AT93" s="54"/>
      <c r="AU93" s="54"/>
      <c r="AV93" s="54"/>
      <c r="AW93" s="54"/>
      <c r="AX93" s="56"/>
      <c r="AY93" s="77"/>
      <c r="AZ93" s="54"/>
      <c r="BA93" s="54"/>
      <c r="BB93" s="54"/>
      <c r="BC93" s="54"/>
      <c r="BD93" s="54"/>
      <c r="BE93" s="54"/>
      <c r="BF93" s="90">
        <f>COUNTA(AS93:BE93)</f>
        <v>0</v>
      </c>
      <c r="BG93" s="64"/>
      <c r="BH93" s="64"/>
      <c r="BI93" s="64"/>
      <c r="BJ93" s="64"/>
      <c r="BK93" s="64"/>
      <c r="BL93" s="66"/>
      <c r="BM93" s="64"/>
      <c r="BN93" s="64"/>
      <c r="BO93" s="64"/>
      <c r="BP93" s="64"/>
      <c r="BQ93" s="64"/>
      <c r="BR93" s="64"/>
      <c r="BS93" s="64"/>
      <c r="BT93" s="91">
        <f>COUNTA(BG93:BS93)</f>
        <v>0</v>
      </c>
      <c r="BU93">
        <f>COUNTA(C93:O93)+COUNTA(Q93:AC93)+COUNTA(AE93:AQ93)+COUNTA(AS93:BE93)+COUNTA(BG93:BS93)</f>
        <v>0</v>
      </c>
      <c r="BW93" s="58" t="s">
        <v>104</v>
      </c>
      <c r="BX93" s="38"/>
      <c r="BY93" s="38"/>
      <c r="BZ93" s="38"/>
      <c r="CA93" s="38"/>
      <c r="CB93" s="38"/>
      <c r="CC93" s="38">
        <f>COUNTA(BX93:CB93)</f>
        <v>0</v>
      </c>
      <c r="CD93" s="35"/>
      <c r="CE93" s="35"/>
      <c r="CF93" s="35"/>
      <c r="CG93" s="35"/>
      <c r="CH93" s="35"/>
      <c r="CI93" s="83">
        <f>COUNTA(CD93:CH93)</f>
        <v>0</v>
      </c>
      <c r="CO93">
        <f>COUNTA(CJ93:CN93)</f>
        <v>0</v>
      </c>
      <c r="CP93" s="54"/>
      <c r="CQ93" s="54"/>
      <c r="CR93" s="54"/>
      <c r="CS93" s="54"/>
      <c r="CT93" s="54"/>
      <c r="CU93" s="54">
        <f>COUNTA(CP93:CT93)</f>
        <v>0</v>
      </c>
      <c r="CV93" s="64"/>
      <c r="CW93" s="64"/>
      <c r="CX93" s="64"/>
      <c r="CY93" s="64"/>
      <c r="CZ93" s="64"/>
      <c r="DA93" s="64">
        <f>COUNTA(CV93:CZ93)</f>
        <v>0</v>
      </c>
      <c r="DB93" s="69"/>
      <c r="DC93" s="69"/>
      <c r="DD93" s="69"/>
      <c r="DE93" s="69"/>
      <c r="DF93" s="69"/>
      <c r="DG93" s="69">
        <f>COUNTA(DB93:DF93)</f>
        <v>0</v>
      </c>
      <c r="DH93" s="72"/>
      <c r="DI93" s="72"/>
      <c r="DJ93" s="72"/>
      <c r="DK93" s="72"/>
      <c r="DL93" s="72"/>
      <c r="DM93" s="72">
        <f>COUNTA(DH93:DL93)</f>
        <v>0</v>
      </c>
      <c r="DN93" s="72"/>
      <c r="DR93" s="21"/>
      <c r="DS93" s="13"/>
    </row>
    <row r="94" spans="1:123" ht="14.25" x14ac:dyDescent="0.15">
      <c r="A94" s="40" t="s">
        <v>91</v>
      </c>
      <c r="B94" s="19" t="s">
        <v>80</v>
      </c>
      <c r="C94" s="15"/>
      <c r="D94" s="4"/>
      <c r="E94" s="4"/>
      <c r="G94" s="4"/>
      <c r="H94" s="4"/>
      <c r="I94" s="4"/>
      <c r="J94" s="4"/>
      <c r="L94" s="4"/>
      <c r="M94" s="4"/>
      <c r="N94" s="4"/>
      <c r="O94" s="4"/>
      <c r="P94" s="87">
        <f>COUNTA(C94:O94)</f>
        <v>0</v>
      </c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88">
        <f>COUNTA(Q94:AC94)</f>
        <v>0</v>
      </c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89">
        <f>COUNTA(AE94:AQ94)</f>
        <v>0</v>
      </c>
      <c r="AS94" s="54"/>
      <c r="AT94" s="54"/>
      <c r="AU94" s="54"/>
      <c r="AV94" s="54"/>
      <c r="AW94" s="54"/>
      <c r="AX94" s="56"/>
      <c r="AY94" s="54"/>
      <c r="AZ94" s="54"/>
      <c r="BA94" s="54"/>
      <c r="BB94" s="54"/>
      <c r="BC94" s="54"/>
      <c r="BD94" s="54"/>
      <c r="BE94" s="54"/>
      <c r="BF94" s="90">
        <f>COUNTA(AS94:BE94)</f>
        <v>0</v>
      </c>
      <c r="BG94" s="64"/>
      <c r="BH94" s="64"/>
      <c r="BI94" s="64"/>
      <c r="BJ94" s="64"/>
      <c r="BK94" s="64"/>
      <c r="BL94" s="66"/>
      <c r="BM94" s="64"/>
      <c r="BN94" s="64"/>
      <c r="BO94" s="64"/>
      <c r="BP94" s="64"/>
      <c r="BQ94" s="64"/>
      <c r="BR94" s="64"/>
      <c r="BS94" s="64"/>
      <c r="BT94" s="91">
        <f>COUNTA(BG94:BS94)</f>
        <v>0</v>
      </c>
      <c r="BU94">
        <f>COUNTA(C94:O94)+COUNTA(Q94:AC94)+COUNTA(AE94:AQ94)+COUNTA(AS94:BE94)+COUNTA(BG94:BS94)</f>
        <v>0</v>
      </c>
      <c r="BW94" s="40" t="s">
        <v>91</v>
      </c>
      <c r="BX94" s="38"/>
      <c r="BY94" s="38"/>
      <c r="BZ94" s="38"/>
      <c r="CA94" s="38"/>
      <c r="CB94" s="38"/>
      <c r="CC94" s="38">
        <f>COUNTA(BX94:CB94)</f>
        <v>0</v>
      </c>
      <c r="CD94" s="35"/>
      <c r="CE94" s="35"/>
      <c r="CF94" s="35"/>
      <c r="CG94" s="35"/>
      <c r="CH94" s="35"/>
      <c r="CI94" s="83">
        <f>COUNTA(CD94:CH94)</f>
        <v>0</v>
      </c>
      <c r="CO94">
        <f>COUNTA(CJ94:CN94)</f>
        <v>0</v>
      </c>
      <c r="CP94" s="54"/>
      <c r="CQ94" s="54"/>
      <c r="CR94" s="54"/>
      <c r="CS94" s="54"/>
      <c r="CT94" s="54"/>
      <c r="CU94" s="54">
        <f>COUNTA(CP94:CT94)</f>
        <v>0</v>
      </c>
      <c r="CV94" s="64"/>
      <c r="CW94" s="64"/>
      <c r="CX94" s="64"/>
      <c r="CY94" s="64"/>
      <c r="CZ94" s="64"/>
      <c r="DA94" s="64">
        <f>COUNTA(CV94:CZ94)</f>
        <v>0</v>
      </c>
      <c r="DB94" s="69"/>
      <c r="DC94" s="69"/>
      <c r="DD94" s="69"/>
      <c r="DE94" s="69"/>
      <c r="DF94" s="69"/>
      <c r="DG94" s="69">
        <f>COUNTA(DB94:DF94)</f>
        <v>0</v>
      </c>
      <c r="DH94" s="72"/>
      <c r="DI94" s="72"/>
      <c r="DJ94" s="72"/>
      <c r="DK94" s="72"/>
      <c r="DL94" s="72"/>
      <c r="DM94" s="72">
        <f>COUNTA(DH94:DL94)</f>
        <v>0</v>
      </c>
      <c r="DN94" s="4">
        <f>COUNTA(BX94:CB94)+COUNTA(CD94:CH94)+COUNTA(CJ94:CN94)+COUNTA(CP94:CT94)+COUNTA(CV94:CZ94)+COUNTA(DB94:DF94)+COUNTA(DH94:DL94)</f>
        <v>0</v>
      </c>
      <c r="DR94" s="21">
        <v>2</v>
      </c>
      <c r="DS94" s="13"/>
    </row>
    <row r="95" spans="1:123" ht="14.25" x14ac:dyDescent="0.15">
      <c r="A95" s="39" t="s">
        <v>68</v>
      </c>
      <c r="B95" s="32" t="s">
        <v>75</v>
      </c>
      <c r="C95" s="17"/>
      <c r="D95" s="4"/>
      <c r="E95" s="4"/>
      <c r="G95" s="4"/>
      <c r="H95" s="4"/>
      <c r="I95" s="4"/>
      <c r="J95" s="4"/>
      <c r="L95" s="4"/>
      <c r="M95" s="4"/>
      <c r="N95" s="4"/>
      <c r="O95" s="4"/>
      <c r="P95" s="87">
        <f>COUNTA(C95:O95)</f>
        <v>0</v>
      </c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88">
        <f>COUNTA(Q95:AC95)</f>
        <v>0</v>
      </c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89">
        <f>COUNTA(AE95:AQ95)</f>
        <v>0</v>
      </c>
      <c r="AS95" s="54"/>
      <c r="AT95" s="54"/>
      <c r="AU95" s="54"/>
      <c r="AV95" s="54"/>
      <c r="AW95" s="54"/>
      <c r="AX95" s="56"/>
      <c r="AY95" s="54"/>
      <c r="AZ95" s="54"/>
      <c r="BA95" s="54"/>
      <c r="BB95" s="54"/>
      <c r="BC95" s="54"/>
      <c r="BD95" s="54"/>
      <c r="BE95" s="54"/>
      <c r="BF95" s="90">
        <f>COUNTA(AS95:BE95)</f>
        <v>0</v>
      </c>
      <c r="BG95" s="64"/>
      <c r="BH95" s="64"/>
      <c r="BI95" s="64"/>
      <c r="BJ95" s="64"/>
      <c r="BK95" s="64"/>
      <c r="BL95" s="66"/>
      <c r="BM95" s="64"/>
      <c r="BN95" s="64"/>
      <c r="BO95" s="64"/>
      <c r="BP95" s="64"/>
      <c r="BQ95" s="64"/>
      <c r="BR95" s="64"/>
      <c r="BS95" s="64"/>
      <c r="BT95" s="91">
        <f>COUNTA(BG95:BS95)</f>
        <v>0</v>
      </c>
      <c r="BU95">
        <f>COUNTA(C95:O95)+COUNTA(Q95:AC95)+COUNTA(AE95:AQ95)+COUNTA(AS95:BE95)+COUNTA(BG95:BS95)</f>
        <v>0</v>
      </c>
      <c r="BW95" s="39" t="s">
        <v>68</v>
      </c>
      <c r="BX95" s="38"/>
      <c r="BY95" s="38"/>
      <c r="BZ95" s="38"/>
      <c r="CA95" s="38"/>
      <c r="CB95" s="38"/>
      <c r="CC95" s="38">
        <f>COUNTA(BX95:CB95)</f>
        <v>0</v>
      </c>
      <c r="CD95" s="35"/>
      <c r="CE95" s="35"/>
      <c r="CF95" s="35"/>
      <c r="CG95" s="35"/>
      <c r="CH95" s="35"/>
      <c r="CI95" s="83">
        <f>COUNTA(CD95:CH95)</f>
        <v>0</v>
      </c>
      <c r="CO95">
        <f>COUNTA(CJ95:CN95)</f>
        <v>0</v>
      </c>
      <c r="CP95" s="54"/>
      <c r="CQ95" s="54"/>
      <c r="CR95" s="54"/>
      <c r="CS95" s="54"/>
      <c r="CT95" s="54"/>
      <c r="CU95" s="54">
        <f>COUNTA(CP95:CT95)</f>
        <v>0</v>
      </c>
      <c r="CV95" s="64"/>
      <c r="CW95" s="64"/>
      <c r="CX95" s="64"/>
      <c r="CY95" s="64"/>
      <c r="CZ95" s="64"/>
      <c r="DA95" s="64">
        <f>COUNTA(CV95:CZ95)</f>
        <v>0</v>
      </c>
      <c r="DB95" s="69"/>
      <c r="DC95" s="69"/>
      <c r="DD95" s="69"/>
      <c r="DE95" s="69"/>
      <c r="DF95" s="69"/>
      <c r="DG95" s="69">
        <f>COUNTA(DB95:DF95)</f>
        <v>0</v>
      </c>
      <c r="DH95" s="72"/>
      <c r="DI95" s="72"/>
      <c r="DJ95" s="72"/>
      <c r="DK95" s="72"/>
      <c r="DL95" s="72"/>
      <c r="DM95" s="72">
        <f>COUNTA(DH95:DL95)</f>
        <v>0</v>
      </c>
      <c r="DN95" s="4">
        <f>COUNTA(BX95:CB95)+COUNTA(CD95:CH95)+COUNTA(CJ95:CN95)+COUNTA(CP95:CT95)+COUNTA(CV95:CZ95)+COUNTA(DB95:DF95)+COUNTA(DH95:DL95)</f>
        <v>0</v>
      </c>
      <c r="DR95" s="21"/>
      <c r="DS95" s="13"/>
    </row>
  </sheetData>
  <sortState xmlns:xlrd2="http://schemas.microsoft.com/office/spreadsheetml/2017/richdata2" ref="A6:DS73">
    <sortCondition descending="1" ref="DO6:DO73"/>
  </sortState>
  <phoneticPr fontId="1"/>
  <conditionalFormatting sqref="DF7 CZ7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Z25 DF25 CT25 CN25 CH25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F27:DF32 DL92 DL6 CZ27:CZ32 CT50:CT55 CT27:CT32 CN27:CN32 CH27:CH32 DF6 CZ6 DL9:DL24 DF9:DF24 DF92 CZ9:CZ24 CZ92 CH6:CH24 CH92 CN6:CN24 CN92 CT6:CT24 CT92 DL27:DL55 CH34:CH55 CN34:CN55 CT34:CT48 CZ34:CZ55 DF34:DF55"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L56:DL73 DL93:DL95 DF56:DF73 DF93:DF95 CZ56:CZ73 CZ93:CZ95 CT56:CT73 CT93:CT95 CN56:CN73 CN93:CN95 CH56:CH73 CH93:CH95"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25" right="0.25" top="0.75" bottom="0.75" header="0.3" footer="0.3"/>
  <pageSetup paperSize="8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79"/>
  <sheetViews>
    <sheetView view="pageBreakPreview" zoomScale="87" zoomScaleNormal="110" zoomScaleSheetLayoutView="87" workbookViewId="0">
      <selection activeCell="AD18" sqref="AD18"/>
    </sheetView>
  </sheetViews>
  <sheetFormatPr defaultRowHeight="13.5" x14ac:dyDescent="0.15"/>
  <cols>
    <col min="1" max="1" width="24" customWidth="1"/>
    <col min="2" max="9" width="3.25" style="4" customWidth="1"/>
    <col min="10" max="10" width="3.5" style="4" customWidth="1"/>
    <col min="11" max="18" width="3.125" style="4" customWidth="1"/>
    <col min="19" max="19" width="1.25" customWidth="1"/>
    <col min="20" max="24" width="3.5" style="4" customWidth="1"/>
    <col min="25" max="25" width="1" customWidth="1"/>
    <col min="26" max="26" width="6.75" customWidth="1"/>
  </cols>
  <sheetData>
    <row r="1" spans="1:26" ht="13.5" customHeight="1" x14ac:dyDescent="0.15">
      <c r="A1" t="s">
        <v>217</v>
      </c>
      <c r="Y1" s="8"/>
    </row>
    <row r="2" spans="1:26" ht="13.5" customHeight="1" x14ac:dyDescent="0.15">
      <c r="A2" s="148" t="s">
        <v>200</v>
      </c>
      <c r="B2" s="239" t="s">
        <v>216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1"/>
      <c r="S2" s="148"/>
      <c r="T2" s="239" t="s">
        <v>201</v>
      </c>
      <c r="U2" s="240"/>
      <c r="V2" s="240"/>
      <c r="W2" s="240"/>
      <c r="X2" s="241"/>
      <c r="Y2" s="148"/>
      <c r="Z2" s="148"/>
    </row>
    <row r="3" spans="1:26" x14ac:dyDescent="0.15">
      <c r="A3" s="148" t="s">
        <v>0</v>
      </c>
      <c r="B3" s="164">
        <v>29</v>
      </c>
      <c r="C3" s="164">
        <v>30</v>
      </c>
      <c r="D3" s="164">
        <v>31</v>
      </c>
      <c r="E3" s="164">
        <v>32</v>
      </c>
      <c r="F3" s="164">
        <v>33</v>
      </c>
      <c r="G3" s="164">
        <v>34</v>
      </c>
      <c r="H3" s="164">
        <v>35</v>
      </c>
      <c r="I3" s="164">
        <v>36</v>
      </c>
      <c r="J3" s="164">
        <v>37</v>
      </c>
      <c r="K3" s="164">
        <v>39</v>
      </c>
      <c r="L3" s="164">
        <v>40</v>
      </c>
      <c r="M3" s="164">
        <v>41</v>
      </c>
      <c r="N3" s="164">
        <v>42</v>
      </c>
      <c r="O3" s="164">
        <v>43</v>
      </c>
      <c r="P3" s="164">
        <v>44</v>
      </c>
      <c r="Q3" s="164">
        <v>45</v>
      </c>
      <c r="R3" s="164">
        <v>46</v>
      </c>
      <c r="S3" s="148"/>
      <c r="T3" s="164">
        <v>51</v>
      </c>
      <c r="U3" s="164">
        <v>52</v>
      </c>
      <c r="V3" s="164">
        <v>53</v>
      </c>
      <c r="W3" s="164">
        <v>54</v>
      </c>
      <c r="X3" s="164">
        <v>55</v>
      </c>
      <c r="Y3" s="148"/>
      <c r="Z3" s="163" t="s">
        <v>156</v>
      </c>
    </row>
    <row r="4" spans="1:26" ht="18.75" customHeight="1" x14ac:dyDescent="0.15">
      <c r="A4" s="149" t="s">
        <v>59</v>
      </c>
      <c r="B4" s="154">
        <f>COUNT(B5:B79)</f>
        <v>10</v>
      </c>
      <c r="C4" s="154">
        <f t="shared" ref="C4:R4" si="0">COUNT(C5:C79)</f>
        <v>10</v>
      </c>
      <c r="D4" s="154">
        <f t="shared" si="0"/>
        <v>14</v>
      </c>
      <c r="E4" s="154">
        <f t="shared" si="0"/>
        <v>10</v>
      </c>
      <c r="F4" s="154">
        <f t="shared" si="0"/>
        <v>10</v>
      </c>
      <c r="G4" s="154">
        <f t="shared" si="0"/>
        <v>6</v>
      </c>
      <c r="H4" s="154">
        <f t="shared" si="0"/>
        <v>3</v>
      </c>
      <c r="I4" s="154">
        <f t="shared" si="0"/>
        <v>4</v>
      </c>
      <c r="J4" s="154">
        <f t="shared" si="0"/>
        <v>11</v>
      </c>
      <c r="K4" s="154">
        <f t="shared" si="0"/>
        <v>5</v>
      </c>
      <c r="L4" s="154">
        <f t="shared" si="0"/>
        <v>7</v>
      </c>
      <c r="M4" s="154">
        <f t="shared" si="0"/>
        <v>3</v>
      </c>
      <c r="N4" s="154">
        <f t="shared" si="0"/>
        <v>1</v>
      </c>
      <c r="O4" s="154">
        <f t="shared" si="0"/>
        <v>6</v>
      </c>
      <c r="P4" s="154">
        <f t="shared" si="0"/>
        <v>6</v>
      </c>
      <c r="Q4" s="154">
        <f t="shared" si="0"/>
        <v>11</v>
      </c>
      <c r="R4" s="154">
        <f t="shared" si="0"/>
        <v>7</v>
      </c>
      <c r="S4" s="162"/>
      <c r="T4" s="154">
        <f t="shared" ref="T4:X4" si="1">COUNT(T5:T79)</f>
        <v>2</v>
      </c>
      <c r="U4" s="154">
        <f t="shared" si="1"/>
        <v>18</v>
      </c>
      <c r="V4" s="154">
        <f t="shared" si="1"/>
        <v>12</v>
      </c>
      <c r="W4" s="154">
        <f t="shared" si="1"/>
        <v>1</v>
      </c>
      <c r="X4" s="154">
        <f t="shared" si="1"/>
        <v>1</v>
      </c>
      <c r="Y4" s="46"/>
      <c r="Z4" s="161"/>
    </row>
    <row r="5" spans="1:26" x14ac:dyDescent="0.15">
      <c r="A5" s="27" t="s">
        <v>60</v>
      </c>
      <c r="B5" s="165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49"/>
      <c r="Y5" s="148"/>
      <c r="Z5" s="149">
        <f t="shared" ref="Z5:Z43" si="2">COUNTA(B5:X5)</f>
        <v>0</v>
      </c>
    </row>
    <row r="6" spans="1:26" x14ac:dyDescent="0.15">
      <c r="A6" s="27" t="s">
        <v>105</v>
      </c>
      <c r="C6" s="160"/>
      <c r="D6" s="160"/>
      <c r="E6" s="166"/>
      <c r="F6" s="166"/>
      <c r="G6" s="166"/>
      <c r="H6" s="166"/>
      <c r="I6" s="166"/>
      <c r="J6" s="160"/>
      <c r="K6" s="166"/>
      <c r="L6" s="166"/>
      <c r="M6" s="160"/>
      <c r="N6" s="166"/>
      <c r="O6" s="160"/>
      <c r="P6" s="160"/>
      <c r="Q6" s="160"/>
      <c r="R6" s="166"/>
      <c r="S6" s="149"/>
      <c r="Y6" s="148"/>
      <c r="Z6" s="149">
        <f t="shared" si="2"/>
        <v>0</v>
      </c>
    </row>
    <row r="7" spans="1:26" x14ac:dyDescent="0.15">
      <c r="A7" s="2" t="s">
        <v>43</v>
      </c>
      <c r="B7" s="19">
        <v>1</v>
      </c>
      <c r="C7" s="167"/>
      <c r="D7" s="167">
        <v>3</v>
      </c>
      <c r="E7" s="167"/>
      <c r="F7" s="167">
        <v>1</v>
      </c>
      <c r="G7" s="167"/>
      <c r="H7" s="167"/>
      <c r="I7" s="167"/>
      <c r="J7" s="167"/>
      <c r="K7" s="167"/>
      <c r="L7" s="167">
        <v>1</v>
      </c>
      <c r="M7" s="167"/>
      <c r="N7" s="167"/>
      <c r="O7" s="167"/>
      <c r="P7" s="167"/>
      <c r="Q7" s="167">
        <v>1</v>
      </c>
      <c r="R7" s="166"/>
      <c r="S7" s="149"/>
      <c r="T7" s="10"/>
      <c r="U7" s="10"/>
      <c r="V7" s="10"/>
      <c r="W7" s="10"/>
      <c r="X7" s="10"/>
      <c r="Y7" s="148"/>
      <c r="Z7" s="149">
        <f t="shared" si="2"/>
        <v>5</v>
      </c>
    </row>
    <row r="8" spans="1:26" x14ac:dyDescent="0.15">
      <c r="A8" s="27" t="s">
        <v>53</v>
      </c>
      <c r="B8" s="165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49"/>
      <c r="X8" s="4">
        <v>1</v>
      </c>
      <c r="Y8" s="148"/>
      <c r="Z8" s="149">
        <f t="shared" si="2"/>
        <v>1</v>
      </c>
    </row>
    <row r="9" spans="1:26" x14ac:dyDescent="0.15">
      <c r="A9" s="2" t="s">
        <v>12</v>
      </c>
      <c r="B9" s="4">
        <v>3</v>
      </c>
      <c r="C9" s="4">
        <v>3</v>
      </c>
      <c r="D9" s="4">
        <v>1</v>
      </c>
      <c r="E9" s="4">
        <v>1</v>
      </c>
      <c r="F9" s="4">
        <v>1</v>
      </c>
      <c r="G9" s="4">
        <v>1</v>
      </c>
      <c r="J9" s="4">
        <v>1</v>
      </c>
      <c r="K9" s="4">
        <v>1</v>
      </c>
      <c r="L9" s="4">
        <v>1</v>
      </c>
      <c r="M9" s="4">
        <v>1</v>
      </c>
      <c r="O9" s="4">
        <v>1</v>
      </c>
      <c r="P9" s="4">
        <v>1</v>
      </c>
      <c r="Q9" s="4">
        <v>1</v>
      </c>
      <c r="S9" s="149"/>
      <c r="U9" s="4">
        <v>2</v>
      </c>
      <c r="V9" s="4">
        <v>1</v>
      </c>
      <c r="Y9" s="148"/>
      <c r="Z9" s="149">
        <f t="shared" si="2"/>
        <v>15</v>
      </c>
    </row>
    <row r="10" spans="1:26" x14ac:dyDescent="0.15">
      <c r="A10" s="2" t="s">
        <v>93</v>
      </c>
      <c r="B10" s="4">
        <v>1</v>
      </c>
      <c r="E10" s="4">
        <v>1</v>
      </c>
      <c r="S10" s="149"/>
      <c r="U10" s="4">
        <v>1</v>
      </c>
      <c r="Y10" s="148"/>
      <c r="Z10" s="149">
        <f t="shared" si="2"/>
        <v>3</v>
      </c>
    </row>
    <row r="11" spans="1:26" x14ac:dyDescent="0.15">
      <c r="A11" s="2" t="s">
        <v>33</v>
      </c>
      <c r="S11" s="149"/>
      <c r="Y11" s="148"/>
      <c r="Z11" s="149">
        <f t="shared" si="2"/>
        <v>0</v>
      </c>
    </row>
    <row r="12" spans="1:26" x14ac:dyDescent="0.15">
      <c r="A12" s="2" t="s">
        <v>13</v>
      </c>
      <c r="S12" s="149"/>
      <c r="Y12" s="148"/>
      <c r="Z12" s="149">
        <f t="shared" si="2"/>
        <v>0</v>
      </c>
    </row>
    <row r="13" spans="1:26" x14ac:dyDescent="0.15">
      <c r="A13" s="2" t="s">
        <v>190</v>
      </c>
      <c r="S13" s="149"/>
      <c r="Y13" s="148"/>
      <c r="Z13" s="149">
        <f t="shared" si="2"/>
        <v>0</v>
      </c>
    </row>
    <row r="14" spans="1:26" x14ac:dyDescent="0.15">
      <c r="A14" s="2" t="s">
        <v>14</v>
      </c>
      <c r="R14" s="4">
        <v>1</v>
      </c>
      <c r="S14" s="149"/>
      <c r="U14" s="4">
        <v>1</v>
      </c>
      <c r="Y14" s="148"/>
      <c r="Z14" s="149">
        <f t="shared" si="2"/>
        <v>2</v>
      </c>
    </row>
    <row r="15" spans="1:26" x14ac:dyDescent="0.15">
      <c r="A15" s="2" t="s">
        <v>26</v>
      </c>
      <c r="S15" s="149"/>
      <c r="Y15" s="148"/>
      <c r="Z15" s="149">
        <f t="shared" si="2"/>
        <v>0</v>
      </c>
    </row>
    <row r="16" spans="1:26" x14ac:dyDescent="0.15">
      <c r="A16" s="2" t="s">
        <v>51</v>
      </c>
      <c r="B16" s="4">
        <v>1</v>
      </c>
      <c r="R16" s="4">
        <v>1</v>
      </c>
      <c r="S16" s="149"/>
      <c r="Y16" s="148"/>
      <c r="Z16" s="149">
        <f t="shared" si="2"/>
        <v>2</v>
      </c>
    </row>
    <row r="17" spans="1:26" x14ac:dyDescent="0.15">
      <c r="A17" s="2" t="s">
        <v>44</v>
      </c>
      <c r="B17" s="4">
        <v>1</v>
      </c>
      <c r="C17" s="4">
        <v>1</v>
      </c>
      <c r="D17" s="4">
        <v>3</v>
      </c>
      <c r="E17" s="4">
        <v>1</v>
      </c>
      <c r="F17" s="4">
        <v>1</v>
      </c>
      <c r="J17" s="4">
        <v>1</v>
      </c>
      <c r="O17" s="4">
        <v>2</v>
      </c>
      <c r="P17" s="4">
        <v>2</v>
      </c>
      <c r="Q17" s="4">
        <v>1</v>
      </c>
      <c r="S17" s="149"/>
      <c r="Y17" s="148"/>
      <c r="Z17" s="149">
        <f t="shared" si="2"/>
        <v>9</v>
      </c>
    </row>
    <row r="18" spans="1:26" x14ac:dyDescent="0.15">
      <c r="A18" s="2" t="s">
        <v>4</v>
      </c>
      <c r="D18" s="4">
        <v>2</v>
      </c>
      <c r="E18" s="4">
        <v>1</v>
      </c>
      <c r="F18" s="4">
        <v>1</v>
      </c>
      <c r="J18" s="4">
        <v>1</v>
      </c>
      <c r="Q18" s="4">
        <v>1</v>
      </c>
      <c r="S18" s="149"/>
      <c r="U18" s="4">
        <v>1</v>
      </c>
      <c r="V18" s="4">
        <v>1</v>
      </c>
      <c r="Y18" s="148"/>
      <c r="Z18" s="149">
        <f t="shared" si="2"/>
        <v>7</v>
      </c>
    </row>
    <row r="19" spans="1:26" x14ac:dyDescent="0.15">
      <c r="A19" s="2" t="s">
        <v>15</v>
      </c>
      <c r="S19" s="149"/>
      <c r="Y19" s="148"/>
      <c r="Z19" s="149">
        <f t="shared" si="2"/>
        <v>0</v>
      </c>
    </row>
    <row r="20" spans="1:26" x14ac:dyDescent="0.15">
      <c r="A20" s="2" t="s">
        <v>5</v>
      </c>
      <c r="D20" s="4">
        <v>1</v>
      </c>
      <c r="Q20" s="4">
        <v>1</v>
      </c>
      <c r="R20" s="4">
        <v>1</v>
      </c>
      <c r="S20" s="149"/>
      <c r="U20" s="4">
        <v>1</v>
      </c>
      <c r="V20" s="4">
        <v>1</v>
      </c>
      <c r="Y20" s="148"/>
      <c r="Z20" s="149">
        <f t="shared" si="2"/>
        <v>5</v>
      </c>
    </row>
    <row r="21" spans="1:26" x14ac:dyDescent="0.15">
      <c r="A21" s="2" t="s">
        <v>46</v>
      </c>
      <c r="C21" s="4">
        <v>1</v>
      </c>
      <c r="D21" s="4">
        <v>1</v>
      </c>
      <c r="J21" s="4">
        <v>1</v>
      </c>
      <c r="Q21" s="4">
        <v>1</v>
      </c>
      <c r="S21" s="149"/>
      <c r="U21" s="4">
        <v>1</v>
      </c>
      <c r="V21" s="4">
        <v>2</v>
      </c>
      <c r="Y21" s="148"/>
      <c r="Z21" s="149">
        <f t="shared" si="2"/>
        <v>6</v>
      </c>
    </row>
    <row r="22" spans="1:26" x14ac:dyDescent="0.15">
      <c r="A22" s="2" t="s">
        <v>109</v>
      </c>
      <c r="S22" s="149"/>
      <c r="Y22" s="148"/>
      <c r="Z22" s="149">
        <f t="shared" si="2"/>
        <v>0</v>
      </c>
    </row>
    <row r="23" spans="1:26" x14ac:dyDescent="0.15">
      <c r="A23" s="5" t="s">
        <v>133</v>
      </c>
      <c r="S23" s="149"/>
      <c r="Y23" s="148"/>
      <c r="Z23" s="149">
        <f t="shared" si="2"/>
        <v>0</v>
      </c>
    </row>
    <row r="24" spans="1:26" x14ac:dyDescent="0.15">
      <c r="A24" s="5" t="s">
        <v>212</v>
      </c>
      <c r="J24" s="4">
        <v>1</v>
      </c>
      <c r="R24" s="4">
        <v>1</v>
      </c>
      <c r="S24" s="149"/>
      <c r="Y24" s="148"/>
      <c r="Z24" s="149">
        <f t="shared" si="2"/>
        <v>2</v>
      </c>
    </row>
    <row r="25" spans="1:26" x14ac:dyDescent="0.15">
      <c r="A25" s="2" t="s">
        <v>45</v>
      </c>
      <c r="S25" s="149"/>
      <c r="V25" s="4">
        <v>1</v>
      </c>
      <c r="Y25" s="148"/>
      <c r="Z25" s="149">
        <f t="shared" si="2"/>
        <v>1</v>
      </c>
    </row>
    <row r="26" spans="1:26" x14ac:dyDescent="0.15">
      <c r="A26" s="2" t="s">
        <v>16</v>
      </c>
      <c r="S26" s="149"/>
      <c r="U26" s="4">
        <v>1</v>
      </c>
      <c r="Y26" s="148"/>
      <c r="Z26" s="149">
        <f t="shared" si="2"/>
        <v>1</v>
      </c>
    </row>
    <row r="27" spans="1:26" x14ac:dyDescent="0.15">
      <c r="A27" s="2" t="s">
        <v>219</v>
      </c>
      <c r="S27" s="149"/>
      <c r="Y27" s="148"/>
      <c r="Z27" s="149">
        <f t="shared" si="2"/>
        <v>0</v>
      </c>
    </row>
    <row r="28" spans="1:26" x14ac:dyDescent="0.15">
      <c r="A28" s="5" t="s">
        <v>70</v>
      </c>
      <c r="S28" s="149"/>
      <c r="Y28" s="148"/>
      <c r="Z28" s="149">
        <f t="shared" si="2"/>
        <v>0</v>
      </c>
    </row>
    <row r="29" spans="1:26" x14ac:dyDescent="0.15">
      <c r="A29" s="5" t="s">
        <v>199</v>
      </c>
      <c r="S29" s="149"/>
      <c r="Y29" s="148"/>
      <c r="Z29" s="149">
        <f t="shared" si="2"/>
        <v>0</v>
      </c>
    </row>
    <row r="30" spans="1:26" x14ac:dyDescent="0.15">
      <c r="A30" s="2" t="s">
        <v>62</v>
      </c>
      <c r="S30" s="149"/>
      <c r="Y30" s="148"/>
      <c r="Z30" s="149">
        <f t="shared" si="2"/>
        <v>0</v>
      </c>
    </row>
    <row r="31" spans="1:26" x14ac:dyDescent="0.15">
      <c r="A31" s="2" t="s">
        <v>17</v>
      </c>
      <c r="S31" s="149"/>
      <c r="Y31" s="148"/>
      <c r="Z31" s="149">
        <f t="shared" si="2"/>
        <v>0</v>
      </c>
    </row>
    <row r="32" spans="1:26" x14ac:dyDescent="0.15">
      <c r="A32" s="2" t="s">
        <v>49</v>
      </c>
      <c r="B32" s="4">
        <v>2</v>
      </c>
      <c r="C32" s="4">
        <v>1</v>
      </c>
      <c r="D32" s="4">
        <v>2</v>
      </c>
      <c r="E32" s="4">
        <v>1</v>
      </c>
      <c r="F32" s="4">
        <v>1</v>
      </c>
      <c r="G32" s="4">
        <v>1</v>
      </c>
      <c r="I32" s="4">
        <v>1</v>
      </c>
      <c r="J32" s="4">
        <v>1</v>
      </c>
      <c r="K32" s="4">
        <v>1</v>
      </c>
      <c r="L32" s="4">
        <v>1</v>
      </c>
      <c r="O32" s="4">
        <v>1</v>
      </c>
      <c r="P32" s="4">
        <v>1</v>
      </c>
      <c r="Q32" s="4">
        <v>1</v>
      </c>
      <c r="R32" s="4">
        <v>1</v>
      </c>
      <c r="S32" s="149"/>
      <c r="T32" s="4">
        <v>1</v>
      </c>
      <c r="U32" s="4">
        <v>2</v>
      </c>
      <c r="V32" s="4">
        <v>1</v>
      </c>
      <c r="W32" s="4">
        <v>1</v>
      </c>
      <c r="Y32" s="148"/>
      <c r="Z32" s="149">
        <f t="shared" si="2"/>
        <v>18</v>
      </c>
    </row>
    <row r="33" spans="1:26" x14ac:dyDescent="0.15">
      <c r="A33" s="2" t="s">
        <v>6</v>
      </c>
      <c r="S33" s="149"/>
      <c r="Y33" s="148"/>
      <c r="Z33" s="149">
        <f t="shared" si="2"/>
        <v>0</v>
      </c>
    </row>
    <row r="34" spans="1:26" x14ac:dyDescent="0.15">
      <c r="A34" s="2" t="s">
        <v>19</v>
      </c>
      <c r="D34" s="4">
        <v>3</v>
      </c>
      <c r="F34" s="4">
        <v>1</v>
      </c>
      <c r="S34" s="149"/>
      <c r="U34" s="4">
        <v>1</v>
      </c>
      <c r="Y34" s="148"/>
      <c r="Z34" s="149">
        <f t="shared" si="2"/>
        <v>3</v>
      </c>
    </row>
    <row r="35" spans="1:26" x14ac:dyDescent="0.15">
      <c r="A35" s="2" t="s">
        <v>68</v>
      </c>
      <c r="S35" s="149"/>
      <c r="Y35" s="148"/>
      <c r="Z35" s="149">
        <f t="shared" si="2"/>
        <v>0</v>
      </c>
    </row>
    <row r="36" spans="1:26" x14ac:dyDescent="0.15">
      <c r="A36" s="2" t="s">
        <v>37</v>
      </c>
      <c r="S36" s="149"/>
      <c r="Y36" s="148"/>
      <c r="Z36" s="149">
        <f t="shared" si="2"/>
        <v>0</v>
      </c>
    </row>
    <row r="37" spans="1:26" x14ac:dyDescent="0.15">
      <c r="A37" s="2" t="s">
        <v>20</v>
      </c>
      <c r="E37" s="4">
        <v>2</v>
      </c>
      <c r="G37" s="4">
        <v>1</v>
      </c>
      <c r="H37" s="4">
        <v>1</v>
      </c>
      <c r="L37" s="4">
        <v>1</v>
      </c>
      <c r="S37" s="149"/>
      <c r="U37" s="4">
        <v>1</v>
      </c>
      <c r="Y37" s="148"/>
      <c r="Z37" s="149">
        <f t="shared" si="2"/>
        <v>5</v>
      </c>
    </row>
    <row r="38" spans="1:26" x14ac:dyDescent="0.15">
      <c r="A38" s="2" t="s">
        <v>11</v>
      </c>
      <c r="S38" s="149"/>
      <c r="U38" s="4">
        <v>1</v>
      </c>
      <c r="Y38" s="148"/>
      <c r="Z38" s="149">
        <f t="shared" si="2"/>
        <v>1</v>
      </c>
    </row>
    <row r="39" spans="1:26" x14ac:dyDescent="0.15">
      <c r="A39" s="2" t="s">
        <v>21</v>
      </c>
      <c r="B39" s="4">
        <v>1</v>
      </c>
      <c r="C39" s="4">
        <v>1</v>
      </c>
      <c r="D39" s="4">
        <v>3</v>
      </c>
      <c r="E39" s="4">
        <v>2</v>
      </c>
      <c r="F39" s="4">
        <v>1</v>
      </c>
      <c r="G39" s="4">
        <v>1</v>
      </c>
      <c r="H39" s="4">
        <v>2</v>
      </c>
      <c r="I39" s="4">
        <v>1</v>
      </c>
      <c r="J39" s="4">
        <v>1</v>
      </c>
      <c r="K39" s="4">
        <v>1</v>
      </c>
      <c r="L39" s="4">
        <v>1</v>
      </c>
      <c r="M39" s="4">
        <v>3</v>
      </c>
      <c r="O39" s="4">
        <v>2</v>
      </c>
      <c r="P39" s="4">
        <v>2</v>
      </c>
      <c r="Q39" s="4">
        <v>2</v>
      </c>
      <c r="R39" s="4">
        <v>1</v>
      </c>
      <c r="S39" s="149"/>
      <c r="U39" s="4">
        <v>1</v>
      </c>
      <c r="V39" s="4">
        <v>1</v>
      </c>
      <c r="Y39" s="149"/>
      <c r="Z39" s="149">
        <f t="shared" si="2"/>
        <v>18</v>
      </c>
    </row>
    <row r="40" spans="1:26" x14ac:dyDescent="0.15">
      <c r="A40" s="2" t="s">
        <v>197</v>
      </c>
      <c r="S40" s="149"/>
      <c r="Y40" s="149"/>
      <c r="Z40" s="149">
        <f t="shared" si="2"/>
        <v>0</v>
      </c>
    </row>
    <row r="41" spans="1:26" x14ac:dyDescent="0.15">
      <c r="A41" s="2" t="s">
        <v>196</v>
      </c>
      <c r="S41" s="149"/>
      <c r="Y41" s="149"/>
      <c r="Z41" s="149">
        <f t="shared" si="2"/>
        <v>0</v>
      </c>
    </row>
    <row r="42" spans="1:26" x14ac:dyDescent="0.15">
      <c r="A42" s="5" t="s">
        <v>198</v>
      </c>
      <c r="S42" s="149"/>
      <c r="Y42" s="148"/>
      <c r="Z42" s="149">
        <f t="shared" si="2"/>
        <v>0</v>
      </c>
    </row>
    <row r="43" spans="1:26" x14ac:dyDescent="0.15">
      <c r="A43" s="2" t="s">
        <v>35</v>
      </c>
      <c r="B43" s="4">
        <v>1</v>
      </c>
      <c r="C43" s="4">
        <v>1</v>
      </c>
      <c r="D43" s="4">
        <v>2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N43" s="4">
        <v>1</v>
      </c>
      <c r="Q43" s="4">
        <v>1</v>
      </c>
      <c r="S43" s="149"/>
      <c r="Y43" s="148"/>
      <c r="Z43" s="149">
        <f t="shared" si="2"/>
        <v>13</v>
      </c>
    </row>
    <row r="44" spans="1:26" ht="19.5" customHeight="1" x14ac:dyDescent="0.15">
      <c r="A44" s="2" t="s">
        <v>110</v>
      </c>
      <c r="S44" s="4"/>
      <c r="V44" s="4">
        <v>1</v>
      </c>
      <c r="Z44" s="4"/>
    </row>
    <row r="45" spans="1:26" x14ac:dyDescent="0.15">
      <c r="A45" s="2" t="s">
        <v>25</v>
      </c>
      <c r="D45" s="4">
        <v>2</v>
      </c>
      <c r="S45" s="4"/>
    </row>
    <row r="46" spans="1:26" x14ac:dyDescent="0.15">
      <c r="A46" s="2" t="s">
        <v>38</v>
      </c>
      <c r="S46" s="4"/>
      <c r="T46" s="4">
        <v>1</v>
      </c>
      <c r="U46" s="4">
        <v>1</v>
      </c>
    </row>
    <row r="47" spans="1:26" x14ac:dyDescent="0.15">
      <c r="A47" s="2" t="s">
        <v>27</v>
      </c>
      <c r="S47" s="4"/>
    </row>
    <row r="48" spans="1:26" x14ac:dyDescent="0.15">
      <c r="A48" s="2" t="s">
        <v>36</v>
      </c>
      <c r="S48" s="4"/>
    </row>
    <row r="49" spans="1:22" x14ac:dyDescent="0.15">
      <c r="A49" s="2" t="s">
        <v>50</v>
      </c>
      <c r="S49" s="4"/>
      <c r="U49" s="4">
        <v>1</v>
      </c>
    </row>
    <row r="50" spans="1:22" x14ac:dyDescent="0.15">
      <c r="A50" s="2" t="s">
        <v>195</v>
      </c>
      <c r="S50" s="4"/>
    </row>
    <row r="51" spans="1:22" x14ac:dyDescent="0.15">
      <c r="A51" s="2" t="s">
        <v>102</v>
      </c>
      <c r="S51" s="4"/>
    </row>
    <row r="52" spans="1:22" x14ac:dyDescent="0.15">
      <c r="A52" s="2" t="s">
        <v>58</v>
      </c>
      <c r="S52" s="4"/>
      <c r="U52" s="4">
        <v>1</v>
      </c>
      <c r="V52" s="4">
        <v>1</v>
      </c>
    </row>
    <row r="53" spans="1:22" x14ac:dyDescent="0.15">
      <c r="A53" s="2" t="s">
        <v>57</v>
      </c>
      <c r="S53" s="4"/>
    </row>
    <row r="54" spans="1:22" x14ac:dyDescent="0.15">
      <c r="A54" s="2" t="s">
        <v>28</v>
      </c>
      <c r="S54" s="4"/>
    </row>
    <row r="55" spans="1:22" x14ac:dyDescent="0.15">
      <c r="A55" s="2" t="s">
        <v>194</v>
      </c>
      <c r="S55" s="4"/>
    </row>
    <row r="56" spans="1:22" x14ac:dyDescent="0.15">
      <c r="A56" s="2" t="s">
        <v>10</v>
      </c>
      <c r="S56" s="4"/>
    </row>
    <row r="57" spans="1:22" x14ac:dyDescent="0.15">
      <c r="A57" s="5" t="s">
        <v>174</v>
      </c>
      <c r="B57" s="165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>
        <v>1</v>
      </c>
      <c r="P57" s="166"/>
      <c r="Q57" s="166"/>
      <c r="R57" s="166"/>
      <c r="S57" s="4"/>
    </row>
    <row r="58" spans="1:22" x14ac:dyDescent="0.15">
      <c r="A58" s="2" t="s">
        <v>22</v>
      </c>
      <c r="S58" s="4"/>
    </row>
    <row r="59" spans="1:22" x14ac:dyDescent="0.15">
      <c r="A59" s="5" t="s">
        <v>132</v>
      </c>
      <c r="S59" s="4"/>
    </row>
    <row r="60" spans="1:22" x14ac:dyDescent="0.15">
      <c r="A60" s="5" t="s">
        <v>191</v>
      </c>
      <c r="S60" s="4"/>
    </row>
    <row r="61" spans="1:22" x14ac:dyDescent="0.15">
      <c r="A61" s="5" t="s">
        <v>218</v>
      </c>
      <c r="J61" s="4">
        <v>1</v>
      </c>
      <c r="S61" s="4"/>
      <c r="U61" s="4">
        <v>1</v>
      </c>
    </row>
    <row r="62" spans="1:22" x14ac:dyDescent="0.15">
      <c r="A62" s="5" t="s">
        <v>203</v>
      </c>
      <c r="C62" s="4">
        <v>1</v>
      </c>
      <c r="Q62" s="4">
        <v>1</v>
      </c>
      <c r="S62" s="4"/>
      <c r="V62" s="4">
        <v>1</v>
      </c>
    </row>
    <row r="63" spans="1:22" x14ac:dyDescent="0.15">
      <c r="A63" s="2" t="s">
        <v>23</v>
      </c>
      <c r="S63" s="4"/>
    </row>
    <row r="64" spans="1:22" x14ac:dyDescent="0.15">
      <c r="A64" s="2" t="s">
        <v>208</v>
      </c>
      <c r="J64" s="4">
        <v>1</v>
      </c>
      <c r="K64" s="4">
        <v>1</v>
      </c>
      <c r="S64" s="4"/>
    </row>
    <row r="65" spans="1:22" x14ac:dyDescent="0.15">
      <c r="A65" s="2" t="s">
        <v>41</v>
      </c>
      <c r="S65" s="4"/>
    </row>
    <row r="66" spans="1:22" x14ac:dyDescent="0.15">
      <c r="A66" s="5" t="s">
        <v>95</v>
      </c>
      <c r="S66" s="4"/>
    </row>
    <row r="67" spans="1:22" x14ac:dyDescent="0.15">
      <c r="A67" s="5" t="s">
        <v>111</v>
      </c>
      <c r="S67" s="4"/>
      <c r="U67" s="4">
        <v>1</v>
      </c>
      <c r="V67" s="4">
        <v>1</v>
      </c>
    </row>
    <row r="68" spans="1:22" x14ac:dyDescent="0.15">
      <c r="A68" s="2" t="s">
        <v>7</v>
      </c>
      <c r="B68" s="4">
        <v>2</v>
      </c>
      <c r="C68" s="4">
        <v>1</v>
      </c>
      <c r="D68" s="4">
        <v>2</v>
      </c>
      <c r="P68" s="4">
        <v>1</v>
      </c>
      <c r="Q68" s="4">
        <v>1</v>
      </c>
      <c r="S68" s="4"/>
    </row>
    <row r="69" spans="1:22" x14ac:dyDescent="0.15">
      <c r="A69" s="2" t="s">
        <v>32</v>
      </c>
      <c r="S69" s="4"/>
    </row>
    <row r="70" spans="1:22" x14ac:dyDescent="0.15">
      <c r="A70" s="5" t="s">
        <v>72</v>
      </c>
      <c r="S70" s="4"/>
    </row>
    <row r="71" spans="1:22" x14ac:dyDescent="0.15">
      <c r="A71" s="5" t="s">
        <v>61</v>
      </c>
      <c r="S71" s="4"/>
    </row>
    <row r="72" spans="1:22" x14ac:dyDescent="0.15">
      <c r="A72" s="5" t="s">
        <v>42</v>
      </c>
      <c r="C72" s="4">
        <v>1</v>
      </c>
      <c r="D72" s="4">
        <v>2</v>
      </c>
      <c r="E72" s="4">
        <v>2</v>
      </c>
      <c r="F72" s="4">
        <v>1</v>
      </c>
      <c r="L72" s="4">
        <v>1</v>
      </c>
      <c r="S72" s="4"/>
    </row>
    <row r="73" spans="1:22" x14ac:dyDescent="0.15">
      <c r="A73" s="5" t="s">
        <v>205</v>
      </c>
      <c r="S73" s="4"/>
    </row>
    <row r="74" spans="1:22" x14ac:dyDescent="0.15">
      <c r="A74" s="2" t="s">
        <v>213</v>
      </c>
      <c r="R74" s="4">
        <v>2</v>
      </c>
      <c r="S74" s="4"/>
    </row>
    <row r="75" spans="1:22" x14ac:dyDescent="0.15">
      <c r="A75" s="5" t="s">
        <v>96</v>
      </c>
      <c r="I75" s="4">
        <v>1</v>
      </c>
      <c r="S75" s="4"/>
    </row>
    <row r="76" spans="1:22" x14ac:dyDescent="0.15">
      <c r="A76" s="2" t="s">
        <v>175</v>
      </c>
      <c r="S76" s="4"/>
    </row>
    <row r="77" spans="1:22" x14ac:dyDescent="0.15">
      <c r="A77" s="2" t="s">
        <v>24</v>
      </c>
      <c r="J77" s="4">
        <v>1</v>
      </c>
      <c r="S77" s="4"/>
    </row>
    <row r="78" spans="1:22" x14ac:dyDescent="0.15">
      <c r="A78" s="2" t="s">
        <v>189</v>
      </c>
      <c r="B78" s="4">
        <v>3</v>
      </c>
      <c r="C78" s="4">
        <v>2</v>
      </c>
      <c r="D78" s="4">
        <v>1</v>
      </c>
      <c r="E78" s="4">
        <v>1</v>
      </c>
      <c r="F78" s="4">
        <v>1</v>
      </c>
      <c r="G78" s="4">
        <v>1</v>
      </c>
      <c r="M78" s="4">
        <v>1</v>
      </c>
      <c r="O78" s="4">
        <v>1</v>
      </c>
      <c r="P78" s="4">
        <v>1</v>
      </c>
      <c r="S78" s="4"/>
      <c r="U78" s="4">
        <v>1</v>
      </c>
      <c r="V78" s="4">
        <v>1</v>
      </c>
    </row>
    <row r="79" spans="1:22" x14ac:dyDescent="0.15">
      <c r="A79" s="5" t="s">
        <v>202</v>
      </c>
      <c r="S79" s="4"/>
    </row>
  </sheetData>
  <mergeCells count="2">
    <mergeCell ref="B2:R2"/>
    <mergeCell ref="T2:X2"/>
  </mergeCells>
  <phoneticPr fontId="1"/>
  <conditionalFormatting sqref="X5:X7 X9:X7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41" right="0.37" top="0.75" bottom="0.75" header="0.3" footer="0.3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8272-FC06-4F50-A004-A7775FCF1161}">
  <sheetPr>
    <pageSetUpPr fitToPage="1"/>
  </sheetPr>
  <dimension ref="A1:V64"/>
  <sheetViews>
    <sheetView zoomScale="84" zoomScaleNormal="84" zoomScaleSheetLayoutView="87" workbookViewId="0">
      <selection activeCell="N33" sqref="N33"/>
    </sheetView>
  </sheetViews>
  <sheetFormatPr defaultRowHeight="13.5" x14ac:dyDescent="0.15"/>
  <cols>
    <col min="1" max="1" width="27.25" customWidth="1"/>
    <col min="2" max="9" width="3.25" style="4" customWidth="1"/>
    <col min="10" max="10" width="3.5" style="4" customWidth="1"/>
    <col min="11" max="14" width="3.125" style="4" customWidth="1"/>
    <col min="15" max="15" width="1.25" customWidth="1"/>
    <col min="16" max="20" width="3.5" style="4" customWidth="1"/>
    <col min="21" max="21" width="1" customWidth="1"/>
    <col min="22" max="22" width="6.75" customWidth="1"/>
  </cols>
  <sheetData>
    <row r="1" spans="1:22" ht="13.5" customHeight="1" x14ac:dyDescent="0.15">
      <c r="A1" t="s">
        <v>237</v>
      </c>
      <c r="U1" s="8"/>
    </row>
    <row r="2" spans="1:22" ht="13.5" customHeight="1" x14ac:dyDescent="0.15">
      <c r="A2" s="148" t="s">
        <v>200</v>
      </c>
      <c r="B2" s="240" t="s">
        <v>238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148"/>
      <c r="P2" s="239" t="s">
        <v>201</v>
      </c>
      <c r="Q2" s="240"/>
      <c r="R2" s="240"/>
      <c r="S2" s="240"/>
      <c r="T2" s="241"/>
      <c r="U2" s="148"/>
      <c r="V2" s="148"/>
    </row>
    <row r="3" spans="1:22" x14ac:dyDescent="0.15">
      <c r="A3" s="148" t="s">
        <v>0</v>
      </c>
      <c r="B3" s="176">
        <v>1</v>
      </c>
      <c r="C3" s="164">
        <v>2</v>
      </c>
      <c r="D3" s="164">
        <v>3</v>
      </c>
      <c r="E3" s="164">
        <v>4</v>
      </c>
      <c r="F3" s="164">
        <v>5</v>
      </c>
      <c r="G3" s="164">
        <v>6</v>
      </c>
      <c r="H3" s="164">
        <v>7</v>
      </c>
      <c r="I3" s="164">
        <v>8</v>
      </c>
      <c r="J3" s="164">
        <v>9</v>
      </c>
      <c r="K3" s="164">
        <v>10</v>
      </c>
      <c r="L3" s="164">
        <v>11</v>
      </c>
      <c r="M3" s="164">
        <v>12</v>
      </c>
      <c r="N3" s="164">
        <v>13</v>
      </c>
      <c r="O3" s="148"/>
      <c r="P3" s="164">
        <v>51</v>
      </c>
      <c r="Q3" s="164">
        <v>52</v>
      </c>
      <c r="R3" s="164">
        <v>53</v>
      </c>
      <c r="S3" s="164">
        <v>54</v>
      </c>
      <c r="T3" s="164">
        <v>55</v>
      </c>
      <c r="U3" s="148"/>
      <c r="V3" s="163" t="s">
        <v>156</v>
      </c>
    </row>
    <row r="4" spans="1:22" ht="18.75" customHeight="1" x14ac:dyDescent="0.15">
      <c r="A4" s="149" t="s">
        <v>59</v>
      </c>
      <c r="B4" s="186">
        <f t="shared" ref="B4:N4" si="0">COUNT(B5:B64)</f>
        <v>24</v>
      </c>
      <c r="C4" s="186">
        <f t="shared" si="0"/>
        <v>22</v>
      </c>
      <c r="D4" s="186">
        <f t="shared" si="0"/>
        <v>18</v>
      </c>
      <c r="E4" s="186">
        <f t="shared" si="0"/>
        <v>25</v>
      </c>
      <c r="F4" s="186">
        <f t="shared" si="0"/>
        <v>21</v>
      </c>
      <c r="G4" s="186">
        <f t="shared" si="0"/>
        <v>27</v>
      </c>
      <c r="H4" s="186">
        <f t="shared" si="0"/>
        <v>17</v>
      </c>
      <c r="I4" s="186">
        <f t="shared" si="0"/>
        <v>22</v>
      </c>
      <c r="J4" s="186">
        <f t="shared" si="0"/>
        <v>16</v>
      </c>
      <c r="K4" s="186">
        <f t="shared" si="0"/>
        <v>15</v>
      </c>
      <c r="L4" s="186">
        <f t="shared" si="0"/>
        <v>21</v>
      </c>
      <c r="M4" s="186">
        <f t="shared" si="0"/>
        <v>19</v>
      </c>
      <c r="N4" s="186">
        <f t="shared" si="0"/>
        <v>13</v>
      </c>
      <c r="O4" s="162"/>
      <c r="P4" s="186">
        <f>COUNT(P5:P64)</f>
        <v>2</v>
      </c>
      <c r="Q4" s="186">
        <f>COUNT(Q5:Q64)</f>
        <v>18</v>
      </c>
      <c r="R4" s="186">
        <f>COUNT(R5:R64)</f>
        <v>14</v>
      </c>
      <c r="S4" s="186">
        <f>COUNT(S5:S64)</f>
        <v>1</v>
      </c>
      <c r="T4" s="186">
        <f>COUNT(T5:T63)</f>
        <v>1</v>
      </c>
      <c r="U4" s="162"/>
      <c r="V4" s="161"/>
    </row>
    <row r="5" spans="1:22" x14ac:dyDescent="0.15">
      <c r="A5" s="187" t="s">
        <v>93</v>
      </c>
      <c r="B5" s="178">
        <v>2</v>
      </c>
      <c r="C5" s="178">
        <v>1</v>
      </c>
      <c r="D5" s="178"/>
      <c r="E5" s="178">
        <v>1</v>
      </c>
      <c r="F5" s="178">
        <v>1</v>
      </c>
      <c r="G5" s="178"/>
      <c r="H5" s="178"/>
      <c r="I5" s="178">
        <v>1</v>
      </c>
      <c r="J5" s="178">
        <v>1</v>
      </c>
      <c r="K5" s="178"/>
      <c r="L5" s="178">
        <v>1</v>
      </c>
      <c r="M5" s="178"/>
      <c r="N5" s="178"/>
      <c r="O5" s="182"/>
      <c r="P5" s="178"/>
      <c r="Q5" s="178">
        <v>1</v>
      </c>
      <c r="R5" s="178"/>
      <c r="S5" s="178"/>
      <c r="T5" s="178"/>
      <c r="U5" s="185"/>
      <c r="V5" s="182">
        <f t="shared" ref="V5:V36" si="1">COUNTA(B5:T5)</f>
        <v>8</v>
      </c>
    </row>
    <row r="6" spans="1:22" x14ac:dyDescent="0.15">
      <c r="A6" s="180" t="s">
        <v>60</v>
      </c>
      <c r="B6" s="10"/>
      <c r="C6" s="10"/>
      <c r="D6" s="10"/>
      <c r="E6" s="10"/>
      <c r="F6" s="188">
        <v>2</v>
      </c>
      <c r="G6" s="188"/>
      <c r="H6" s="10"/>
      <c r="I6" s="188">
        <v>1</v>
      </c>
      <c r="J6" s="10"/>
      <c r="K6" s="10"/>
      <c r="L6" s="10"/>
      <c r="M6" s="10"/>
      <c r="N6" s="10"/>
      <c r="O6" s="149"/>
      <c r="P6" s="178"/>
      <c r="Q6" s="178"/>
      <c r="R6" s="178"/>
      <c r="S6" s="178"/>
      <c r="T6" s="178"/>
      <c r="U6" s="148"/>
      <c r="V6" s="149">
        <f t="shared" si="1"/>
        <v>2</v>
      </c>
    </row>
    <row r="7" spans="1:22" x14ac:dyDescent="0.15">
      <c r="A7" s="187" t="s">
        <v>43</v>
      </c>
      <c r="B7" s="178"/>
      <c r="C7" s="178"/>
      <c r="D7" s="178"/>
      <c r="E7" s="178"/>
      <c r="F7" s="178"/>
      <c r="G7" s="178">
        <v>1</v>
      </c>
      <c r="H7" s="178"/>
      <c r="I7" s="178"/>
      <c r="J7" s="178"/>
      <c r="K7" s="178"/>
      <c r="L7" s="178">
        <v>1</v>
      </c>
      <c r="M7" s="178"/>
      <c r="N7" s="178"/>
      <c r="O7" s="149"/>
      <c r="P7" s="10"/>
      <c r="Q7" s="10"/>
      <c r="R7" s="10"/>
      <c r="S7" s="10"/>
      <c r="T7" s="10"/>
      <c r="U7" s="148"/>
      <c r="V7" s="149">
        <f t="shared" si="1"/>
        <v>2</v>
      </c>
    </row>
    <row r="8" spans="1:22" x14ac:dyDescent="0.15">
      <c r="A8" s="180" t="s">
        <v>53</v>
      </c>
      <c r="B8" s="188"/>
      <c r="C8" s="10"/>
      <c r="D8" s="10"/>
      <c r="E8" s="10">
        <v>1</v>
      </c>
      <c r="F8" s="10">
        <v>1</v>
      </c>
      <c r="G8" s="188">
        <v>2</v>
      </c>
      <c r="H8" s="188">
        <v>2</v>
      </c>
      <c r="I8" s="188">
        <v>1</v>
      </c>
      <c r="J8" s="10"/>
      <c r="K8" s="188"/>
      <c r="L8" s="188"/>
      <c r="M8" s="189">
        <v>1</v>
      </c>
      <c r="N8" s="10"/>
      <c r="O8" s="149"/>
      <c r="P8" s="178"/>
      <c r="Q8" s="178"/>
      <c r="R8" s="178"/>
      <c r="S8" s="178"/>
      <c r="T8" s="8">
        <v>1</v>
      </c>
      <c r="U8" s="148"/>
      <c r="V8" s="149">
        <f t="shared" si="1"/>
        <v>7</v>
      </c>
    </row>
    <row r="9" spans="1:22" x14ac:dyDescent="0.15">
      <c r="A9" s="187" t="s">
        <v>12</v>
      </c>
      <c r="B9" s="178">
        <v>1</v>
      </c>
      <c r="C9" s="178">
        <v>1</v>
      </c>
      <c r="D9" s="178">
        <v>1</v>
      </c>
      <c r="E9" s="178">
        <v>1</v>
      </c>
      <c r="F9" s="178">
        <v>2</v>
      </c>
      <c r="G9" s="178">
        <v>1</v>
      </c>
      <c r="H9" s="178"/>
      <c r="I9" s="178">
        <v>1</v>
      </c>
      <c r="J9" s="178"/>
      <c r="K9" s="178">
        <v>1</v>
      </c>
      <c r="L9" s="178">
        <v>2</v>
      </c>
      <c r="M9" s="178">
        <v>1</v>
      </c>
      <c r="N9" s="178">
        <v>1</v>
      </c>
      <c r="O9" s="149"/>
      <c r="P9" s="178"/>
      <c r="Q9" s="178">
        <v>2</v>
      </c>
      <c r="R9" s="178">
        <v>1</v>
      </c>
      <c r="S9" s="178"/>
      <c r="T9" s="178"/>
      <c r="U9" s="148"/>
      <c r="V9" s="149">
        <f t="shared" si="1"/>
        <v>13</v>
      </c>
    </row>
    <row r="10" spans="1:22" x14ac:dyDescent="0.15">
      <c r="A10" s="187" t="s">
        <v>33</v>
      </c>
      <c r="B10" s="178"/>
      <c r="C10" s="178"/>
      <c r="D10" s="178"/>
      <c r="E10" s="178"/>
      <c r="F10" s="178"/>
      <c r="G10" s="178"/>
      <c r="H10" s="178"/>
      <c r="I10" s="178"/>
      <c r="J10" s="178">
        <v>1</v>
      </c>
      <c r="K10" s="178">
        <v>1</v>
      </c>
      <c r="L10" s="178"/>
      <c r="M10" s="178"/>
      <c r="N10" s="178"/>
      <c r="O10" s="149"/>
      <c r="P10" s="178"/>
      <c r="Q10" s="178"/>
      <c r="R10" s="178"/>
      <c r="S10" s="178"/>
      <c r="T10" s="178"/>
      <c r="U10" s="148"/>
      <c r="V10" s="149">
        <f t="shared" si="1"/>
        <v>2</v>
      </c>
    </row>
    <row r="11" spans="1:22" x14ac:dyDescent="0.15">
      <c r="A11" s="187" t="s">
        <v>13</v>
      </c>
      <c r="B11" s="178"/>
      <c r="C11" s="178"/>
      <c r="D11" s="178">
        <v>1</v>
      </c>
      <c r="E11" s="178">
        <v>2</v>
      </c>
      <c r="F11" s="178">
        <v>1</v>
      </c>
      <c r="G11" s="178"/>
      <c r="H11" s="178"/>
      <c r="I11" s="178">
        <v>1</v>
      </c>
      <c r="J11" s="178"/>
      <c r="K11" s="178"/>
      <c r="L11" s="178"/>
      <c r="M11" s="178"/>
      <c r="N11" s="178"/>
      <c r="O11" s="149"/>
      <c r="P11" s="178"/>
      <c r="Q11" s="178"/>
      <c r="R11" s="178"/>
      <c r="S11" s="178"/>
      <c r="T11" s="178"/>
      <c r="U11" s="148"/>
      <c r="V11" s="149">
        <f t="shared" si="1"/>
        <v>4</v>
      </c>
    </row>
    <row r="12" spans="1:22" x14ac:dyDescent="0.15">
      <c r="A12" s="187" t="s">
        <v>190</v>
      </c>
      <c r="B12" s="178"/>
      <c r="C12" s="178">
        <v>1</v>
      </c>
      <c r="D12" s="178"/>
      <c r="E12" s="178"/>
      <c r="F12" s="178"/>
      <c r="G12" s="178"/>
      <c r="H12" s="178"/>
      <c r="I12" s="178">
        <v>1</v>
      </c>
      <c r="J12" s="178"/>
      <c r="K12" s="178"/>
      <c r="L12" s="178"/>
      <c r="M12" s="178"/>
      <c r="N12" s="178"/>
      <c r="O12" s="149"/>
      <c r="P12" s="178"/>
      <c r="Q12" s="178"/>
      <c r="R12" s="178"/>
      <c r="S12" s="178"/>
      <c r="T12" s="178"/>
      <c r="U12" s="148"/>
      <c r="V12" s="149">
        <f t="shared" si="1"/>
        <v>2</v>
      </c>
    </row>
    <row r="13" spans="1:22" x14ac:dyDescent="0.15">
      <c r="A13" s="187" t="s">
        <v>190</v>
      </c>
      <c r="B13" s="178">
        <v>1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49"/>
      <c r="P13" s="178"/>
      <c r="Q13" s="178"/>
      <c r="R13" s="178"/>
      <c r="S13" s="178"/>
      <c r="T13" s="178"/>
      <c r="U13" s="148"/>
      <c r="V13" s="149">
        <f t="shared" si="1"/>
        <v>1</v>
      </c>
    </row>
    <row r="14" spans="1:22" x14ac:dyDescent="0.15">
      <c r="A14" s="187" t="s">
        <v>14</v>
      </c>
      <c r="B14" s="178"/>
      <c r="C14" s="178"/>
      <c r="D14" s="178"/>
      <c r="E14" s="178">
        <v>1</v>
      </c>
      <c r="F14" s="178">
        <v>1</v>
      </c>
      <c r="G14" s="178"/>
      <c r="H14" s="178">
        <v>1</v>
      </c>
      <c r="I14" s="178"/>
      <c r="J14" s="178">
        <v>2</v>
      </c>
      <c r="K14" s="178">
        <v>1</v>
      </c>
      <c r="L14" s="178">
        <v>3</v>
      </c>
      <c r="M14" s="178">
        <v>1</v>
      </c>
      <c r="N14" s="178">
        <v>1</v>
      </c>
      <c r="O14" s="149"/>
      <c r="P14" s="178"/>
      <c r="Q14" s="178">
        <v>1</v>
      </c>
      <c r="R14" s="178"/>
      <c r="S14" s="178"/>
      <c r="T14" s="178"/>
      <c r="U14" s="148"/>
      <c r="V14" s="149">
        <f t="shared" si="1"/>
        <v>9</v>
      </c>
    </row>
    <row r="15" spans="1:22" x14ac:dyDescent="0.15">
      <c r="A15" s="187" t="s">
        <v>26</v>
      </c>
      <c r="B15" s="178"/>
      <c r="C15" s="178"/>
      <c r="D15" s="178"/>
      <c r="E15" s="178"/>
      <c r="F15" s="178"/>
      <c r="G15" s="178">
        <v>1</v>
      </c>
      <c r="H15" s="178"/>
      <c r="I15" s="178">
        <v>1</v>
      </c>
      <c r="J15" s="178"/>
      <c r="K15" s="178"/>
      <c r="L15" s="178"/>
      <c r="M15" s="178"/>
      <c r="N15" s="178"/>
      <c r="O15" s="149"/>
      <c r="P15" s="178"/>
      <c r="Q15" s="178"/>
      <c r="R15" s="178"/>
      <c r="S15" s="178"/>
      <c r="T15" s="178"/>
      <c r="U15" s="148"/>
      <c r="V15" s="149">
        <f t="shared" si="1"/>
        <v>2</v>
      </c>
    </row>
    <row r="16" spans="1:22" x14ac:dyDescent="0.15">
      <c r="A16" s="187" t="s">
        <v>51</v>
      </c>
      <c r="B16" s="178">
        <v>1</v>
      </c>
      <c r="C16" s="178">
        <v>3</v>
      </c>
      <c r="D16" s="178"/>
      <c r="E16" s="178"/>
      <c r="F16" s="178"/>
      <c r="G16" s="178">
        <v>1</v>
      </c>
      <c r="H16" s="178"/>
      <c r="I16" s="178">
        <v>1</v>
      </c>
      <c r="J16" s="178"/>
      <c r="K16" s="178"/>
      <c r="L16" s="178">
        <v>2</v>
      </c>
      <c r="M16" s="178"/>
      <c r="N16" s="178"/>
      <c r="O16" s="149"/>
      <c r="P16" s="178"/>
      <c r="Q16" s="178"/>
      <c r="R16" s="178"/>
      <c r="S16" s="178"/>
      <c r="T16" s="178"/>
      <c r="U16" s="148"/>
      <c r="V16" s="149">
        <f t="shared" si="1"/>
        <v>5</v>
      </c>
    </row>
    <row r="17" spans="1:22" x14ac:dyDescent="0.15">
      <c r="A17" s="187" t="s">
        <v>44</v>
      </c>
      <c r="B17" s="178"/>
      <c r="C17" s="178"/>
      <c r="D17" s="178"/>
      <c r="E17" s="178"/>
      <c r="F17" s="178"/>
      <c r="G17" s="178"/>
      <c r="H17" s="178">
        <v>1</v>
      </c>
      <c r="I17" s="178"/>
      <c r="J17" s="178"/>
      <c r="K17" s="178"/>
      <c r="L17" s="178"/>
      <c r="M17" s="178"/>
      <c r="N17" s="178">
        <v>1</v>
      </c>
      <c r="O17" s="149"/>
      <c r="P17" s="178"/>
      <c r="Q17" s="178"/>
      <c r="R17" s="178"/>
      <c r="S17" s="178"/>
      <c r="T17" s="178"/>
      <c r="U17" s="148"/>
      <c r="V17" s="149">
        <f t="shared" si="1"/>
        <v>2</v>
      </c>
    </row>
    <row r="18" spans="1:22" x14ac:dyDescent="0.15">
      <c r="A18" s="187" t="s">
        <v>4</v>
      </c>
      <c r="B18" s="178">
        <v>1</v>
      </c>
      <c r="C18" s="178">
        <v>4</v>
      </c>
      <c r="D18" s="178">
        <v>4</v>
      </c>
      <c r="E18" s="178">
        <v>2</v>
      </c>
      <c r="F18" s="178">
        <v>1</v>
      </c>
      <c r="G18" s="178">
        <v>2</v>
      </c>
      <c r="H18" s="178">
        <v>1</v>
      </c>
      <c r="I18" s="178">
        <v>2</v>
      </c>
      <c r="J18" s="178">
        <v>2</v>
      </c>
      <c r="K18" s="178">
        <v>3</v>
      </c>
      <c r="L18" s="178">
        <v>3</v>
      </c>
      <c r="M18" s="178">
        <v>3</v>
      </c>
      <c r="N18" s="178">
        <v>3</v>
      </c>
      <c r="O18" s="149"/>
      <c r="P18" s="178"/>
      <c r="Q18" s="178">
        <v>1</v>
      </c>
      <c r="R18" s="178">
        <v>1</v>
      </c>
      <c r="S18" s="178"/>
      <c r="T18" s="178"/>
      <c r="U18" s="148"/>
      <c r="V18" s="149">
        <f t="shared" si="1"/>
        <v>15</v>
      </c>
    </row>
    <row r="19" spans="1:22" x14ac:dyDescent="0.15">
      <c r="A19" s="187" t="s">
        <v>232</v>
      </c>
      <c r="B19" s="178"/>
      <c r="C19" s="178"/>
      <c r="D19" s="178"/>
      <c r="E19" s="178"/>
      <c r="F19" s="178"/>
      <c r="G19" s="178"/>
      <c r="H19" s="178">
        <v>1</v>
      </c>
      <c r="I19" s="178"/>
      <c r="J19" s="178"/>
      <c r="K19" s="178"/>
      <c r="L19" s="178"/>
      <c r="M19" s="178"/>
      <c r="N19" s="178"/>
      <c r="O19" s="149"/>
      <c r="P19" s="178"/>
      <c r="Q19" s="178"/>
      <c r="R19" s="178"/>
      <c r="S19" s="178"/>
      <c r="T19" s="178"/>
      <c r="U19" s="148"/>
      <c r="V19" s="149">
        <f t="shared" si="1"/>
        <v>1</v>
      </c>
    </row>
    <row r="20" spans="1:22" x14ac:dyDescent="0.15">
      <c r="A20" s="187" t="s">
        <v>15</v>
      </c>
      <c r="B20" s="178"/>
      <c r="C20" s="178"/>
      <c r="D20" s="178"/>
      <c r="E20" s="178">
        <v>1</v>
      </c>
      <c r="F20" s="178">
        <v>1</v>
      </c>
      <c r="G20" s="178"/>
      <c r="H20" s="178"/>
      <c r="I20" s="178"/>
      <c r="J20" s="178"/>
      <c r="K20" s="178"/>
      <c r="L20" s="178"/>
      <c r="M20" s="178"/>
      <c r="N20" s="178"/>
      <c r="O20" s="149"/>
      <c r="P20" s="178"/>
      <c r="Q20" s="178"/>
      <c r="R20" s="178"/>
      <c r="S20" s="178"/>
      <c r="T20" s="178"/>
      <c r="U20" s="148"/>
      <c r="V20" s="149">
        <f t="shared" si="1"/>
        <v>2</v>
      </c>
    </row>
    <row r="21" spans="1:22" x14ac:dyDescent="0.15">
      <c r="A21" s="187" t="s">
        <v>5</v>
      </c>
      <c r="B21" s="178">
        <v>1</v>
      </c>
      <c r="C21" s="178"/>
      <c r="D21" s="178">
        <v>1</v>
      </c>
      <c r="E21" s="178">
        <v>1</v>
      </c>
      <c r="F21" s="178">
        <v>1</v>
      </c>
      <c r="G21" s="178">
        <v>1</v>
      </c>
      <c r="H21" s="178">
        <v>1</v>
      </c>
      <c r="I21" s="178">
        <v>1</v>
      </c>
      <c r="J21" s="178">
        <v>1</v>
      </c>
      <c r="K21" s="178"/>
      <c r="L21" s="178">
        <v>1</v>
      </c>
      <c r="M21" s="178">
        <v>1</v>
      </c>
      <c r="N21" s="178"/>
      <c r="O21" s="149"/>
      <c r="P21" s="178"/>
      <c r="Q21" s="178">
        <v>1</v>
      </c>
      <c r="R21" s="178">
        <v>1</v>
      </c>
      <c r="S21" s="178"/>
      <c r="T21" s="178"/>
      <c r="U21" s="148"/>
      <c r="V21" s="149">
        <f t="shared" si="1"/>
        <v>12</v>
      </c>
    </row>
    <row r="22" spans="1:22" x14ac:dyDescent="0.15">
      <c r="A22" s="187" t="s">
        <v>46</v>
      </c>
      <c r="B22" s="178"/>
      <c r="C22" s="178"/>
      <c r="D22" s="178"/>
      <c r="E22" s="178">
        <v>1</v>
      </c>
      <c r="F22" s="178"/>
      <c r="G22" s="178">
        <v>1</v>
      </c>
      <c r="H22" s="178">
        <v>1</v>
      </c>
      <c r="I22" s="178"/>
      <c r="J22" s="178">
        <v>1</v>
      </c>
      <c r="K22" s="178">
        <v>1</v>
      </c>
      <c r="L22" s="178">
        <v>1</v>
      </c>
      <c r="M22" s="178">
        <v>1</v>
      </c>
      <c r="N22" s="178"/>
      <c r="O22" s="149"/>
      <c r="P22" s="178"/>
      <c r="Q22" s="178"/>
      <c r="R22" s="178">
        <v>1</v>
      </c>
      <c r="S22" s="178"/>
      <c r="T22" s="178"/>
      <c r="U22" s="148"/>
      <c r="V22" s="149">
        <f t="shared" si="1"/>
        <v>8</v>
      </c>
    </row>
    <row r="23" spans="1:22" x14ac:dyDescent="0.15">
      <c r="A23" s="187" t="s">
        <v>228</v>
      </c>
      <c r="B23" s="178">
        <v>1</v>
      </c>
      <c r="C23" s="178"/>
      <c r="D23" s="178"/>
      <c r="E23" s="178"/>
      <c r="F23" s="178"/>
      <c r="G23" s="178">
        <v>1</v>
      </c>
      <c r="H23" s="178"/>
      <c r="I23" s="178"/>
      <c r="J23" s="178"/>
      <c r="K23" s="178"/>
      <c r="L23" s="178"/>
      <c r="M23" s="178">
        <v>1</v>
      </c>
      <c r="N23" s="178"/>
      <c r="O23" s="149"/>
      <c r="P23" s="178"/>
      <c r="Q23" s="178"/>
      <c r="R23" s="178"/>
      <c r="S23" s="178"/>
      <c r="T23" s="178"/>
      <c r="U23" s="148"/>
      <c r="V23" s="149">
        <f t="shared" si="1"/>
        <v>3</v>
      </c>
    </row>
    <row r="24" spans="1:22" x14ac:dyDescent="0.15">
      <c r="A24" s="187" t="s">
        <v>45</v>
      </c>
      <c r="B24" s="178"/>
      <c r="C24" s="178"/>
      <c r="D24" s="178"/>
      <c r="E24" s="178"/>
      <c r="F24" s="178">
        <v>1</v>
      </c>
      <c r="G24" s="178">
        <v>1</v>
      </c>
      <c r="H24" s="178"/>
      <c r="I24" s="178"/>
      <c r="J24" s="178"/>
      <c r="K24" s="178"/>
      <c r="L24" s="178"/>
      <c r="M24" s="178"/>
      <c r="N24" s="178"/>
      <c r="O24" s="149"/>
      <c r="P24" s="178"/>
      <c r="Q24" s="178"/>
      <c r="R24" s="178">
        <v>1</v>
      </c>
      <c r="S24" s="178"/>
      <c r="T24" s="178"/>
      <c r="U24" s="148"/>
      <c r="V24" s="149">
        <f t="shared" si="1"/>
        <v>3</v>
      </c>
    </row>
    <row r="25" spans="1:22" x14ac:dyDescent="0.15">
      <c r="A25" s="187" t="s">
        <v>16</v>
      </c>
      <c r="B25" s="178">
        <v>1</v>
      </c>
      <c r="C25" s="178">
        <v>2</v>
      </c>
      <c r="D25" s="178">
        <v>3</v>
      </c>
      <c r="E25" s="178">
        <v>2</v>
      </c>
      <c r="F25" s="178">
        <v>1</v>
      </c>
      <c r="G25" s="178">
        <v>2</v>
      </c>
      <c r="H25" s="178"/>
      <c r="I25" s="178">
        <v>1</v>
      </c>
      <c r="J25" s="178"/>
      <c r="K25" s="178"/>
      <c r="L25" s="178">
        <v>2</v>
      </c>
      <c r="M25" s="178">
        <v>2</v>
      </c>
      <c r="N25" s="178"/>
      <c r="O25" s="149"/>
      <c r="P25" s="178"/>
      <c r="Q25" s="178">
        <v>1</v>
      </c>
      <c r="R25" s="178"/>
      <c r="S25" s="178"/>
      <c r="T25" s="178"/>
      <c r="U25" s="148"/>
      <c r="V25" s="149">
        <f t="shared" si="1"/>
        <v>10</v>
      </c>
    </row>
    <row r="26" spans="1:22" x14ac:dyDescent="0.15">
      <c r="A26" s="180" t="s">
        <v>221</v>
      </c>
      <c r="B26" s="178">
        <v>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83"/>
      <c r="P26" s="178"/>
      <c r="Q26" s="178"/>
      <c r="R26" s="178"/>
      <c r="S26" s="178"/>
      <c r="T26" s="177"/>
      <c r="U26" s="184"/>
      <c r="V26" s="149">
        <f t="shared" si="1"/>
        <v>1</v>
      </c>
    </row>
    <row r="27" spans="1:22" x14ac:dyDescent="0.15">
      <c r="A27" s="180" t="s">
        <v>222</v>
      </c>
      <c r="B27" s="181"/>
      <c r="C27" s="178">
        <v>1</v>
      </c>
      <c r="D27" s="178"/>
      <c r="E27" s="178">
        <v>1</v>
      </c>
      <c r="F27" s="178"/>
      <c r="G27" s="178"/>
      <c r="H27" s="178"/>
      <c r="I27" s="178"/>
      <c r="J27" s="178"/>
      <c r="K27" s="178"/>
      <c r="L27" s="178"/>
      <c r="M27" s="178"/>
      <c r="N27" s="177"/>
      <c r="O27" s="182"/>
      <c r="P27" s="181"/>
      <c r="Q27" s="178"/>
      <c r="R27" s="178"/>
      <c r="S27" s="178"/>
      <c r="T27" s="178"/>
      <c r="U27" s="148"/>
      <c r="V27" s="182">
        <f t="shared" si="1"/>
        <v>2</v>
      </c>
    </row>
    <row r="28" spans="1:22" x14ac:dyDescent="0.15">
      <c r="A28" s="187" t="s">
        <v>62</v>
      </c>
      <c r="B28" s="178"/>
      <c r="C28" s="178"/>
      <c r="D28" s="178"/>
      <c r="E28" s="178"/>
      <c r="F28" s="178"/>
      <c r="G28" s="178">
        <v>2</v>
      </c>
      <c r="H28" s="178">
        <v>2</v>
      </c>
      <c r="I28" s="178"/>
      <c r="J28" s="178"/>
      <c r="K28" s="178"/>
      <c r="L28" s="178"/>
      <c r="M28" s="178"/>
      <c r="N28" s="178"/>
      <c r="O28" s="149"/>
      <c r="P28" s="178"/>
      <c r="Q28" s="178"/>
      <c r="R28" s="178"/>
      <c r="S28" s="178"/>
      <c r="T28" s="178"/>
      <c r="U28" s="148"/>
      <c r="V28" s="149">
        <f t="shared" si="1"/>
        <v>2</v>
      </c>
    </row>
    <row r="29" spans="1:22" x14ac:dyDescent="0.15">
      <c r="A29" s="187" t="s">
        <v>17</v>
      </c>
      <c r="B29" s="178">
        <v>1</v>
      </c>
      <c r="C29" s="178">
        <v>1</v>
      </c>
      <c r="D29" s="178"/>
      <c r="E29" s="178">
        <v>1</v>
      </c>
      <c r="F29" s="178"/>
      <c r="G29" s="178"/>
      <c r="H29" s="178"/>
      <c r="I29" s="178"/>
      <c r="J29" s="178"/>
      <c r="K29" s="178"/>
      <c r="L29" s="178"/>
      <c r="M29" s="178"/>
      <c r="N29" s="178"/>
      <c r="O29" s="149"/>
      <c r="P29" s="178"/>
      <c r="Q29" s="178"/>
      <c r="R29" s="178"/>
      <c r="S29" s="178"/>
      <c r="T29" s="178"/>
      <c r="U29" s="148"/>
      <c r="V29" s="149">
        <f t="shared" si="1"/>
        <v>3</v>
      </c>
    </row>
    <row r="30" spans="1:22" x14ac:dyDescent="0.15">
      <c r="A30" s="187" t="s">
        <v>49</v>
      </c>
      <c r="B30" s="178">
        <v>2</v>
      </c>
      <c r="C30" s="178">
        <v>1</v>
      </c>
      <c r="D30" s="178">
        <v>2</v>
      </c>
      <c r="E30" s="178">
        <v>2</v>
      </c>
      <c r="F30" s="178">
        <v>2</v>
      </c>
      <c r="G30" s="178">
        <v>2</v>
      </c>
      <c r="H30" s="178">
        <v>2</v>
      </c>
      <c r="I30" s="178">
        <v>1</v>
      </c>
      <c r="J30" s="178">
        <v>1</v>
      </c>
      <c r="K30" s="178">
        <v>1</v>
      </c>
      <c r="L30" s="178">
        <v>1</v>
      </c>
      <c r="M30" s="178">
        <v>1</v>
      </c>
      <c r="N30" s="178">
        <v>2</v>
      </c>
      <c r="O30" s="149"/>
      <c r="P30" s="178">
        <v>2</v>
      </c>
      <c r="Q30" s="178">
        <v>2</v>
      </c>
      <c r="R30" s="178">
        <v>2</v>
      </c>
      <c r="S30" s="178">
        <v>1</v>
      </c>
      <c r="T30" s="178"/>
      <c r="U30" s="148"/>
      <c r="V30" s="149">
        <f t="shared" si="1"/>
        <v>17</v>
      </c>
    </row>
    <row r="31" spans="1:22" x14ac:dyDescent="0.15">
      <c r="A31" s="187" t="s">
        <v>6</v>
      </c>
      <c r="B31" s="178">
        <v>2</v>
      </c>
      <c r="C31" s="178">
        <v>1</v>
      </c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49"/>
      <c r="P31" s="178"/>
      <c r="Q31" s="178"/>
      <c r="R31" s="178"/>
      <c r="S31" s="178"/>
      <c r="T31" s="178"/>
      <c r="U31" s="148"/>
      <c r="V31" s="149">
        <f t="shared" si="1"/>
        <v>2</v>
      </c>
    </row>
    <row r="32" spans="1:22" x14ac:dyDescent="0.15">
      <c r="A32" s="187" t="s">
        <v>189</v>
      </c>
      <c r="B32" s="178"/>
      <c r="C32" s="178"/>
      <c r="D32" s="178"/>
      <c r="E32" s="178">
        <v>2</v>
      </c>
      <c r="F32" s="178">
        <v>2</v>
      </c>
      <c r="G32" s="178">
        <v>1</v>
      </c>
      <c r="H32" s="178">
        <v>1</v>
      </c>
      <c r="I32" s="178">
        <v>1</v>
      </c>
      <c r="J32" s="178">
        <v>1</v>
      </c>
      <c r="K32" s="178">
        <v>2</v>
      </c>
      <c r="L32" s="178">
        <v>1</v>
      </c>
      <c r="M32" s="178">
        <v>1</v>
      </c>
      <c r="N32" s="178">
        <v>1</v>
      </c>
      <c r="O32" s="149"/>
      <c r="P32" s="178"/>
      <c r="Q32" s="178">
        <v>1</v>
      </c>
      <c r="R32" s="178">
        <v>1</v>
      </c>
      <c r="S32" s="178"/>
      <c r="T32" s="178"/>
      <c r="U32" s="148"/>
      <c r="V32" s="149">
        <f t="shared" si="1"/>
        <v>12</v>
      </c>
    </row>
    <row r="33" spans="1:22" x14ac:dyDescent="0.15">
      <c r="A33" s="187" t="s">
        <v>19</v>
      </c>
      <c r="B33" s="178">
        <v>1</v>
      </c>
      <c r="C33" s="178">
        <v>1</v>
      </c>
      <c r="D33" s="178">
        <v>1</v>
      </c>
      <c r="E33" s="178">
        <v>1</v>
      </c>
      <c r="F33" s="178">
        <v>1</v>
      </c>
      <c r="G33" s="178">
        <v>2</v>
      </c>
      <c r="H33" s="178">
        <v>3</v>
      </c>
      <c r="I33" s="178">
        <v>2</v>
      </c>
      <c r="J33" s="178">
        <v>2</v>
      </c>
      <c r="K33" s="178">
        <v>2</v>
      </c>
      <c r="L33" s="178">
        <v>5</v>
      </c>
      <c r="M33" s="178">
        <v>3</v>
      </c>
      <c r="N33" s="178">
        <v>2</v>
      </c>
      <c r="O33" s="149"/>
      <c r="P33" s="178"/>
      <c r="Q33" s="178">
        <v>1</v>
      </c>
      <c r="R33" s="178"/>
      <c r="S33" s="178"/>
      <c r="T33" s="178"/>
      <c r="U33" s="148"/>
      <c r="V33" s="149">
        <f t="shared" si="1"/>
        <v>14</v>
      </c>
    </row>
    <row r="34" spans="1:22" x14ac:dyDescent="0.15">
      <c r="A34" s="187" t="s">
        <v>231</v>
      </c>
      <c r="B34" s="178"/>
      <c r="C34" s="178"/>
      <c r="D34" s="178"/>
      <c r="E34" s="178"/>
      <c r="F34" s="178"/>
      <c r="G34" s="178"/>
      <c r="H34" s="178">
        <v>1</v>
      </c>
      <c r="I34" s="178"/>
      <c r="J34" s="178"/>
      <c r="K34" s="178"/>
      <c r="L34" s="178"/>
      <c r="M34" s="178"/>
      <c r="N34" s="178"/>
      <c r="O34" s="149"/>
      <c r="P34" s="178"/>
      <c r="Q34" s="178"/>
      <c r="R34" s="178"/>
      <c r="S34" s="178"/>
      <c r="T34" s="178"/>
      <c r="U34" s="148"/>
      <c r="V34" s="149">
        <f t="shared" si="1"/>
        <v>1</v>
      </c>
    </row>
    <row r="35" spans="1:22" x14ac:dyDescent="0.15">
      <c r="A35" s="187" t="s">
        <v>20</v>
      </c>
      <c r="B35" s="178">
        <v>1</v>
      </c>
      <c r="C35" s="178">
        <v>1</v>
      </c>
      <c r="D35" s="178"/>
      <c r="E35" s="178">
        <v>1</v>
      </c>
      <c r="F35" s="178">
        <v>3</v>
      </c>
      <c r="G35" s="178">
        <v>1</v>
      </c>
      <c r="H35" s="178"/>
      <c r="I35" s="178">
        <v>2</v>
      </c>
      <c r="J35" s="178">
        <v>1</v>
      </c>
      <c r="K35" s="178">
        <v>1</v>
      </c>
      <c r="L35" s="178">
        <v>1</v>
      </c>
      <c r="M35" s="178">
        <v>2</v>
      </c>
      <c r="N35" s="178"/>
      <c r="O35" s="149"/>
      <c r="P35" s="178"/>
      <c r="Q35" s="178">
        <v>1</v>
      </c>
      <c r="R35" s="178"/>
      <c r="S35" s="178"/>
      <c r="T35" s="178"/>
      <c r="U35" s="149"/>
      <c r="V35" s="149">
        <f t="shared" si="1"/>
        <v>11</v>
      </c>
    </row>
    <row r="36" spans="1:22" x14ac:dyDescent="0.15">
      <c r="A36" s="187" t="s">
        <v>11</v>
      </c>
      <c r="B36" s="178">
        <v>4</v>
      </c>
      <c r="C36" s="178">
        <v>3</v>
      </c>
      <c r="D36" s="178">
        <v>3</v>
      </c>
      <c r="E36" s="178">
        <v>1</v>
      </c>
      <c r="F36" s="178">
        <v>3</v>
      </c>
      <c r="G36" s="178">
        <v>1</v>
      </c>
      <c r="H36" s="178"/>
      <c r="I36" s="178">
        <v>1</v>
      </c>
      <c r="J36" s="178">
        <v>1</v>
      </c>
      <c r="K36" s="178"/>
      <c r="L36" s="178"/>
      <c r="M36" s="178"/>
      <c r="N36" s="178"/>
      <c r="O36" s="149"/>
      <c r="P36" s="178"/>
      <c r="Q36" s="178">
        <v>1</v>
      </c>
      <c r="R36" s="178"/>
      <c r="S36" s="178"/>
      <c r="T36" s="178"/>
      <c r="U36" s="149"/>
      <c r="V36" s="149">
        <f t="shared" si="1"/>
        <v>9</v>
      </c>
    </row>
    <row r="37" spans="1:22" x14ac:dyDescent="0.15">
      <c r="A37" s="187" t="s">
        <v>21</v>
      </c>
      <c r="B37" s="178">
        <v>1</v>
      </c>
      <c r="C37" s="178">
        <v>1</v>
      </c>
      <c r="D37" s="178">
        <v>1</v>
      </c>
      <c r="E37" s="178">
        <v>2</v>
      </c>
      <c r="F37" s="178"/>
      <c r="G37" s="178">
        <v>3</v>
      </c>
      <c r="H37" s="178"/>
      <c r="I37" s="178">
        <v>1</v>
      </c>
      <c r="J37" s="178">
        <v>2</v>
      </c>
      <c r="K37" s="178">
        <v>2</v>
      </c>
      <c r="L37" s="178">
        <v>2</v>
      </c>
      <c r="M37" s="178">
        <v>2</v>
      </c>
      <c r="N37" s="178">
        <v>2</v>
      </c>
      <c r="O37" s="149"/>
      <c r="P37" s="178"/>
      <c r="Q37" s="178">
        <v>1</v>
      </c>
      <c r="R37" s="178">
        <v>1</v>
      </c>
      <c r="S37" s="178"/>
      <c r="T37" s="178"/>
      <c r="U37" s="148"/>
      <c r="V37" s="149">
        <f t="shared" ref="V37:V64" si="2">COUNTA(B37:T37)</f>
        <v>13</v>
      </c>
    </row>
    <row r="38" spans="1:22" x14ac:dyDescent="0.15">
      <c r="A38" s="187" t="s">
        <v>196</v>
      </c>
      <c r="B38" s="178"/>
      <c r="C38" s="178"/>
      <c r="D38" s="178"/>
      <c r="E38" s="178"/>
      <c r="F38" s="178">
        <v>2</v>
      </c>
      <c r="G38" s="178">
        <v>2</v>
      </c>
      <c r="H38" s="178"/>
      <c r="I38" s="178">
        <v>1</v>
      </c>
      <c r="J38" s="178">
        <v>1</v>
      </c>
      <c r="K38" s="178">
        <v>1</v>
      </c>
      <c r="L38" s="178">
        <v>3</v>
      </c>
      <c r="M38" s="178"/>
      <c r="N38" s="178"/>
      <c r="O38" s="149"/>
      <c r="P38" s="178"/>
      <c r="Q38" s="178">
        <v>1</v>
      </c>
      <c r="R38" s="178"/>
      <c r="S38" s="178"/>
      <c r="T38" s="178"/>
      <c r="U38" s="148"/>
      <c r="V38" s="149">
        <f t="shared" si="2"/>
        <v>7</v>
      </c>
    </row>
    <row r="39" spans="1:22" x14ac:dyDescent="0.15">
      <c r="A39" s="187" t="s">
        <v>197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>
        <v>1</v>
      </c>
      <c r="M39" s="178"/>
      <c r="N39" s="178"/>
      <c r="O39" s="149"/>
      <c r="P39" s="178"/>
      <c r="Q39" s="178"/>
      <c r="R39" s="178"/>
      <c r="S39" s="178"/>
      <c r="T39" s="178"/>
      <c r="U39" s="148"/>
      <c r="V39" s="149">
        <f t="shared" si="2"/>
        <v>1</v>
      </c>
    </row>
    <row r="40" spans="1:22" x14ac:dyDescent="0.15">
      <c r="A40" s="180" t="s">
        <v>198</v>
      </c>
      <c r="B40" s="178"/>
      <c r="C40" s="178"/>
      <c r="D40" s="178">
        <v>1</v>
      </c>
      <c r="E40" s="178"/>
      <c r="F40" s="178"/>
      <c r="G40" s="178">
        <v>1</v>
      </c>
      <c r="H40" s="178">
        <v>1</v>
      </c>
      <c r="I40" s="178"/>
      <c r="J40" s="178"/>
      <c r="K40" s="178">
        <v>1</v>
      </c>
      <c r="L40" s="178"/>
      <c r="M40" s="178"/>
      <c r="N40" s="178"/>
      <c r="O40" s="149"/>
      <c r="P40" s="178"/>
      <c r="Q40" s="178"/>
      <c r="R40" s="178"/>
      <c r="S40" s="178"/>
      <c r="T40" s="178"/>
      <c r="U40" s="148"/>
      <c r="V40" s="149">
        <f t="shared" si="2"/>
        <v>4</v>
      </c>
    </row>
    <row r="41" spans="1:22" x14ac:dyDescent="0.15">
      <c r="A41" s="187" t="s">
        <v>35</v>
      </c>
      <c r="B41" s="178"/>
      <c r="C41" s="178"/>
      <c r="D41" s="178"/>
      <c r="E41" s="178"/>
      <c r="F41" s="178"/>
      <c r="G41" s="178"/>
      <c r="H41" s="178"/>
      <c r="I41" s="178"/>
      <c r="J41" s="178">
        <v>2</v>
      </c>
      <c r="K41" s="178">
        <v>1</v>
      </c>
      <c r="L41" s="178">
        <v>1</v>
      </c>
      <c r="M41" s="178">
        <v>1</v>
      </c>
      <c r="N41" s="178">
        <v>1</v>
      </c>
      <c r="O41" s="149"/>
      <c r="P41" s="178"/>
      <c r="Q41" s="178"/>
      <c r="R41" s="178">
        <v>1</v>
      </c>
      <c r="S41" s="178"/>
      <c r="T41" s="178"/>
      <c r="U41" s="148"/>
      <c r="V41" s="149">
        <f t="shared" si="2"/>
        <v>6</v>
      </c>
    </row>
    <row r="42" spans="1:22" x14ac:dyDescent="0.15">
      <c r="A42" s="187" t="s">
        <v>110</v>
      </c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49"/>
      <c r="P42" s="178"/>
      <c r="Q42" s="178"/>
      <c r="R42" s="178">
        <v>1</v>
      </c>
      <c r="S42" s="178"/>
      <c r="T42" s="178"/>
      <c r="U42" s="148"/>
      <c r="V42" s="149">
        <f t="shared" si="2"/>
        <v>1</v>
      </c>
    </row>
    <row r="43" spans="1:22" x14ac:dyDescent="0.15">
      <c r="A43" s="187" t="s">
        <v>25</v>
      </c>
      <c r="B43" s="178"/>
      <c r="C43" s="178"/>
      <c r="D43" s="178"/>
      <c r="E43" s="178"/>
      <c r="F43" s="178"/>
      <c r="G43" s="178">
        <v>1</v>
      </c>
      <c r="H43" s="178">
        <v>5</v>
      </c>
      <c r="I43" s="178"/>
      <c r="J43" s="178"/>
      <c r="K43" s="178"/>
      <c r="L43" s="178"/>
      <c r="M43" s="178"/>
      <c r="N43" s="178"/>
      <c r="O43" s="149"/>
      <c r="P43" s="178"/>
      <c r="Q43" s="178"/>
      <c r="R43" s="178"/>
      <c r="S43" s="178"/>
      <c r="T43" s="178"/>
      <c r="U43" s="148"/>
      <c r="V43" s="149">
        <f t="shared" si="2"/>
        <v>2</v>
      </c>
    </row>
    <row r="44" spans="1:22" ht="19.5" customHeight="1" x14ac:dyDescent="0.15">
      <c r="A44" s="187" t="s">
        <v>38</v>
      </c>
      <c r="B44" s="178">
        <v>2</v>
      </c>
      <c r="C44" s="178">
        <v>1</v>
      </c>
      <c r="D44" s="178">
        <v>1</v>
      </c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49"/>
      <c r="P44" s="178">
        <v>1</v>
      </c>
      <c r="Q44" s="178">
        <v>1</v>
      </c>
      <c r="R44" s="178"/>
      <c r="S44" s="178"/>
      <c r="T44" s="178"/>
      <c r="U44" s="148"/>
      <c r="V44" s="149">
        <f t="shared" si="2"/>
        <v>5</v>
      </c>
    </row>
    <row r="45" spans="1:22" x14ac:dyDescent="0.15">
      <c r="A45" s="187" t="s">
        <v>27</v>
      </c>
      <c r="B45" s="178"/>
      <c r="C45" s="178"/>
      <c r="D45" s="178"/>
      <c r="E45" s="178"/>
      <c r="F45" s="178"/>
      <c r="G45" s="178">
        <v>1</v>
      </c>
      <c r="H45" s="178"/>
      <c r="I45" s="178"/>
      <c r="J45" s="178"/>
      <c r="K45" s="178"/>
      <c r="L45" s="178">
        <v>1</v>
      </c>
      <c r="M45" s="178">
        <v>2</v>
      </c>
      <c r="N45" s="178"/>
      <c r="O45" s="149"/>
      <c r="P45" s="178"/>
      <c r="Q45" s="178"/>
      <c r="R45" s="178"/>
      <c r="S45" s="178"/>
      <c r="T45" s="178"/>
      <c r="U45" s="148"/>
      <c r="V45" s="149">
        <f t="shared" si="2"/>
        <v>3</v>
      </c>
    </row>
    <row r="46" spans="1:22" x14ac:dyDescent="0.15">
      <c r="A46" s="190" t="s">
        <v>229</v>
      </c>
      <c r="B46" s="26"/>
      <c r="C46" s="26"/>
      <c r="D46" s="26"/>
      <c r="E46" s="26"/>
      <c r="F46" s="26"/>
      <c r="G46" s="26">
        <v>1</v>
      </c>
      <c r="H46" s="26"/>
      <c r="I46" s="26"/>
      <c r="J46" s="26"/>
      <c r="K46" s="26"/>
      <c r="L46" s="26"/>
      <c r="M46" s="26"/>
      <c r="N46" s="26"/>
      <c r="O46" s="149"/>
      <c r="P46" s="26"/>
      <c r="Q46" s="26">
        <v>1</v>
      </c>
      <c r="R46" s="26"/>
      <c r="S46" s="26"/>
      <c r="T46" s="26"/>
      <c r="U46" s="148"/>
      <c r="V46" s="149">
        <f t="shared" si="2"/>
        <v>2</v>
      </c>
    </row>
    <row r="47" spans="1:22" x14ac:dyDescent="0.15">
      <c r="A47" s="191" t="s">
        <v>50</v>
      </c>
      <c r="B47" s="179">
        <v>1</v>
      </c>
      <c r="C47" s="179">
        <v>1</v>
      </c>
      <c r="D47" s="179"/>
      <c r="E47" s="179">
        <v>1</v>
      </c>
      <c r="F47" s="179"/>
      <c r="G47" s="179">
        <v>1</v>
      </c>
      <c r="H47" s="179">
        <v>1</v>
      </c>
      <c r="I47" s="179"/>
      <c r="J47" s="179"/>
      <c r="K47" s="179">
        <v>1</v>
      </c>
      <c r="L47" s="179">
        <v>1</v>
      </c>
      <c r="M47" s="179"/>
      <c r="N47" s="179"/>
      <c r="O47" s="149"/>
      <c r="P47" s="179"/>
      <c r="Q47" s="179">
        <v>1</v>
      </c>
      <c r="R47" s="179"/>
      <c r="S47" s="179"/>
      <c r="T47" s="179"/>
      <c r="U47" s="148"/>
      <c r="V47" s="149">
        <f t="shared" si="2"/>
        <v>8</v>
      </c>
    </row>
    <row r="48" spans="1:22" x14ac:dyDescent="0.15">
      <c r="A48" s="187" t="s">
        <v>58</v>
      </c>
      <c r="B48" s="178">
        <v>1</v>
      </c>
      <c r="C48" s="178">
        <v>1</v>
      </c>
      <c r="D48" s="178">
        <v>1</v>
      </c>
      <c r="E48" s="178"/>
      <c r="F48" s="178">
        <v>1</v>
      </c>
      <c r="G48" s="178"/>
      <c r="H48" s="178"/>
      <c r="I48" s="178"/>
      <c r="J48" s="178"/>
      <c r="K48" s="178"/>
      <c r="L48" s="178"/>
      <c r="M48" s="178"/>
      <c r="N48" s="178"/>
      <c r="O48" s="149"/>
      <c r="P48" s="178"/>
      <c r="Q48" s="178"/>
      <c r="R48" s="178">
        <v>1</v>
      </c>
      <c r="S48" s="178"/>
      <c r="T48" s="178"/>
      <c r="U48" s="148"/>
      <c r="V48" s="149">
        <f t="shared" si="2"/>
        <v>5</v>
      </c>
    </row>
    <row r="49" spans="1:22" x14ac:dyDescent="0.15">
      <c r="A49" s="187" t="s">
        <v>28</v>
      </c>
      <c r="B49" s="178"/>
      <c r="C49" s="178"/>
      <c r="D49" s="178"/>
      <c r="E49" s="178"/>
      <c r="F49" s="178"/>
      <c r="G49" s="178"/>
      <c r="H49" s="178"/>
      <c r="I49" s="178"/>
      <c r="J49" s="178"/>
      <c r="K49" s="178">
        <v>1</v>
      </c>
      <c r="L49" s="178"/>
      <c r="M49" s="178"/>
      <c r="N49" s="178"/>
      <c r="O49" s="149"/>
      <c r="P49" s="178"/>
      <c r="Q49" s="178"/>
      <c r="R49" s="178"/>
      <c r="S49" s="178"/>
      <c r="T49" s="178"/>
      <c r="U49" s="148"/>
      <c r="V49" s="149">
        <f t="shared" si="2"/>
        <v>1</v>
      </c>
    </row>
    <row r="50" spans="1:22" x14ac:dyDescent="0.15">
      <c r="A50" s="187" t="s">
        <v>10</v>
      </c>
      <c r="B50" s="178">
        <v>2</v>
      </c>
      <c r="C50" s="178">
        <v>1</v>
      </c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49"/>
      <c r="P50" s="178"/>
      <c r="Q50" s="178"/>
      <c r="R50" s="178"/>
      <c r="S50" s="178"/>
      <c r="T50" s="178"/>
      <c r="U50" s="148"/>
      <c r="V50" s="149">
        <f t="shared" si="2"/>
        <v>2</v>
      </c>
    </row>
    <row r="51" spans="1:22" x14ac:dyDescent="0.15">
      <c r="A51" s="180" t="s">
        <v>174</v>
      </c>
      <c r="B51" s="10"/>
      <c r="C51" s="10"/>
      <c r="D51" s="10">
        <v>1</v>
      </c>
      <c r="E51" s="10">
        <v>1</v>
      </c>
      <c r="F51" s="188">
        <v>1</v>
      </c>
      <c r="G51" s="188"/>
      <c r="H51" s="10">
        <v>2</v>
      </c>
      <c r="I51" s="188">
        <v>1</v>
      </c>
      <c r="J51" s="10">
        <v>1</v>
      </c>
      <c r="K51" s="10"/>
      <c r="L51" s="10"/>
      <c r="M51" s="10">
        <v>1</v>
      </c>
      <c r="N51" s="10">
        <v>1</v>
      </c>
      <c r="O51" s="149"/>
      <c r="P51" s="178"/>
      <c r="Q51" s="178"/>
      <c r="R51" s="178"/>
      <c r="S51" s="178"/>
      <c r="T51" s="178"/>
      <c r="U51" s="148"/>
      <c r="V51" s="149">
        <f t="shared" si="2"/>
        <v>8</v>
      </c>
    </row>
    <row r="52" spans="1:22" x14ac:dyDescent="0.15">
      <c r="A52" s="180" t="s">
        <v>218</v>
      </c>
      <c r="B52" s="178">
        <v>1</v>
      </c>
      <c r="C52" s="178"/>
      <c r="D52" s="178"/>
      <c r="E52" s="178"/>
      <c r="F52" s="178"/>
      <c r="G52" s="178"/>
      <c r="H52" s="178"/>
      <c r="I52" s="178">
        <v>1</v>
      </c>
      <c r="J52" s="178"/>
      <c r="K52" s="178"/>
      <c r="L52" s="178"/>
      <c r="M52" s="178"/>
      <c r="N52" s="178"/>
      <c r="O52" s="149"/>
      <c r="P52" s="178"/>
      <c r="Q52" s="178"/>
      <c r="R52" s="178"/>
      <c r="S52" s="178"/>
      <c r="T52" s="178"/>
      <c r="U52" s="148"/>
      <c r="V52" s="149">
        <f t="shared" si="2"/>
        <v>2</v>
      </c>
    </row>
    <row r="53" spans="1:22" x14ac:dyDescent="0.15">
      <c r="A53" s="187" t="s">
        <v>22</v>
      </c>
      <c r="B53" s="178">
        <v>2</v>
      </c>
      <c r="C53" s="178">
        <v>1</v>
      </c>
      <c r="D53" s="178">
        <v>1</v>
      </c>
      <c r="E53" s="178">
        <v>2</v>
      </c>
      <c r="F53" s="178">
        <v>1</v>
      </c>
      <c r="G53" s="178"/>
      <c r="H53" s="178"/>
      <c r="I53" s="178">
        <v>1</v>
      </c>
      <c r="J53" s="178"/>
      <c r="K53" s="178"/>
      <c r="L53" s="178"/>
      <c r="M53" s="178"/>
      <c r="N53" s="178"/>
      <c r="O53" s="149"/>
      <c r="P53" s="178"/>
      <c r="Q53" s="178"/>
      <c r="R53" s="178"/>
      <c r="S53" s="178"/>
      <c r="T53" s="178"/>
      <c r="U53" s="148"/>
      <c r="V53" s="149">
        <f t="shared" si="2"/>
        <v>6</v>
      </c>
    </row>
    <row r="54" spans="1:22" x14ac:dyDescent="0.15">
      <c r="A54" s="180" t="s">
        <v>203</v>
      </c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49"/>
      <c r="P54" s="178"/>
      <c r="Q54" s="178">
        <v>1</v>
      </c>
      <c r="R54" s="178">
        <v>1</v>
      </c>
      <c r="S54" s="178"/>
      <c r="T54" s="178"/>
      <c r="U54" s="148"/>
      <c r="V54" s="149">
        <f t="shared" si="2"/>
        <v>2</v>
      </c>
    </row>
    <row r="55" spans="1:22" x14ac:dyDescent="0.15">
      <c r="A55" s="187" t="s">
        <v>23</v>
      </c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>
        <v>1</v>
      </c>
      <c r="N55" s="178"/>
      <c r="O55" s="149"/>
      <c r="P55" s="178"/>
      <c r="Q55" s="178"/>
      <c r="R55" s="178"/>
      <c r="S55" s="178"/>
      <c r="T55" s="178"/>
      <c r="U55" s="148"/>
      <c r="V55" s="149">
        <f t="shared" si="2"/>
        <v>1</v>
      </c>
    </row>
    <row r="56" spans="1:22" x14ac:dyDescent="0.15">
      <c r="A56" s="187" t="s">
        <v>208</v>
      </c>
      <c r="B56" s="178"/>
      <c r="C56" s="178"/>
      <c r="D56" s="178"/>
      <c r="E56" s="178"/>
      <c r="F56" s="178"/>
      <c r="G56" s="178">
        <v>1</v>
      </c>
      <c r="H56" s="178"/>
      <c r="I56" s="178"/>
      <c r="J56" s="178"/>
      <c r="K56" s="178"/>
      <c r="L56" s="178"/>
      <c r="M56" s="178">
        <v>1</v>
      </c>
      <c r="N56" s="178">
        <v>1</v>
      </c>
      <c r="O56" s="149"/>
      <c r="P56" s="178"/>
      <c r="Q56" s="178"/>
      <c r="R56" s="178"/>
      <c r="S56" s="178"/>
      <c r="T56" s="178"/>
      <c r="U56" s="148"/>
      <c r="V56" s="149">
        <f t="shared" si="2"/>
        <v>3</v>
      </c>
    </row>
    <row r="57" spans="1:22" x14ac:dyDescent="0.15">
      <c r="A57" s="187" t="s">
        <v>41</v>
      </c>
      <c r="B57" s="178">
        <v>2</v>
      </c>
      <c r="C57" s="178">
        <v>1</v>
      </c>
      <c r="D57" s="178">
        <v>1</v>
      </c>
      <c r="E57" s="178">
        <v>2</v>
      </c>
      <c r="F57" s="178"/>
      <c r="G57" s="178"/>
      <c r="H57" s="178"/>
      <c r="I57" s="178"/>
      <c r="J57" s="178"/>
      <c r="K57" s="178"/>
      <c r="L57" s="178"/>
      <c r="M57" s="178"/>
      <c r="N57" s="178"/>
      <c r="O57" s="149"/>
      <c r="P57" s="178"/>
      <c r="Q57" s="178"/>
      <c r="R57" s="178">
        <v>1</v>
      </c>
      <c r="S57" s="178"/>
      <c r="T57" s="178"/>
      <c r="U57" s="148"/>
      <c r="V57" s="149">
        <f t="shared" si="2"/>
        <v>5</v>
      </c>
    </row>
    <row r="58" spans="1:22" x14ac:dyDescent="0.15">
      <c r="A58" s="180" t="s">
        <v>111</v>
      </c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49"/>
      <c r="P58" s="178"/>
      <c r="Q58" s="178">
        <v>1</v>
      </c>
      <c r="R58" s="178">
        <v>1</v>
      </c>
      <c r="S58" s="178"/>
      <c r="T58" s="178"/>
      <c r="U58" s="148"/>
      <c r="V58" s="149">
        <f t="shared" si="2"/>
        <v>2</v>
      </c>
    </row>
    <row r="59" spans="1:22" x14ac:dyDescent="0.15">
      <c r="A59" s="187" t="s">
        <v>7</v>
      </c>
      <c r="B59" s="178">
        <v>2</v>
      </c>
      <c r="C59" s="178">
        <v>1</v>
      </c>
      <c r="D59" s="178">
        <v>1</v>
      </c>
      <c r="E59" s="178">
        <v>1</v>
      </c>
      <c r="F59" s="178"/>
      <c r="G59" s="178">
        <v>1</v>
      </c>
      <c r="H59" s="178"/>
      <c r="I59" s="178">
        <v>1</v>
      </c>
      <c r="J59" s="178">
        <v>1</v>
      </c>
      <c r="K59" s="178"/>
      <c r="L59" s="178">
        <v>1</v>
      </c>
      <c r="M59" s="178">
        <v>1</v>
      </c>
      <c r="N59" s="178">
        <v>1</v>
      </c>
      <c r="O59" s="149"/>
      <c r="P59" s="178"/>
      <c r="Q59" s="178"/>
      <c r="R59" s="178"/>
      <c r="S59" s="178"/>
      <c r="T59" s="178"/>
      <c r="U59" s="148"/>
      <c r="V59" s="149">
        <f t="shared" si="2"/>
        <v>10</v>
      </c>
    </row>
    <row r="60" spans="1:22" x14ac:dyDescent="0.15">
      <c r="A60" s="187" t="s">
        <v>32</v>
      </c>
      <c r="B60" s="178"/>
      <c r="C60" s="178"/>
      <c r="D60" s="178"/>
      <c r="E60" s="178">
        <v>1</v>
      </c>
      <c r="F60" s="178"/>
      <c r="G60" s="178"/>
      <c r="H60" s="178"/>
      <c r="I60" s="178"/>
      <c r="J60" s="178"/>
      <c r="K60" s="178"/>
      <c r="L60" s="178"/>
      <c r="M60" s="178"/>
      <c r="N60" s="178"/>
      <c r="O60" s="149"/>
      <c r="P60" s="178"/>
      <c r="Q60" s="178"/>
      <c r="R60" s="178"/>
      <c r="S60" s="178"/>
      <c r="T60" s="178"/>
      <c r="U60" s="148"/>
      <c r="V60" s="149">
        <f t="shared" si="2"/>
        <v>1</v>
      </c>
    </row>
    <row r="61" spans="1:22" x14ac:dyDescent="0.15">
      <c r="A61" s="180" t="s">
        <v>61</v>
      </c>
      <c r="B61" s="178"/>
      <c r="C61" s="178"/>
      <c r="D61" s="178">
        <v>1</v>
      </c>
      <c r="E61" s="178"/>
      <c r="F61" s="178">
        <v>1</v>
      </c>
      <c r="G61" s="178"/>
      <c r="H61" s="178"/>
      <c r="I61" s="178"/>
      <c r="J61" s="178"/>
      <c r="K61" s="178"/>
      <c r="L61" s="178"/>
      <c r="M61" s="178"/>
      <c r="N61" s="178"/>
      <c r="O61" s="149"/>
      <c r="P61" s="178"/>
      <c r="Q61" s="178"/>
      <c r="R61" s="178"/>
      <c r="S61" s="178"/>
      <c r="T61" s="178"/>
      <c r="U61" s="148"/>
      <c r="V61" s="149">
        <f t="shared" si="2"/>
        <v>2</v>
      </c>
    </row>
    <row r="62" spans="1:22" x14ac:dyDescent="0.15">
      <c r="A62" s="187" t="s">
        <v>194</v>
      </c>
      <c r="B62" s="178"/>
      <c r="C62" s="178"/>
      <c r="D62" s="178"/>
      <c r="E62" s="178"/>
      <c r="F62" s="178"/>
      <c r="G62" s="178">
        <v>1</v>
      </c>
      <c r="H62" s="178">
        <v>1</v>
      </c>
      <c r="I62" s="178"/>
      <c r="J62" s="178"/>
      <c r="K62" s="178"/>
      <c r="L62" s="178"/>
      <c r="M62" s="178"/>
      <c r="N62" s="178"/>
      <c r="O62" s="149"/>
      <c r="P62" s="178"/>
      <c r="Q62" s="178"/>
      <c r="R62" s="178"/>
      <c r="S62" s="178"/>
      <c r="T62" s="178"/>
      <c r="U62" s="148"/>
      <c r="V62" s="149">
        <f t="shared" si="2"/>
        <v>2</v>
      </c>
    </row>
    <row r="63" spans="1:22" x14ac:dyDescent="0.15">
      <c r="A63" s="180" t="s">
        <v>42</v>
      </c>
      <c r="B63" s="178"/>
      <c r="C63" s="178">
        <v>1</v>
      </c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>
        <v>1</v>
      </c>
      <c r="O63" s="149"/>
      <c r="P63" s="178"/>
      <c r="Q63" s="178"/>
      <c r="R63" s="178"/>
      <c r="S63" s="178"/>
      <c r="T63" s="178"/>
      <c r="U63" s="148"/>
      <c r="V63" s="149">
        <f t="shared" si="2"/>
        <v>2</v>
      </c>
    </row>
    <row r="64" spans="1:22" x14ac:dyDescent="0.15">
      <c r="A64" s="190" t="s">
        <v>24</v>
      </c>
      <c r="B64" s="26"/>
      <c r="C64" s="26"/>
      <c r="D64" s="26">
        <v>1</v>
      </c>
      <c r="E64" s="26">
        <v>2</v>
      </c>
      <c r="F64" s="26"/>
      <c r="G64" s="26"/>
      <c r="H64" s="26"/>
      <c r="I64" s="26"/>
      <c r="J64" s="26"/>
      <c r="K64" s="26"/>
      <c r="L64" s="26">
        <v>1</v>
      </c>
      <c r="M64" s="26"/>
      <c r="N64" s="26"/>
      <c r="O64" s="149"/>
      <c r="P64" s="26"/>
      <c r="Q64" s="26"/>
      <c r="R64" s="26"/>
      <c r="S64" s="26"/>
      <c r="T64" s="26"/>
      <c r="U64" s="148"/>
      <c r="V64" s="149">
        <f t="shared" si="2"/>
        <v>3</v>
      </c>
    </row>
  </sheetData>
  <sortState xmlns:xlrd2="http://schemas.microsoft.com/office/spreadsheetml/2017/richdata2" ref="A5:V64">
    <sortCondition ref="A5:A64"/>
  </sortState>
  <mergeCells count="2">
    <mergeCell ref="B2:N2"/>
    <mergeCell ref="P2:T2"/>
  </mergeCells>
  <phoneticPr fontId="1"/>
  <conditionalFormatting sqref="T5:T7 T62 T9:T25 T27:T60"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41" right="0.37" top="0.75" bottom="0.75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E106"/>
  <sheetViews>
    <sheetView tabSelected="1" zoomScale="78" zoomScaleNormal="78" zoomScaleSheetLayoutView="62" workbookViewId="0">
      <pane xSplit="1" ySplit="3" topLeftCell="J74" activePane="bottomRight" state="frozen"/>
      <selection pane="topRight" activeCell="B1" sqref="B1"/>
      <selection pane="bottomLeft" activeCell="A4" sqref="A4"/>
      <selection pane="bottomRight" activeCell="A87" sqref="A87"/>
    </sheetView>
  </sheetViews>
  <sheetFormatPr defaultRowHeight="13.5" x14ac:dyDescent="0.15"/>
  <cols>
    <col min="1" max="1" width="26.375" customWidth="1"/>
    <col min="2" max="5" width="3.5" customWidth="1"/>
    <col min="6" max="8" width="3.25" customWidth="1"/>
    <col min="9" max="12" width="3.625" customWidth="1"/>
    <col min="13" max="15" width="3.5" customWidth="1"/>
    <col min="16" max="16" width="3.25" customWidth="1"/>
    <col min="17" max="19" width="3.625" customWidth="1"/>
    <col min="20" max="22" width="3.25" customWidth="1"/>
    <col min="23" max="26" width="3.625" customWidth="1"/>
    <col min="27" max="29" width="3.25" customWidth="1"/>
    <col min="30" max="33" width="3.5" customWidth="1"/>
    <col min="34" max="36" width="3.25" customWidth="1"/>
    <col min="37" max="40" width="3.5" customWidth="1"/>
    <col min="41" max="43" width="3.25" customWidth="1"/>
    <col min="44" max="47" width="3.625" customWidth="1"/>
    <col min="48" max="50" width="3.25" customWidth="1"/>
    <col min="51" max="54" width="3.5" customWidth="1"/>
    <col min="55" max="57" width="3.25" customWidth="1"/>
    <col min="58" max="61" width="3.625" customWidth="1"/>
    <col min="62" max="64" width="3.25" customWidth="1"/>
    <col min="65" max="68" width="3.5" customWidth="1"/>
    <col min="69" max="71" width="3.25" customWidth="1"/>
    <col min="72" max="75" width="3.375" customWidth="1"/>
    <col min="76" max="78" width="3.25" customWidth="1"/>
    <col min="79" max="82" width="3.625" customWidth="1"/>
    <col min="83" max="85" width="3.25" customWidth="1"/>
    <col min="86" max="89" width="3.375" customWidth="1"/>
    <col min="90" max="92" width="3.25" customWidth="1"/>
    <col min="93" max="104" width="3.625" customWidth="1"/>
    <col min="105" max="110" width="3.5" customWidth="1"/>
    <col min="111" max="116" width="3.75" customWidth="1"/>
    <col min="117" max="122" width="3.625" customWidth="1"/>
    <col min="123" max="128" width="3.375" customWidth="1"/>
    <col min="129" max="134" width="3.625" customWidth="1"/>
    <col min="135" max="136" width="3.375" customWidth="1"/>
    <col min="137" max="140" width="3.5" customWidth="1"/>
    <col min="141" max="155" width="3.375" customWidth="1"/>
    <col min="156" max="158" width="4.125" customWidth="1"/>
    <col min="159" max="160" width="3.375" customWidth="1"/>
    <col min="161" max="164" width="3.875" customWidth="1"/>
    <col min="165" max="182" width="3.375" customWidth="1"/>
    <col min="183" max="186" width="3.875" customWidth="1"/>
    <col min="187" max="214" width="3.375" customWidth="1"/>
    <col min="215" max="216" width="3.5" customWidth="1"/>
    <col min="217" max="292" width="3.375" customWidth="1"/>
    <col min="293" max="304" width="3.375" style="4" customWidth="1"/>
    <col min="305" max="305" width="3.375" customWidth="1"/>
    <col min="306" max="317" width="4.125" style="4" customWidth="1"/>
    <col min="318" max="318" width="3.375" customWidth="1"/>
    <col min="319" max="330" width="4.5" style="4" customWidth="1"/>
    <col min="331" max="331" width="3.375" customWidth="1"/>
    <col min="332" max="343" width="3.375" style="4" customWidth="1"/>
    <col min="344" max="344" width="3.375" customWidth="1"/>
    <col min="345" max="351" width="3.375" style="4" customWidth="1"/>
    <col min="352" max="352" width="3.25" style="4" customWidth="1"/>
    <col min="353" max="356" width="2.875" style="4" customWidth="1"/>
    <col min="357" max="357" width="2.25" customWidth="1"/>
    <col min="358" max="358" width="4.625" customWidth="1"/>
    <col min="366" max="369" width="3.625" customWidth="1"/>
  </cols>
  <sheetData>
    <row r="1" spans="1:369" ht="13.5" customHeight="1" x14ac:dyDescent="0.15">
      <c r="A1" t="s">
        <v>155</v>
      </c>
      <c r="KS1" s="4"/>
      <c r="LF1" s="4"/>
      <c r="LS1" s="4"/>
      <c r="MF1" s="4"/>
    </row>
    <row r="2" spans="1:369" x14ac:dyDescent="0.15">
      <c r="A2" t="s">
        <v>0</v>
      </c>
      <c r="B2" s="242">
        <v>1</v>
      </c>
      <c r="C2" s="242"/>
      <c r="D2" s="242"/>
      <c r="E2" s="242"/>
      <c r="F2" s="242"/>
      <c r="G2" s="242"/>
      <c r="H2" s="242"/>
      <c r="I2" s="242">
        <v>2</v>
      </c>
      <c r="J2" s="242"/>
      <c r="K2" s="242"/>
      <c r="L2" s="242"/>
      <c r="M2" s="242"/>
      <c r="N2" s="242"/>
      <c r="O2" s="242"/>
      <c r="P2" s="242">
        <v>3</v>
      </c>
      <c r="Q2" s="242"/>
      <c r="R2" s="242"/>
      <c r="S2" s="242"/>
      <c r="T2" s="242"/>
      <c r="U2" s="242"/>
      <c r="V2" s="242"/>
      <c r="W2" s="242">
        <v>4</v>
      </c>
      <c r="X2" s="242"/>
      <c r="Y2" s="242"/>
      <c r="Z2" s="242"/>
      <c r="AA2" s="242"/>
      <c r="AB2" s="242"/>
      <c r="AC2" s="242"/>
      <c r="AD2" s="242">
        <v>5</v>
      </c>
      <c r="AE2" s="242"/>
      <c r="AF2" s="242"/>
      <c r="AG2" s="242"/>
      <c r="AH2" s="242"/>
      <c r="AI2" s="242"/>
      <c r="AJ2" s="242"/>
      <c r="AK2" s="242">
        <v>6</v>
      </c>
      <c r="AL2" s="242"/>
      <c r="AM2" s="242"/>
      <c r="AN2" s="242"/>
      <c r="AO2" s="242"/>
      <c r="AP2" s="242"/>
      <c r="AQ2" s="242"/>
      <c r="AR2" s="242">
        <v>7</v>
      </c>
      <c r="AS2" s="242"/>
      <c r="AT2" s="242"/>
      <c r="AU2" s="242"/>
      <c r="AV2" s="242"/>
      <c r="AW2" s="242"/>
      <c r="AX2" s="242"/>
      <c r="AY2" s="242">
        <v>8</v>
      </c>
      <c r="AZ2" s="242"/>
      <c r="BA2" s="242"/>
      <c r="BB2" s="242"/>
      <c r="BC2" s="242"/>
      <c r="BD2" s="242"/>
      <c r="BE2" s="242"/>
      <c r="BF2" s="242">
        <v>9</v>
      </c>
      <c r="BG2" s="242"/>
      <c r="BH2" s="242"/>
      <c r="BI2" s="242"/>
      <c r="BJ2" s="242"/>
      <c r="BK2" s="242"/>
      <c r="BL2" s="242"/>
      <c r="BM2" s="242">
        <v>10</v>
      </c>
      <c r="BN2" s="242"/>
      <c r="BO2" s="242"/>
      <c r="BP2" s="242"/>
      <c r="BQ2" s="242"/>
      <c r="BR2" s="242"/>
      <c r="BS2" s="242"/>
      <c r="BT2" s="242">
        <v>11</v>
      </c>
      <c r="BU2" s="242"/>
      <c r="BV2" s="242"/>
      <c r="BW2" s="242"/>
      <c r="BX2" s="242"/>
      <c r="BY2" s="242"/>
      <c r="BZ2" s="242"/>
      <c r="CA2" s="242">
        <v>12</v>
      </c>
      <c r="CB2" s="242"/>
      <c r="CC2" s="242"/>
      <c r="CD2" s="242"/>
      <c r="CE2" s="242"/>
      <c r="CF2" s="242"/>
      <c r="CG2" s="242"/>
      <c r="CH2" s="242">
        <v>13</v>
      </c>
      <c r="CI2" s="242"/>
      <c r="CJ2" s="242"/>
      <c r="CK2" s="242"/>
      <c r="CL2" s="242"/>
      <c r="CM2" s="242"/>
      <c r="CN2" s="242"/>
      <c r="CO2" s="242">
        <v>14</v>
      </c>
      <c r="CP2" s="242"/>
      <c r="CQ2" s="242"/>
      <c r="CR2" s="242"/>
      <c r="CS2" s="242"/>
      <c r="CT2" s="242"/>
      <c r="CU2" s="242">
        <v>15</v>
      </c>
      <c r="CV2" s="242"/>
      <c r="CW2" s="242"/>
      <c r="CX2" s="242"/>
      <c r="CY2" s="242"/>
      <c r="CZ2" s="242"/>
      <c r="DA2" s="242">
        <v>16</v>
      </c>
      <c r="DB2" s="242"/>
      <c r="DC2" s="242"/>
      <c r="DD2" s="242"/>
      <c r="DE2" s="242"/>
      <c r="DF2" s="242"/>
      <c r="DG2" s="242">
        <v>17</v>
      </c>
      <c r="DH2" s="242"/>
      <c r="DI2" s="242"/>
      <c r="DJ2" s="242"/>
      <c r="DK2" s="242"/>
      <c r="DL2" s="242"/>
      <c r="DM2" s="242">
        <v>18</v>
      </c>
      <c r="DN2" s="242"/>
      <c r="DO2" s="242"/>
      <c r="DP2" s="242"/>
      <c r="DQ2" s="242"/>
      <c r="DR2" s="242"/>
      <c r="DS2" s="242">
        <v>19</v>
      </c>
      <c r="DT2" s="242"/>
      <c r="DU2" s="242"/>
      <c r="DV2" s="242"/>
      <c r="DW2" s="242"/>
      <c r="DX2" s="242"/>
      <c r="DY2" s="242">
        <v>20</v>
      </c>
      <c r="DZ2" s="242"/>
      <c r="EA2" s="242"/>
      <c r="EB2" s="242"/>
      <c r="EC2" s="242"/>
      <c r="ED2" s="242"/>
      <c r="EE2" s="242">
        <v>21</v>
      </c>
      <c r="EF2" s="242"/>
      <c r="EG2" s="242"/>
      <c r="EH2" s="242"/>
      <c r="EI2" s="242"/>
      <c r="EJ2" s="242"/>
      <c r="EK2" s="242">
        <v>22</v>
      </c>
      <c r="EL2" s="242"/>
      <c r="EM2" s="242"/>
      <c r="EN2" s="242"/>
      <c r="EO2" s="242"/>
      <c r="EP2" s="242"/>
      <c r="EQ2" s="242">
        <v>22</v>
      </c>
      <c r="ER2" s="242"/>
      <c r="ES2" s="242"/>
      <c r="ET2" s="242"/>
      <c r="EU2" s="242"/>
      <c r="EV2" s="242"/>
      <c r="EW2" s="242">
        <v>23</v>
      </c>
      <c r="EX2" s="242"/>
      <c r="EY2" s="242"/>
      <c r="EZ2" s="242"/>
      <c r="FA2" s="242"/>
      <c r="FB2" s="242"/>
      <c r="FC2" s="242">
        <v>24</v>
      </c>
      <c r="FD2" s="242"/>
      <c r="FE2" s="242"/>
      <c r="FF2" s="242"/>
      <c r="FG2" s="242"/>
      <c r="FH2" s="242"/>
      <c r="FI2" s="242">
        <v>25</v>
      </c>
      <c r="FJ2" s="242"/>
      <c r="FK2" s="242"/>
      <c r="FL2" s="242"/>
      <c r="FM2" s="242"/>
      <c r="FN2" s="242"/>
      <c r="FO2" s="245" t="s">
        <v>209</v>
      </c>
      <c r="FP2" s="245"/>
      <c r="FQ2" s="245"/>
      <c r="FR2" s="245"/>
      <c r="FS2" s="242">
        <v>26</v>
      </c>
      <c r="FT2" s="242"/>
      <c r="FU2" s="242"/>
      <c r="FV2" s="242"/>
      <c r="FW2" s="242"/>
      <c r="FX2" s="242"/>
      <c r="FY2" s="242">
        <v>28</v>
      </c>
      <c r="FZ2" s="242"/>
      <c r="GA2" s="242"/>
      <c r="GB2" s="242"/>
      <c r="GC2" s="242"/>
      <c r="GD2" s="242"/>
      <c r="GE2" s="242">
        <v>29</v>
      </c>
      <c r="GF2" s="242"/>
      <c r="GG2" s="242"/>
      <c r="GH2" s="242"/>
      <c r="GI2" s="242"/>
      <c r="GJ2" s="242"/>
      <c r="GK2" s="242">
        <v>30</v>
      </c>
      <c r="GL2" s="242"/>
      <c r="GM2" s="242"/>
      <c r="GN2" s="242"/>
      <c r="GO2" s="242"/>
      <c r="GP2" s="242"/>
      <c r="GQ2" s="242">
        <v>31</v>
      </c>
      <c r="GR2" s="242"/>
      <c r="GS2" s="242"/>
      <c r="GT2" s="242"/>
      <c r="GU2" s="242"/>
      <c r="GV2" s="242"/>
      <c r="GW2" s="242">
        <v>32</v>
      </c>
      <c r="GX2" s="242"/>
      <c r="GY2" s="242"/>
      <c r="GZ2" s="242"/>
      <c r="HA2" s="242"/>
      <c r="HB2" s="242"/>
      <c r="HC2" s="242">
        <v>33</v>
      </c>
      <c r="HD2" s="242"/>
      <c r="HE2" s="242"/>
      <c r="HF2" s="242"/>
      <c r="HG2" s="242"/>
      <c r="HH2" s="242"/>
      <c r="HI2" s="242">
        <v>34</v>
      </c>
      <c r="HJ2" s="242"/>
      <c r="HK2" s="242"/>
      <c r="HL2" s="242"/>
      <c r="HM2" s="242"/>
      <c r="HN2" s="242"/>
      <c r="HO2" s="242">
        <v>35</v>
      </c>
      <c r="HP2" s="242"/>
      <c r="HQ2" s="242"/>
      <c r="HR2" s="242"/>
      <c r="HS2" s="242"/>
      <c r="HT2" s="242"/>
      <c r="HU2" s="242">
        <v>36</v>
      </c>
      <c r="HV2" s="242"/>
      <c r="HW2" s="242"/>
      <c r="HX2" s="242"/>
      <c r="HY2" s="242"/>
      <c r="HZ2" s="242"/>
      <c r="IA2" s="242">
        <v>37</v>
      </c>
      <c r="IB2" s="242"/>
      <c r="IC2" s="242"/>
      <c r="ID2" s="242"/>
      <c r="IE2" s="242"/>
      <c r="IF2" s="242"/>
      <c r="IG2" s="242">
        <v>38</v>
      </c>
      <c r="IH2" s="242"/>
      <c r="II2" s="242">
        <v>39</v>
      </c>
      <c r="IJ2" s="242"/>
      <c r="IK2" s="242"/>
      <c r="IL2" s="242"/>
      <c r="IM2" s="242"/>
      <c r="IN2" s="242"/>
      <c r="IO2" s="242">
        <v>40</v>
      </c>
      <c r="IP2" s="242"/>
      <c r="IQ2" s="242"/>
      <c r="IR2" s="242"/>
      <c r="IS2" s="242"/>
      <c r="IT2" s="242"/>
      <c r="IU2" s="242">
        <v>41</v>
      </c>
      <c r="IV2" s="242"/>
      <c r="IW2" s="242"/>
      <c r="IX2" s="242"/>
      <c r="IY2" s="242"/>
      <c r="IZ2" s="242"/>
      <c r="JA2" s="242">
        <v>42</v>
      </c>
      <c r="JB2" s="242"/>
      <c r="JC2" s="242"/>
      <c r="JD2" s="242"/>
      <c r="JE2" s="242"/>
      <c r="JF2" s="242"/>
      <c r="JG2" s="242">
        <v>43</v>
      </c>
      <c r="JH2" s="242"/>
      <c r="JI2" s="242"/>
      <c r="JJ2" s="242"/>
      <c r="JK2" s="242"/>
      <c r="JL2" s="242"/>
      <c r="JM2" s="242">
        <v>44</v>
      </c>
      <c r="JN2" s="242"/>
      <c r="JO2" s="242"/>
      <c r="JP2" s="242"/>
      <c r="JQ2" s="242"/>
      <c r="JR2" s="242"/>
      <c r="JS2" s="242">
        <v>45</v>
      </c>
      <c r="JT2" s="242"/>
      <c r="JU2" s="242"/>
      <c r="JV2" s="242"/>
      <c r="JW2" s="242"/>
      <c r="JX2" s="242"/>
      <c r="JY2" s="242">
        <v>46</v>
      </c>
      <c r="JZ2" s="242"/>
      <c r="KA2" s="242"/>
      <c r="KB2" s="242"/>
      <c r="KC2" s="242"/>
      <c r="KD2" s="242"/>
      <c r="KF2" s="242">
        <v>51</v>
      </c>
      <c r="KG2" s="242"/>
      <c r="KH2" s="242"/>
      <c r="KI2" s="242"/>
      <c r="KJ2" s="242"/>
      <c r="KK2" s="242"/>
      <c r="KL2" s="242"/>
      <c r="KM2" s="242"/>
      <c r="KN2" s="242"/>
      <c r="KO2" s="242"/>
      <c r="KP2" s="242"/>
      <c r="KQ2" s="242"/>
      <c r="KR2" s="242"/>
      <c r="KS2" s="242">
        <v>52</v>
      </c>
      <c r="KT2" s="242"/>
      <c r="KU2" s="242"/>
      <c r="KV2" s="242"/>
      <c r="KW2" s="242"/>
      <c r="KX2" s="242"/>
      <c r="KY2" s="242"/>
      <c r="KZ2" s="242"/>
      <c r="LA2" s="242"/>
      <c r="LB2" s="242"/>
      <c r="LC2" s="242"/>
      <c r="LD2" s="242"/>
      <c r="LE2" s="242"/>
      <c r="LF2" s="242">
        <v>53</v>
      </c>
      <c r="LG2" s="242"/>
      <c r="LH2" s="242"/>
      <c r="LI2" s="242"/>
      <c r="LJ2" s="242"/>
      <c r="LK2" s="242"/>
      <c r="LL2" s="242"/>
      <c r="LM2" s="242"/>
      <c r="LN2" s="242"/>
      <c r="LO2" s="242"/>
      <c r="LP2" s="242"/>
      <c r="LQ2" s="242"/>
      <c r="LR2" s="242"/>
      <c r="LS2" s="242">
        <v>54</v>
      </c>
      <c r="LT2" s="242"/>
      <c r="LU2" s="242"/>
      <c r="LV2" s="242"/>
      <c r="LW2" s="242"/>
      <c r="LX2" s="242"/>
      <c r="LY2" s="242"/>
      <c r="LZ2" s="242"/>
      <c r="MA2" s="242"/>
      <c r="MB2" s="242"/>
      <c r="MC2" s="242"/>
      <c r="MD2" s="242"/>
      <c r="ME2" s="242"/>
      <c r="MF2" s="242">
        <v>55</v>
      </c>
      <c r="MG2" s="242"/>
      <c r="MH2" s="242"/>
      <c r="MI2" s="242"/>
      <c r="MJ2" s="242"/>
      <c r="MK2" s="242"/>
      <c r="ML2" s="242"/>
      <c r="MM2" s="242"/>
      <c r="MN2" s="242"/>
      <c r="MO2" s="242"/>
      <c r="MP2" s="242"/>
      <c r="MQ2" s="242"/>
      <c r="MR2" s="242"/>
      <c r="MT2" t="s">
        <v>156</v>
      </c>
      <c r="NB2" s="242">
        <v>27</v>
      </c>
      <c r="NC2" s="242"/>
      <c r="ND2" s="242"/>
      <c r="NE2" s="242"/>
    </row>
    <row r="3" spans="1:369" ht="51" customHeight="1" x14ac:dyDescent="0.15">
      <c r="A3" s="6" t="s">
        <v>1</v>
      </c>
      <c r="B3" s="243" t="s">
        <v>188</v>
      </c>
      <c r="C3" s="243"/>
      <c r="D3" s="243"/>
      <c r="E3" s="243"/>
      <c r="F3" s="243"/>
      <c r="G3" s="243"/>
      <c r="H3" s="243"/>
      <c r="I3" s="243" t="s">
        <v>223</v>
      </c>
      <c r="J3" s="243"/>
      <c r="K3" s="243"/>
      <c r="L3" s="243"/>
      <c r="M3" s="243"/>
      <c r="N3" s="243"/>
      <c r="O3" s="243"/>
      <c r="P3" s="243" t="s">
        <v>224</v>
      </c>
      <c r="Q3" s="243"/>
      <c r="R3" s="243"/>
      <c r="S3" s="243"/>
      <c r="T3" s="243"/>
      <c r="U3" s="243"/>
      <c r="V3" s="243"/>
      <c r="W3" s="243" t="s">
        <v>225</v>
      </c>
      <c r="X3" s="243"/>
      <c r="Y3" s="243"/>
      <c r="Z3" s="243"/>
      <c r="AA3" s="243"/>
      <c r="AB3" s="243"/>
      <c r="AC3" s="243"/>
      <c r="AD3" s="243" t="s">
        <v>226</v>
      </c>
      <c r="AE3" s="243"/>
      <c r="AF3" s="243"/>
      <c r="AG3" s="243"/>
      <c r="AH3" s="243"/>
      <c r="AI3" s="243"/>
      <c r="AJ3" s="243"/>
      <c r="AK3" s="243" t="s">
        <v>227</v>
      </c>
      <c r="AL3" s="243"/>
      <c r="AM3" s="243"/>
      <c r="AN3" s="243"/>
      <c r="AO3" s="243"/>
      <c r="AP3" s="243"/>
      <c r="AQ3" s="243"/>
      <c r="AR3" s="243" t="s">
        <v>230</v>
      </c>
      <c r="AS3" s="243"/>
      <c r="AT3" s="243"/>
      <c r="AU3" s="243"/>
      <c r="AV3" s="243"/>
      <c r="AW3" s="243"/>
      <c r="AX3" s="243"/>
      <c r="AY3" s="243" t="s">
        <v>127</v>
      </c>
      <c r="AZ3" s="243"/>
      <c r="BA3" s="243"/>
      <c r="BB3" s="243"/>
      <c r="BC3" s="243"/>
      <c r="BD3" s="243"/>
      <c r="BE3" s="243"/>
      <c r="BF3" s="243" t="s">
        <v>233</v>
      </c>
      <c r="BG3" s="243"/>
      <c r="BH3" s="243"/>
      <c r="BI3" s="243"/>
      <c r="BJ3" s="243"/>
      <c r="BK3" s="243"/>
      <c r="BL3" s="243"/>
      <c r="BM3" s="243" t="s">
        <v>128</v>
      </c>
      <c r="BN3" s="243"/>
      <c r="BO3" s="243"/>
      <c r="BP3" s="243"/>
      <c r="BQ3" s="243"/>
      <c r="BR3" s="243"/>
      <c r="BS3" s="243"/>
      <c r="BT3" s="243" t="s">
        <v>129</v>
      </c>
      <c r="BU3" s="243"/>
      <c r="BV3" s="243"/>
      <c r="BW3" s="243"/>
      <c r="BX3" s="243"/>
      <c r="BY3" s="243"/>
      <c r="BZ3" s="243"/>
      <c r="CA3" s="243" t="s">
        <v>234</v>
      </c>
      <c r="CB3" s="243"/>
      <c r="CC3" s="243"/>
      <c r="CD3" s="243"/>
      <c r="CE3" s="243"/>
      <c r="CF3" s="243"/>
      <c r="CG3" s="243"/>
      <c r="CH3" s="243" t="s">
        <v>235</v>
      </c>
      <c r="CI3" s="243"/>
      <c r="CJ3" s="243"/>
      <c r="CK3" s="243"/>
      <c r="CL3" s="243"/>
      <c r="CM3" s="243"/>
      <c r="CN3" s="243"/>
      <c r="CO3" s="243" t="s">
        <v>135</v>
      </c>
      <c r="CP3" s="243"/>
      <c r="CQ3" s="243"/>
      <c r="CR3" s="243"/>
      <c r="CS3" s="243"/>
      <c r="CT3" s="243"/>
      <c r="CU3" s="243" t="s">
        <v>157</v>
      </c>
      <c r="CV3" s="243"/>
      <c r="CW3" s="243"/>
      <c r="CX3" s="243"/>
      <c r="CY3" s="243"/>
      <c r="CZ3" s="243"/>
      <c r="DA3" s="243" t="s">
        <v>136</v>
      </c>
      <c r="DB3" s="243"/>
      <c r="DC3" s="243"/>
      <c r="DD3" s="243"/>
      <c r="DE3" s="243"/>
      <c r="DF3" s="243"/>
      <c r="DG3" s="243" t="s">
        <v>158</v>
      </c>
      <c r="DH3" s="243"/>
      <c r="DI3" s="243"/>
      <c r="DJ3" s="243"/>
      <c r="DK3" s="243"/>
      <c r="DL3" s="243"/>
      <c r="DM3" s="243" t="s">
        <v>159</v>
      </c>
      <c r="DN3" s="243"/>
      <c r="DO3" s="243"/>
      <c r="DP3" s="243"/>
      <c r="DQ3" s="243"/>
      <c r="DR3" s="243"/>
      <c r="DS3" s="243" t="s">
        <v>160</v>
      </c>
      <c r="DT3" s="243"/>
      <c r="DU3" s="243"/>
      <c r="DV3" s="243"/>
      <c r="DW3" s="243"/>
      <c r="DX3" s="243"/>
      <c r="DY3" s="243" t="s">
        <v>137</v>
      </c>
      <c r="DZ3" s="243"/>
      <c r="EA3" s="243"/>
      <c r="EB3" s="243"/>
      <c r="EC3" s="243"/>
      <c r="ED3" s="243"/>
      <c r="EE3" s="243" t="s">
        <v>138</v>
      </c>
      <c r="EF3" s="243"/>
      <c r="EG3" s="243"/>
      <c r="EH3" s="243"/>
      <c r="EI3" s="243"/>
      <c r="EJ3" s="243"/>
      <c r="EK3" s="243" t="s">
        <v>206</v>
      </c>
      <c r="EL3" s="243"/>
      <c r="EM3" s="243"/>
      <c r="EN3" s="243"/>
      <c r="EO3" s="243"/>
      <c r="EP3" s="243"/>
      <c r="EQ3" s="243" t="s">
        <v>207</v>
      </c>
      <c r="ER3" s="243"/>
      <c r="ES3" s="243"/>
      <c r="ET3" s="243"/>
      <c r="EU3" s="243"/>
      <c r="EV3" s="243"/>
      <c r="EW3" s="243" t="s">
        <v>139</v>
      </c>
      <c r="EX3" s="243"/>
      <c r="EY3" s="243"/>
      <c r="EZ3" s="243"/>
      <c r="FA3" s="243"/>
      <c r="FB3" s="243"/>
      <c r="FC3" s="243" t="s">
        <v>140</v>
      </c>
      <c r="FD3" s="243"/>
      <c r="FE3" s="243"/>
      <c r="FF3" s="243"/>
      <c r="FG3" s="243"/>
      <c r="FH3" s="243"/>
      <c r="FI3" s="243" t="s">
        <v>141</v>
      </c>
      <c r="FJ3" s="243"/>
      <c r="FK3" s="243"/>
      <c r="FL3" s="243"/>
      <c r="FM3" s="243"/>
      <c r="FN3" s="243"/>
      <c r="FO3" s="243" t="s">
        <v>257</v>
      </c>
      <c r="FP3" s="243"/>
      <c r="FQ3" s="243"/>
      <c r="FR3" s="243"/>
      <c r="FS3" s="243" t="s">
        <v>142</v>
      </c>
      <c r="FT3" s="243"/>
      <c r="FU3" s="243"/>
      <c r="FV3" s="243"/>
      <c r="FW3" s="243"/>
      <c r="FX3" s="243"/>
      <c r="FY3" s="243" t="s">
        <v>143</v>
      </c>
      <c r="FZ3" s="243"/>
      <c r="GA3" s="243"/>
      <c r="GB3" s="243"/>
      <c r="GC3" s="243"/>
      <c r="GD3" s="243"/>
      <c r="GE3" s="243" t="s">
        <v>144</v>
      </c>
      <c r="GF3" s="243"/>
      <c r="GG3" s="243"/>
      <c r="GH3" s="243"/>
      <c r="GI3" s="243"/>
      <c r="GJ3" s="243"/>
      <c r="GK3" s="243" t="s">
        <v>145</v>
      </c>
      <c r="GL3" s="243"/>
      <c r="GM3" s="243"/>
      <c r="GN3" s="243"/>
      <c r="GO3" s="243"/>
      <c r="GP3" s="243"/>
      <c r="GQ3" s="243" t="s">
        <v>146</v>
      </c>
      <c r="GR3" s="243"/>
      <c r="GS3" s="243"/>
      <c r="GT3" s="243"/>
      <c r="GU3" s="243"/>
      <c r="GV3" s="243"/>
      <c r="GW3" s="243" t="s">
        <v>147</v>
      </c>
      <c r="GX3" s="243"/>
      <c r="GY3" s="243"/>
      <c r="GZ3" s="243"/>
      <c r="HA3" s="243"/>
      <c r="HB3" s="243"/>
      <c r="HC3" s="243" t="s">
        <v>148</v>
      </c>
      <c r="HD3" s="243"/>
      <c r="HE3" s="243"/>
      <c r="HF3" s="243"/>
      <c r="HG3" s="243"/>
      <c r="HH3" s="243"/>
      <c r="HI3" s="243" t="s">
        <v>148</v>
      </c>
      <c r="HJ3" s="243"/>
      <c r="HK3" s="243"/>
      <c r="HL3" s="243"/>
      <c r="HM3" s="243"/>
      <c r="HN3" s="243"/>
      <c r="HO3" s="243" t="s">
        <v>149</v>
      </c>
      <c r="HP3" s="243"/>
      <c r="HQ3" s="243"/>
      <c r="HR3" s="243"/>
      <c r="HS3" s="243"/>
      <c r="HT3" s="243"/>
      <c r="HU3" s="243" t="s">
        <v>150</v>
      </c>
      <c r="HV3" s="243"/>
      <c r="HW3" s="243"/>
      <c r="HX3" s="243"/>
      <c r="HY3" s="243"/>
      <c r="HZ3" s="243"/>
      <c r="IA3" s="243" t="s">
        <v>151</v>
      </c>
      <c r="IB3" s="243"/>
      <c r="IC3" s="243"/>
      <c r="ID3" s="243"/>
      <c r="IE3" s="243"/>
      <c r="IF3" s="243"/>
      <c r="IG3" s="243" t="s">
        <v>161</v>
      </c>
      <c r="IH3" s="243"/>
      <c r="II3" s="243" t="s">
        <v>162</v>
      </c>
      <c r="IJ3" s="243"/>
      <c r="IK3" s="243"/>
      <c r="IL3" s="243"/>
      <c r="IM3" s="243"/>
      <c r="IN3" s="243"/>
      <c r="IO3" s="243" t="s">
        <v>162</v>
      </c>
      <c r="IP3" s="243"/>
      <c r="IQ3" s="243"/>
      <c r="IR3" s="243"/>
      <c r="IS3" s="243"/>
      <c r="IT3" s="243"/>
      <c r="IU3" s="243" t="s">
        <v>152</v>
      </c>
      <c r="IV3" s="243"/>
      <c r="IW3" s="243"/>
      <c r="IX3" s="243"/>
      <c r="IY3" s="243"/>
      <c r="IZ3" s="243"/>
      <c r="JA3" s="243" t="s">
        <v>153</v>
      </c>
      <c r="JB3" s="243"/>
      <c r="JC3" s="243"/>
      <c r="JD3" s="243"/>
      <c r="JE3" s="243"/>
      <c r="JF3" s="243"/>
      <c r="JG3" s="243" t="s">
        <v>154</v>
      </c>
      <c r="JH3" s="243"/>
      <c r="JI3" s="243"/>
      <c r="JJ3" s="243"/>
      <c r="JK3" s="243"/>
      <c r="JL3" s="243"/>
      <c r="JM3" s="243" t="s">
        <v>151</v>
      </c>
      <c r="JN3" s="243"/>
      <c r="JO3" s="243"/>
      <c r="JP3" s="243"/>
      <c r="JQ3" s="243"/>
      <c r="JR3" s="243"/>
      <c r="JS3" s="243" t="s">
        <v>163</v>
      </c>
      <c r="JT3" s="243"/>
      <c r="JU3" s="243"/>
      <c r="JV3" s="243"/>
      <c r="JW3" s="243"/>
      <c r="JX3" s="243"/>
      <c r="JY3" s="243" t="s">
        <v>164</v>
      </c>
      <c r="JZ3" s="243"/>
      <c r="KA3" s="243"/>
      <c r="KB3" s="243"/>
      <c r="KC3" s="243"/>
      <c r="KD3" s="243"/>
      <c r="KF3" s="244" t="s">
        <v>165</v>
      </c>
      <c r="KG3" s="244"/>
      <c r="KH3" s="244"/>
      <c r="KI3" s="244"/>
      <c r="KJ3" s="244"/>
      <c r="KK3" s="244"/>
      <c r="KL3" s="244"/>
      <c r="KM3" s="244"/>
      <c r="KN3" s="244"/>
      <c r="KO3" s="244"/>
      <c r="KP3" s="244"/>
      <c r="KQ3" s="244"/>
      <c r="KR3" s="244"/>
      <c r="KS3" s="244" t="s">
        <v>214</v>
      </c>
      <c r="KT3" s="244"/>
      <c r="KU3" s="244"/>
      <c r="KV3" s="244"/>
      <c r="KW3" s="244"/>
      <c r="KX3" s="244"/>
      <c r="KY3" s="244"/>
      <c r="KZ3" s="244"/>
      <c r="LA3" s="244"/>
      <c r="LB3" s="244"/>
      <c r="LC3" s="244"/>
      <c r="LD3" s="244"/>
      <c r="LE3" s="244"/>
      <c r="LF3" s="244" t="s">
        <v>215</v>
      </c>
      <c r="LG3" s="244"/>
      <c r="LH3" s="244"/>
      <c r="LI3" s="244"/>
      <c r="LJ3" s="244"/>
      <c r="LK3" s="244"/>
      <c r="LL3" s="244"/>
      <c r="LM3" s="244"/>
      <c r="LN3" s="244"/>
      <c r="LO3" s="244"/>
      <c r="LP3" s="244"/>
      <c r="LQ3" s="244"/>
      <c r="LR3" s="244"/>
      <c r="LS3" s="244" t="s">
        <v>166</v>
      </c>
      <c r="LT3" s="244"/>
      <c r="LU3" s="244"/>
      <c r="LV3" s="244"/>
      <c r="LW3" s="244"/>
      <c r="LX3" s="244"/>
      <c r="LY3" s="244"/>
      <c r="LZ3" s="244"/>
      <c r="MA3" s="244"/>
      <c r="MB3" s="244"/>
      <c r="MC3" s="244"/>
      <c r="MD3" s="244"/>
      <c r="ME3" s="244"/>
      <c r="MF3" s="244" t="s">
        <v>167</v>
      </c>
      <c r="MG3" s="244"/>
      <c r="MH3" s="244"/>
      <c r="MI3" s="244"/>
      <c r="MJ3" s="244"/>
      <c r="MK3" s="244"/>
      <c r="ML3" s="244"/>
      <c r="MM3" s="244"/>
      <c r="MN3" s="244"/>
      <c r="MO3" s="244"/>
      <c r="MP3" s="244"/>
      <c r="MQ3" s="244"/>
      <c r="MR3" s="244"/>
      <c r="MS3" s="6"/>
      <c r="MT3" s="6"/>
      <c r="NB3" s="243" t="s">
        <v>168</v>
      </c>
      <c r="NC3" s="243"/>
      <c r="ND3" s="243"/>
      <c r="NE3" s="243"/>
    </row>
    <row r="4" spans="1:369" ht="23.25" customHeight="1" x14ac:dyDescent="0.15">
      <c r="A4" s="8"/>
      <c r="B4" s="94" t="s">
        <v>65</v>
      </c>
      <c r="C4" s="95" t="s">
        <v>63</v>
      </c>
      <c r="D4" s="96" t="s">
        <v>64</v>
      </c>
      <c r="E4" s="97" t="s">
        <v>100</v>
      </c>
      <c r="F4" s="98" t="s">
        <v>114</v>
      </c>
      <c r="G4" s="144" t="s">
        <v>187</v>
      </c>
      <c r="H4" s="168" t="s">
        <v>220</v>
      </c>
      <c r="I4" s="94" t="s">
        <v>65</v>
      </c>
      <c r="J4" s="95" t="s">
        <v>63</v>
      </c>
      <c r="K4" s="96" t="s">
        <v>64</v>
      </c>
      <c r="L4" s="97" t="s">
        <v>100</v>
      </c>
      <c r="M4" s="98" t="s">
        <v>114</v>
      </c>
      <c r="N4" s="144" t="s">
        <v>187</v>
      </c>
      <c r="O4" s="168" t="s">
        <v>220</v>
      </c>
      <c r="P4" s="99" t="s">
        <v>65</v>
      </c>
      <c r="Q4" s="95" t="s">
        <v>63</v>
      </c>
      <c r="R4" s="96" t="s">
        <v>64</v>
      </c>
      <c r="S4" s="97" t="s">
        <v>100</v>
      </c>
      <c r="T4" s="98" t="s">
        <v>114</v>
      </c>
      <c r="U4" s="144" t="s">
        <v>187</v>
      </c>
      <c r="V4" s="168" t="s">
        <v>220</v>
      </c>
      <c r="W4" s="94" t="s">
        <v>65</v>
      </c>
      <c r="X4" s="95" t="s">
        <v>63</v>
      </c>
      <c r="Y4" s="96" t="s">
        <v>64</v>
      </c>
      <c r="Z4" s="97" t="s">
        <v>100</v>
      </c>
      <c r="AA4" s="98" t="s">
        <v>114</v>
      </c>
      <c r="AB4" s="144" t="s">
        <v>187</v>
      </c>
      <c r="AC4" s="168" t="s">
        <v>220</v>
      </c>
      <c r="AD4" s="94" t="s">
        <v>65</v>
      </c>
      <c r="AE4" s="95" t="s">
        <v>63</v>
      </c>
      <c r="AF4" s="96" t="s">
        <v>64</v>
      </c>
      <c r="AG4" s="97" t="s">
        <v>100</v>
      </c>
      <c r="AH4" s="98" t="s">
        <v>114</v>
      </c>
      <c r="AI4" s="144" t="s">
        <v>187</v>
      </c>
      <c r="AJ4" s="168" t="s">
        <v>220</v>
      </c>
      <c r="AK4" s="94" t="s">
        <v>65</v>
      </c>
      <c r="AL4" s="95" t="s">
        <v>63</v>
      </c>
      <c r="AM4" s="96" t="s">
        <v>64</v>
      </c>
      <c r="AN4" s="97" t="s">
        <v>100</v>
      </c>
      <c r="AO4" s="98" t="s">
        <v>114</v>
      </c>
      <c r="AP4" s="144" t="s">
        <v>187</v>
      </c>
      <c r="AQ4" s="168" t="s">
        <v>220</v>
      </c>
      <c r="AR4" s="94" t="s">
        <v>65</v>
      </c>
      <c r="AS4" s="95" t="s">
        <v>63</v>
      </c>
      <c r="AT4" s="96" t="s">
        <v>64</v>
      </c>
      <c r="AU4" s="97" t="s">
        <v>100</v>
      </c>
      <c r="AV4" s="98" t="s">
        <v>114</v>
      </c>
      <c r="AW4" s="144" t="s">
        <v>187</v>
      </c>
      <c r="AX4" s="168" t="s">
        <v>220</v>
      </c>
      <c r="AY4" s="94" t="s">
        <v>65</v>
      </c>
      <c r="AZ4" s="95" t="s">
        <v>63</v>
      </c>
      <c r="BA4" s="96" t="s">
        <v>64</v>
      </c>
      <c r="BB4" s="97" t="s">
        <v>100</v>
      </c>
      <c r="BC4" s="98" t="s">
        <v>114</v>
      </c>
      <c r="BD4" s="144" t="s">
        <v>187</v>
      </c>
      <c r="BE4" s="168" t="s">
        <v>220</v>
      </c>
      <c r="BF4" s="94" t="s">
        <v>65</v>
      </c>
      <c r="BG4" s="95" t="s">
        <v>63</v>
      </c>
      <c r="BH4" s="96" t="s">
        <v>64</v>
      </c>
      <c r="BI4" s="97" t="s">
        <v>100</v>
      </c>
      <c r="BJ4" s="98" t="s">
        <v>114</v>
      </c>
      <c r="BK4" s="144" t="s">
        <v>187</v>
      </c>
      <c r="BL4" s="168" t="s">
        <v>220</v>
      </c>
      <c r="BM4" s="94" t="s">
        <v>65</v>
      </c>
      <c r="BN4" s="95" t="s">
        <v>63</v>
      </c>
      <c r="BO4" s="96" t="s">
        <v>64</v>
      </c>
      <c r="BP4" s="97" t="s">
        <v>100</v>
      </c>
      <c r="BQ4" s="98" t="s">
        <v>114</v>
      </c>
      <c r="BR4" s="144" t="s">
        <v>187</v>
      </c>
      <c r="BS4" s="168" t="s">
        <v>220</v>
      </c>
      <c r="BT4" s="94" t="s">
        <v>65</v>
      </c>
      <c r="BU4" s="95" t="s">
        <v>63</v>
      </c>
      <c r="BV4" s="96" t="s">
        <v>64</v>
      </c>
      <c r="BW4" s="97" t="s">
        <v>100</v>
      </c>
      <c r="BX4" s="98" t="s">
        <v>114</v>
      </c>
      <c r="BY4" s="144" t="s">
        <v>187</v>
      </c>
      <c r="BZ4" s="168" t="s">
        <v>220</v>
      </c>
      <c r="CA4" s="94" t="s">
        <v>65</v>
      </c>
      <c r="CB4" s="95" t="s">
        <v>63</v>
      </c>
      <c r="CC4" s="96" t="s">
        <v>64</v>
      </c>
      <c r="CD4" s="97" t="s">
        <v>100</v>
      </c>
      <c r="CE4" s="98" t="s">
        <v>114</v>
      </c>
      <c r="CF4" s="144" t="s">
        <v>187</v>
      </c>
      <c r="CG4" s="168" t="s">
        <v>220</v>
      </c>
      <c r="CH4" s="94" t="s">
        <v>65</v>
      </c>
      <c r="CI4" s="95" t="s">
        <v>63</v>
      </c>
      <c r="CJ4" s="96" t="s">
        <v>64</v>
      </c>
      <c r="CK4" s="97" t="s">
        <v>100</v>
      </c>
      <c r="CL4" s="98" t="s">
        <v>114</v>
      </c>
      <c r="CM4" s="144" t="s">
        <v>187</v>
      </c>
      <c r="CN4" s="168" t="s">
        <v>220</v>
      </c>
      <c r="CO4" s="94" t="s">
        <v>169</v>
      </c>
      <c r="CP4" s="95" t="s">
        <v>170</v>
      </c>
      <c r="CQ4" s="96" t="s">
        <v>92</v>
      </c>
      <c r="CR4" s="97" t="s">
        <v>121</v>
      </c>
      <c r="CS4" s="98" t="s">
        <v>171</v>
      </c>
      <c r="CT4" s="144" t="s">
        <v>204</v>
      </c>
      <c r="CU4" s="94" t="s">
        <v>169</v>
      </c>
      <c r="CV4" s="95" t="s">
        <v>170</v>
      </c>
      <c r="CW4" s="96" t="s">
        <v>92</v>
      </c>
      <c r="CX4" s="97" t="s">
        <v>121</v>
      </c>
      <c r="CY4" s="98" t="s">
        <v>171</v>
      </c>
      <c r="CZ4" s="144" t="s">
        <v>204</v>
      </c>
      <c r="DA4" s="94" t="s">
        <v>169</v>
      </c>
      <c r="DB4" s="95" t="s">
        <v>170</v>
      </c>
      <c r="DC4" s="96" t="s">
        <v>92</v>
      </c>
      <c r="DD4" s="97" t="s">
        <v>121</v>
      </c>
      <c r="DE4" s="98" t="s">
        <v>171</v>
      </c>
      <c r="DF4" s="144" t="s">
        <v>204</v>
      </c>
      <c r="DG4" s="94" t="s">
        <v>169</v>
      </c>
      <c r="DH4" s="95" t="s">
        <v>170</v>
      </c>
      <c r="DI4" s="96" t="s">
        <v>92</v>
      </c>
      <c r="DJ4" s="97" t="s">
        <v>121</v>
      </c>
      <c r="DK4" s="98" t="s">
        <v>171</v>
      </c>
      <c r="DL4" s="144" t="s">
        <v>204</v>
      </c>
      <c r="DM4" s="94" t="s">
        <v>169</v>
      </c>
      <c r="DN4" s="95" t="s">
        <v>170</v>
      </c>
      <c r="DO4" s="96" t="s">
        <v>92</v>
      </c>
      <c r="DP4" s="97" t="s">
        <v>121</v>
      </c>
      <c r="DQ4" s="98" t="s">
        <v>171</v>
      </c>
      <c r="DR4" s="144" t="s">
        <v>204</v>
      </c>
      <c r="DS4" s="94" t="s">
        <v>169</v>
      </c>
      <c r="DT4" s="95" t="s">
        <v>170</v>
      </c>
      <c r="DU4" s="96" t="s">
        <v>92</v>
      </c>
      <c r="DV4" s="97" t="s">
        <v>121</v>
      </c>
      <c r="DW4" s="98" t="s">
        <v>171</v>
      </c>
      <c r="DX4" s="144" t="s">
        <v>204</v>
      </c>
      <c r="DY4" s="94" t="s">
        <v>169</v>
      </c>
      <c r="DZ4" s="95" t="s">
        <v>170</v>
      </c>
      <c r="EA4" s="96" t="s">
        <v>92</v>
      </c>
      <c r="EB4" s="97" t="s">
        <v>121</v>
      </c>
      <c r="EC4" s="98" t="s">
        <v>171</v>
      </c>
      <c r="ED4" s="144" t="s">
        <v>204</v>
      </c>
      <c r="EE4" s="94" t="s">
        <v>169</v>
      </c>
      <c r="EF4" s="95" t="s">
        <v>170</v>
      </c>
      <c r="EG4" s="96" t="s">
        <v>92</v>
      </c>
      <c r="EH4" s="97" t="s">
        <v>121</v>
      </c>
      <c r="EI4" s="98" t="s">
        <v>171</v>
      </c>
      <c r="EJ4" s="144" t="s">
        <v>204</v>
      </c>
      <c r="EK4" s="94" t="s">
        <v>169</v>
      </c>
      <c r="EL4" s="95" t="s">
        <v>170</v>
      </c>
      <c r="EM4" s="96" t="s">
        <v>92</v>
      </c>
      <c r="EN4" s="97" t="s">
        <v>121</v>
      </c>
      <c r="EO4" s="98" t="s">
        <v>171</v>
      </c>
      <c r="EP4" s="144" t="s">
        <v>204</v>
      </c>
      <c r="EQ4" s="94" t="s">
        <v>169</v>
      </c>
      <c r="ER4" s="95" t="s">
        <v>170</v>
      </c>
      <c r="ES4" s="96" t="s">
        <v>92</v>
      </c>
      <c r="ET4" s="97" t="s">
        <v>121</v>
      </c>
      <c r="EU4" s="98" t="s">
        <v>171</v>
      </c>
      <c r="EV4" s="144" t="s">
        <v>204</v>
      </c>
      <c r="EW4" s="94" t="s">
        <v>169</v>
      </c>
      <c r="EX4" s="95" t="s">
        <v>170</v>
      </c>
      <c r="EY4" s="96" t="s">
        <v>92</v>
      </c>
      <c r="EZ4" s="97" t="s">
        <v>121</v>
      </c>
      <c r="FA4" s="98" t="s">
        <v>171</v>
      </c>
      <c r="FB4" s="144" t="s">
        <v>204</v>
      </c>
      <c r="FC4" s="94" t="s">
        <v>169</v>
      </c>
      <c r="FD4" s="95" t="s">
        <v>170</v>
      </c>
      <c r="FE4" s="96" t="s">
        <v>92</v>
      </c>
      <c r="FF4" s="97" t="s">
        <v>121</v>
      </c>
      <c r="FG4" s="98" t="s">
        <v>171</v>
      </c>
      <c r="FH4" s="144" t="s">
        <v>204</v>
      </c>
      <c r="FI4" s="94" t="s">
        <v>169</v>
      </c>
      <c r="FJ4" s="95" t="s">
        <v>170</v>
      </c>
      <c r="FK4" s="96" t="s">
        <v>92</v>
      </c>
      <c r="FL4" s="97" t="s">
        <v>121</v>
      </c>
      <c r="FM4" s="98" t="s">
        <v>171</v>
      </c>
      <c r="FN4" s="144" t="s">
        <v>204</v>
      </c>
      <c r="FO4" s="96" t="s">
        <v>92</v>
      </c>
      <c r="FP4" s="97" t="s">
        <v>121</v>
      </c>
      <c r="FQ4" s="98" t="s">
        <v>171</v>
      </c>
      <c r="FR4" s="144" t="s">
        <v>204</v>
      </c>
      <c r="FS4" s="94" t="s">
        <v>169</v>
      </c>
      <c r="FT4" s="95" t="s">
        <v>170</v>
      </c>
      <c r="FU4" s="96" t="s">
        <v>92</v>
      </c>
      <c r="FV4" s="97" t="s">
        <v>121</v>
      </c>
      <c r="FW4" s="98" t="s">
        <v>171</v>
      </c>
      <c r="FX4" s="144" t="s">
        <v>204</v>
      </c>
      <c r="FY4" s="94" t="s">
        <v>169</v>
      </c>
      <c r="FZ4" s="95" t="s">
        <v>170</v>
      </c>
      <c r="GA4" s="96" t="s">
        <v>92</v>
      </c>
      <c r="GB4" s="97" t="s">
        <v>121</v>
      </c>
      <c r="GC4" s="98" t="s">
        <v>171</v>
      </c>
      <c r="GD4" s="144" t="s">
        <v>204</v>
      </c>
      <c r="GE4" s="94" t="s">
        <v>169</v>
      </c>
      <c r="GF4" s="95" t="s">
        <v>172</v>
      </c>
      <c r="GG4" s="96" t="s">
        <v>101</v>
      </c>
      <c r="GH4" s="97" t="s">
        <v>122</v>
      </c>
      <c r="GI4" s="98" t="s">
        <v>173</v>
      </c>
      <c r="GJ4" s="144" t="s">
        <v>210</v>
      </c>
      <c r="GK4" s="94" t="s">
        <v>169</v>
      </c>
      <c r="GL4" s="95" t="s">
        <v>172</v>
      </c>
      <c r="GM4" s="96" t="s">
        <v>101</v>
      </c>
      <c r="GN4" s="97" t="s">
        <v>122</v>
      </c>
      <c r="GO4" s="98" t="s">
        <v>173</v>
      </c>
      <c r="GP4" s="144" t="s">
        <v>210</v>
      </c>
      <c r="GQ4" s="94" t="s">
        <v>169</v>
      </c>
      <c r="GR4" s="95" t="s">
        <v>172</v>
      </c>
      <c r="GS4" s="96" t="s">
        <v>101</v>
      </c>
      <c r="GT4" s="97" t="s">
        <v>122</v>
      </c>
      <c r="GU4" s="98" t="s">
        <v>173</v>
      </c>
      <c r="GV4" s="144" t="s">
        <v>210</v>
      </c>
      <c r="GW4" s="94" t="s">
        <v>169</v>
      </c>
      <c r="GX4" s="95" t="s">
        <v>172</v>
      </c>
      <c r="GY4" s="96" t="s">
        <v>101</v>
      </c>
      <c r="GZ4" s="97" t="s">
        <v>122</v>
      </c>
      <c r="HA4" s="98" t="s">
        <v>173</v>
      </c>
      <c r="HB4" s="144" t="s">
        <v>210</v>
      </c>
      <c r="HC4" s="94" t="s">
        <v>169</v>
      </c>
      <c r="HD4" s="95" t="s">
        <v>172</v>
      </c>
      <c r="HE4" s="96" t="s">
        <v>101</v>
      </c>
      <c r="HF4" s="97" t="s">
        <v>122</v>
      </c>
      <c r="HG4" s="98" t="s">
        <v>173</v>
      </c>
      <c r="HH4" s="144" t="s">
        <v>210</v>
      </c>
      <c r="HI4" s="94" t="s">
        <v>169</v>
      </c>
      <c r="HJ4" s="95" t="s">
        <v>172</v>
      </c>
      <c r="HK4" s="96" t="s">
        <v>101</v>
      </c>
      <c r="HL4" s="97" t="s">
        <v>122</v>
      </c>
      <c r="HM4" s="98" t="s">
        <v>173</v>
      </c>
      <c r="HN4" s="144" t="s">
        <v>210</v>
      </c>
      <c r="HO4" s="94" t="s">
        <v>169</v>
      </c>
      <c r="HP4" s="95" t="s">
        <v>172</v>
      </c>
      <c r="HQ4" s="96" t="s">
        <v>101</v>
      </c>
      <c r="HR4" s="97" t="s">
        <v>122</v>
      </c>
      <c r="HS4" s="98" t="s">
        <v>173</v>
      </c>
      <c r="HT4" s="144" t="s">
        <v>210</v>
      </c>
      <c r="HU4" s="94" t="s">
        <v>169</v>
      </c>
      <c r="HV4" s="95" t="s">
        <v>172</v>
      </c>
      <c r="HW4" s="96" t="s">
        <v>101</v>
      </c>
      <c r="HX4" s="97" t="s">
        <v>122</v>
      </c>
      <c r="HY4" s="98" t="s">
        <v>173</v>
      </c>
      <c r="HZ4" s="144" t="s">
        <v>211</v>
      </c>
      <c r="IA4" s="94" t="s">
        <v>169</v>
      </c>
      <c r="IB4" s="95" t="s">
        <v>172</v>
      </c>
      <c r="IC4" s="96" t="s">
        <v>101</v>
      </c>
      <c r="ID4" s="97" t="s">
        <v>122</v>
      </c>
      <c r="IE4" s="98" t="s">
        <v>173</v>
      </c>
      <c r="IF4" s="144" t="s">
        <v>210</v>
      </c>
      <c r="IG4" s="94" t="s">
        <v>169</v>
      </c>
      <c r="IH4" s="95" t="s">
        <v>172</v>
      </c>
      <c r="II4" s="94" t="s">
        <v>169</v>
      </c>
      <c r="IJ4" s="95" t="s">
        <v>172</v>
      </c>
      <c r="IK4" s="96" t="s">
        <v>101</v>
      </c>
      <c r="IL4" s="97" t="s">
        <v>122</v>
      </c>
      <c r="IM4" s="98" t="s">
        <v>173</v>
      </c>
      <c r="IN4" s="144" t="s">
        <v>210</v>
      </c>
      <c r="IO4" s="94" t="s">
        <v>169</v>
      </c>
      <c r="IP4" s="95" t="s">
        <v>172</v>
      </c>
      <c r="IQ4" s="96" t="s">
        <v>101</v>
      </c>
      <c r="IR4" s="97" t="s">
        <v>122</v>
      </c>
      <c r="IS4" s="98" t="s">
        <v>173</v>
      </c>
      <c r="IT4" s="144" t="s">
        <v>210</v>
      </c>
      <c r="IU4" s="94" t="s">
        <v>169</v>
      </c>
      <c r="IV4" s="95" t="s">
        <v>172</v>
      </c>
      <c r="IW4" s="96" t="s">
        <v>101</v>
      </c>
      <c r="IX4" s="97" t="s">
        <v>122</v>
      </c>
      <c r="IY4" s="98" t="s">
        <v>173</v>
      </c>
      <c r="IZ4" s="144" t="s">
        <v>210</v>
      </c>
      <c r="JA4" s="94" t="s">
        <v>169</v>
      </c>
      <c r="JB4" s="95" t="s">
        <v>172</v>
      </c>
      <c r="JC4" s="96" t="s">
        <v>101</v>
      </c>
      <c r="JD4" s="97" t="s">
        <v>122</v>
      </c>
      <c r="JE4" s="98" t="s">
        <v>173</v>
      </c>
      <c r="JF4" s="144" t="s">
        <v>210</v>
      </c>
      <c r="JG4" s="94" t="s">
        <v>169</v>
      </c>
      <c r="JH4" s="95" t="s">
        <v>172</v>
      </c>
      <c r="JI4" s="96" t="s">
        <v>101</v>
      </c>
      <c r="JJ4" s="97" t="s">
        <v>122</v>
      </c>
      <c r="JK4" s="98" t="s">
        <v>173</v>
      </c>
      <c r="JL4" s="144" t="s">
        <v>210</v>
      </c>
      <c r="JM4" s="94" t="s">
        <v>169</v>
      </c>
      <c r="JN4" s="95" t="s">
        <v>172</v>
      </c>
      <c r="JO4" s="96" t="s">
        <v>101</v>
      </c>
      <c r="JP4" s="97" t="s">
        <v>122</v>
      </c>
      <c r="JQ4" s="98" t="s">
        <v>173</v>
      </c>
      <c r="JR4" s="144" t="s">
        <v>210</v>
      </c>
      <c r="JS4" s="94" t="s">
        <v>169</v>
      </c>
      <c r="JT4" s="95" t="s">
        <v>172</v>
      </c>
      <c r="JU4" s="96" t="s">
        <v>101</v>
      </c>
      <c r="JV4" s="97" t="s">
        <v>122</v>
      </c>
      <c r="JW4" s="98" t="s">
        <v>173</v>
      </c>
      <c r="JX4" s="144" t="s">
        <v>210</v>
      </c>
      <c r="JY4" s="94" t="s">
        <v>169</v>
      </c>
      <c r="JZ4" s="95" t="s">
        <v>172</v>
      </c>
      <c r="KA4" s="96" t="s">
        <v>101</v>
      </c>
      <c r="KB4" s="97" t="s">
        <v>122</v>
      </c>
      <c r="KC4" s="98" t="s">
        <v>173</v>
      </c>
      <c r="KD4" s="144" t="s">
        <v>210</v>
      </c>
      <c r="KF4" s="37" t="s">
        <v>64</v>
      </c>
      <c r="KG4" s="34" t="s">
        <v>92</v>
      </c>
      <c r="KH4" s="25" t="s">
        <v>101</v>
      </c>
      <c r="KI4" s="51" t="s">
        <v>100</v>
      </c>
      <c r="KJ4" s="61" t="s">
        <v>121</v>
      </c>
      <c r="KK4" s="67" t="s">
        <v>122</v>
      </c>
      <c r="KL4" s="100" t="s">
        <v>114</v>
      </c>
      <c r="KM4" s="101" t="s">
        <v>171</v>
      </c>
      <c r="KN4" s="25" t="s">
        <v>173</v>
      </c>
      <c r="KO4" s="37" t="s">
        <v>187</v>
      </c>
      <c r="KP4" s="151" t="s">
        <v>204</v>
      </c>
      <c r="KQ4" s="156" t="s">
        <v>210</v>
      </c>
      <c r="KR4" s="172" t="s">
        <v>236</v>
      </c>
      <c r="KS4" s="37" t="s">
        <v>64</v>
      </c>
      <c r="KT4" s="34" t="s">
        <v>92</v>
      </c>
      <c r="KU4" s="25" t="s">
        <v>101</v>
      </c>
      <c r="KV4" s="51" t="s">
        <v>100</v>
      </c>
      <c r="KW4" s="61" t="s">
        <v>121</v>
      </c>
      <c r="KX4" s="67" t="s">
        <v>122</v>
      </c>
      <c r="KY4" s="100" t="s">
        <v>114</v>
      </c>
      <c r="KZ4" s="101" t="s">
        <v>171</v>
      </c>
      <c r="LA4" s="25" t="s">
        <v>173</v>
      </c>
      <c r="LB4" s="37" t="s">
        <v>187</v>
      </c>
      <c r="LC4" s="151" t="s">
        <v>204</v>
      </c>
      <c r="LD4" s="156" t="s">
        <v>210</v>
      </c>
      <c r="LE4" s="172" t="s">
        <v>236</v>
      </c>
      <c r="LF4" s="37" t="s">
        <v>64</v>
      </c>
      <c r="LG4" s="34" t="s">
        <v>92</v>
      </c>
      <c r="LH4" s="25" t="s">
        <v>101</v>
      </c>
      <c r="LI4" s="51" t="s">
        <v>100</v>
      </c>
      <c r="LJ4" s="61" t="s">
        <v>121</v>
      </c>
      <c r="LK4" s="67" t="s">
        <v>122</v>
      </c>
      <c r="LL4" s="100" t="s">
        <v>114</v>
      </c>
      <c r="LM4" s="101" t="s">
        <v>171</v>
      </c>
      <c r="LN4" s="25" t="s">
        <v>173</v>
      </c>
      <c r="LO4" s="37" t="s">
        <v>187</v>
      </c>
      <c r="LP4" s="151" t="s">
        <v>204</v>
      </c>
      <c r="LQ4" s="156" t="s">
        <v>210</v>
      </c>
      <c r="LR4" s="172" t="s">
        <v>236</v>
      </c>
      <c r="LS4" s="37" t="s">
        <v>64</v>
      </c>
      <c r="LT4" s="34" t="s">
        <v>92</v>
      </c>
      <c r="LU4" s="25" t="s">
        <v>101</v>
      </c>
      <c r="LV4" s="51" t="s">
        <v>100</v>
      </c>
      <c r="LW4" s="61" t="s">
        <v>121</v>
      </c>
      <c r="LX4" s="67" t="s">
        <v>122</v>
      </c>
      <c r="LY4" s="100" t="s">
        <v>114</v>
      </c>
      <c r="LZ4" s="101" t="s">
        <v>171</v>
      </c>
      <c r="MA4" s="25" t="s">
        <v>173</v>
      </c>
      <c r="MB4" s="37" t="s">
        <v>187</v>
      </c>
      <c r="MC4" s="151" t="s">
        <v>204</v>
      </c>
      <c r="MD4" s="156" t="s">
        <v>210</v>
      </c>
      <c r="ME4" s="172" t="s">
        <v>236</v>
      </c>
      <c r="MF4" s="37" t="s">
        <v>64</v>
      </c>
      <c r="MG4" s="34" t="s">
        <v>92</v>
      </c>
      <c r="MH4" s="25" t="s">
        <v>101</v>
      </c>
      <c r="MI4" s="51" t="s">
        <v>100</v>
      </c>
      <c r="MJ4" s="61" t="s">
        <v>121</v>
      </c>
      <c r="MK4" s="67" t="s">
        <v>122</v>
      </c>
      <c r="ML4" s="100" t="s">
        <v>114</v>
      </c>
      <c r="MM4" s="101" t="s">
        <v>171</v>
      </c>
      <c r="MN4" s="25" t="s">
        <v>173</v>
      </c>
      <c r="MO4" s="37" t="s">
        <v>187</v>
      </c>
      <c r="MP4" s="151" t="s">
        <v>204</v>
      </c>
      <c r="MQ4" s="156" t="s">
        <v>210</v>
      </c>
      <c r="MR4" s="172" t="s">
        <v>236</v>
      </c>
      <c r="NB4" s="94" t="s">
        <v>169</v>
      </c>
      <c r="NC4" s="95" t="s">
        <v>170</v>
      </c>
      <c r="ND4" s="96" t="s">
        <v>92</v>
      </c>
      <c r="NE4" s="97" t="s">
        <v>121</v>
      </c>
    </row>
    <row r="5" spans="1:369" ht="24" customHeight="1" x14ac:dyDescent="0.15">
      <c r="A5" s="26" t="s">
        <v>59</v>
      </c>
      <c r="B5" s="42">
        <f t="shared" ref="B5:AG5" si="0">COUNT(B6:B83)</f>
        <v>9</v>
      </c>
      <c r="C5" s="43">
        <f t="shared" si="0"/>
        <v>12</v>
      </c>
      <c r="D5" s="102">
        <f t="shared" si="0"/>
        <v>25</v>
      </c>
      <c r="E5" s="52">
        <f t="shared" si="0"/>
        <v>22</v>
      </c>
      <c r="F5" s="62">
        <f t="shared" si="0"/>
        <v>26</v>
      </c>
      <c r="G5" s="68">
        <f t="shared" si="0"/>
        <v>25</v>
      </c>
      <c r="H5" s="110">
        <f t="shared" si="0"/>
        <v>24</v>
      </c>
      <c r="I5" s="42">
        <f t="shared" si="0"/>
        <v>9</v>
      </c>
      <c r="J5" s="43">
        <f t="shared" si="0"/>
        <v>14</v>
      </c>
      <c r="K5" s="102">
        <f t="shared" si="0"/>
        <v>20</v>
      </c>
      <c r="L5" s="52">
        <f t="shared" si="0"/>
        <v>24</v>
      </c>
      <c r="M5" s="62">
        <f t="shared" si="0"/>
        <v>24</v>
      </c>
      <c r="N5" s="68">
        <f t="shared" si="0"/>
        <v>23</v>
      </c>
      <c r="O5" s="110">
        <f t="shared" si="0"/>
        <v>22</v>
      </c>
      <c r="P5" s="42">
        <f t="shared" si="0"/>
        <v>8</v>
      </c>
      <c r="Q5" s="43">
        <f t="shared" si="0"/>
        <v>10</v>
      </c>
      <c r="R5" s="102">
        <f t="shared" si="0"/>
        <v>15</v>
      </c>
      <c r="S5" s="52">
        <f t="shared" si="0"/>
        <v>19</v>
      </c>
      <c r="T5" s="62">
        <f t="shared" si="0"/>
        <v>19</v>
      </c>
      <c r="U5" s="68">
        <f t="shared" si="0"/>
        <v>15</v>
      </c>
      <c r="V5" s="110">
        <f t="shared" si="0"/>
        <v>18</v>
      </c>
      <c r="W5" s="42">
        <f t="shared" si="0"/>
        <v>12</v>
      </c>
      <c r="X5" s="43">
        <f t="shared" si="0"/>
        <v>15</v>
      </c>
      <c r="Y5" s="102">
        <f t="shared" si="0"/>
        <v>17</v>
      </c>
      <c r="Z5" s="52">
        <f t="shared" si="0"/>
        <v>21</v>
      </c>
      <c r="AA5" s="62">
        <f t="shared" si="0"/>
        <v>21</v>
      </c>
      <c r="AB5" s="68">
        <f t="shared" si="0"/>
        <v>18</v>
      </c>
      <c r="AC5" s="110">
        <f t="shared" si="0"/>
        <v>25</v>
      </c>
      <c r="AD5" s="42">
        <f t="shared" si="0"/>
        <v>9</v>
      </c>
      <c r="AE5" s="43">
        <f t="shared" si="0"/>
        <v>13</v>
      </c>
      <c r="AF5" s="102">
        <f t="shared" si="0"/>
        <v>17</v>
      </c>
      <c r="AG5" s="52">
        <f t="shared" si="0"/>
        <v>17</v>
      </c>
      <c r="AH5" s="62">
        <f t="shared" ref="AH5:BM5" si="1">COUNT(AH6:AH83)</f>
        <v>21</v>
      </c>
      <c r="AI5" s="68">
        <f t="shared" si="1"/>
        <v>19</v>
      </c>
      <c r="AJ5" s="110">
        <f t="shared" si="1"/>
        <v>21</v>
      </c>
      <c r="AK5" s="42">
        <f t="shared" si="1"/>
        <v>13</v>
      </c>
      <c r="AL5" s="43">
        <f t="shared" si="1"/>
        <v>23</v>
      </c>
      <c r="AM5" s="102">
        <f t="shared" si="1"/>
        <v>17</v>
      </c>
      <c r="AN5" s="52">
        <f t="shared" si="1"/>
        <v>26</v>
      </c>
      <c r="AO5" s="62">
        <f t="shared" si="1"/>
        <v>28</v>
      </c>
      <c r="AP5" s="68">
        <f t="shared" si="1"/>
        <v>32</v>
      </c>
      <c r="AQ5" s="110">
        <f t="shared" si="1"/>
        <v>27</v>
      </c>
      <c r="AR5" s="42">
        <f t="shared" si="1"/>
        <v>6</v>
      </c>
      <c r="AS5" s="43">
        <f t="shared" si="1"/>
        <v>11</v>
      </c>
      <c r="AT5" s="102">
        <f t="shared" si="1"/>
        <v>13</v>
      </c>
      <c r="AU5" s="52">
        <f t="shared" si="1"/>
        <v>15</v>
      </c>
      <c r="AV5" s="62">
        <f t="shared" si="1"/>
        <v>18</v>
      </c>
      <c r="AW5" s="68">
        <f t="shared" si="1"/>
        <v>22</v>
      </c>
      <c r="AX5" s="110">
        <f t="shared" si="1"/>
        <v>23</v>
      </c>
      <c r="AY5" s="42">
        <f t="shared" si="1"/>
        <v>7</v>
      </c>
      <c r="AZ5" s="43">
        <f t="shared" si="1"/>
        <v>12</v>
      </c>
      <c r="BA5" s="102">
        <f t="shared" si="1"/>
        <v>15</v>
      </c>
      <c r="BB5" s="52">
        <f t="shared" si="1"/>
        <v>19</v>
      </c>
      <c r="BC5" s="62">
        <f t="shared" si="1"/>
        <v>20</v>
      </c>
      <c r="BD5" s="68">
        <f t="shared" si="1"/>
        <v>21</v>
      </c>
      <c r="BE5" s="110">
        <f t="shared" si="1"/>
        <v>21</v>
      </c>
      <c r="BF5" s="42">
        <f t="shared" si="1"/>
        <v>16</v>
      </c>
      <c r="BG5" s="43">
        <f t="shared" si="1"/>
        <v>11</v>
      </c>
      <c r="BH5" s="102">
        <f t="shared" si="1"/>
        <v>14</v>
      </c>
      <c r="BI5" s="52">
        <f t="shared" si="1"/>
        <v>17</v>
      </c>
      <c r="BJ5" s="62">
        <f t="shared" si="1"/>
        <v>18</v>
      </c>
      <c r="BK5" s="68">
        <f t="shared" si="1"/>
        <v>17</v>
      </c>
      <c r="BL5" s="110">
        <f t="shared" si="1"/>
        <v>19</v>
      </c>
      <c r="BM5" s="42">
        <f t="shared" si="1"/>
        <v>2</v>
      </c>
      <c r="BN5" s="43">
        <f t="shared" ref="BN5:CS5" si="2">COUNT(BN6:BN83)</f>
        <v>5</v>
      </c>
      <c r="BO5" s="102">
        <f t="shared" si="2"/>
        <v>9</v>
      </c>
      <c r="BP5" s="52">
        <f t="shared" si="2"/>
        <v>8</v>
      </c>
      <c r="BQ5" s="62">
        <f>COUNT(BQ6:BQ84)</f>
        <v>17</v>
      </c>
      <c r="BR5" s="68">
        <f>COUNT(BR6:BR84)</f>
        <v>18</v>
      </c>
      <c r="BS5" s="110">
        <f>COUNT(BS6:BS84)</f>
        <v>15</v>
      </c>
      <c r="BT5" s="42">
        <f t="shared" ref="BT5:CN5" si="3">COUNT(BT6:BT83)</f>
        <v>7</v>
      </c>
      <c r="BU5" s="43">
        <f t="shared" si="3"/>
        <v>9</v>
      </c>
      <c r="BV5" s="102">
        <f t="shared" si="3"/>
        <v>16</v>
      </c>
      <c r="BW5" s="52">
        <f t="shared" si="3"/>
        <v>21</v>
      </c>
      <c r="BX5" s="62">
        <f t="shared" si="3"/>
        <v>23</v>
      </c>
      <c r="BY5" s="68">
        <f t="shared" si="3"/>
        <v>22</v>
      </c>
      <c r="BZ5" s="110">
        <f t="shared" si="3"/>
        <v>21</v>
      </c>
      <c r="CA5" s="42">
        <f t="shared" si="3"/>
        <v>10</v>
      </c>
      <c r="CB5" s="43">
        <f t="shared" si="3"/>
        <v>17</v>
      </c>
      <c r="CC5" s="102">
        <f t="shared" si="3"/>
        <v>18</v>
      </c>
      <c r="CD5" s="52">
        <f t="shared" si="3"/>
        <v>17</v>
      </c>
      <c r="CE5" s="62">
        <f t="shared" si="3"/>
        <v>17</v>
      </c>
      <c r="CF5" s="68">
        <f t="shared" si="3"/>
        <v>17</v>
      </c>
      <c r="CG5" s="110">
        <f t="shared" si="3"/>
        <v>19</v>
      </c>
      <c r="CH5" s="42">
        <f t="shared" si="3"/>
        <v>8</v>
      </c>
      <c r="CI5" s="43">
        <f t="shared" si="3"/>
        <v>11</v>
      </c>
      <c r="CJ5" s="102">
        <f t="shared" si="3"/>
        <v>12</v>
      </c>
      <c r="CK5" s="52">
        <f t="shared" si="3"/>
        <v>13</v>
      </c>
      <c r="CL5" s="62">
        <f t="shared" si="3"/>
        <v>12</v>
      </c>
      <c r="CM5" s="68">
        <f t="shared" si="3"/>
        <v>15</v>
      </c>
      <c r="CN5" s="110">
        <f t="shared" si="3"/>
        <v>13</v>
      </c>
      <c r="CO5" s="103">
        <f t="shared" ref="CO5:DT5" si="4">COUNT(CO6:CO82)</f>
        <v>6</v>
      </c>
      <c r="CP5" s="104">
        <f t="shared" si="4"/>
        <v>9</v>
      </c>
      <c r="CQ5" s="105">
        <f t="shared" si="4"/>
        <v>7</v>
      </c>
      <c r="CR5" s="106">
        <f t="shared" si="4"/>
        <v>11</v>
      </c>
      <c r="CS5" s="62">
        <f t="shared" si="4"/>
        <v>12</v>
      </c>
      <c r="CT5" s="68">
        <f t="shared" si="4"/>
        <v>11</v>
      </c>
      <c r="CU5" s="103">
        <f t="shared" si="4"/>
        <v>10</v>
      </c>
      <c r="CV5" s="104">
        <f t="shared" si="4"/>
        <v>12</v>
      </c>
      <c r="CW5" s="105">
        <f t="shared" si="4"/>
        <v>12</v>
      </c>
      <c r="CX5" s="106">
        <f t="shared" si="4"/>
        <v>11</v>
      </c>
      <c r="CY5" s="62">
        <f t="shared" si="4"/>
        <v>12</v>
      </c>
      <c r="CZ5" s="68">
        <f t="shared" si="4"/>
        <v>10</v>
      </c>
      <c r="DA5" s="103">
        <f t="shared" si="4"/>
        <v>7</v>
      </c>
      <c r="DB5" s="104">
        <f t="shared" si="4"/>
        <v>10</v>
      </c>
      <c r="DC5" s="105">
        <f t="shared" si="4"/>
        <v>16</v>
      </c>
      <c r="DD5" s="106">
        <f t="shared" si="4"/>
        <v>14</v>
      </c>
      <c r="DE5" s="62">
        <f t="shared" si="4"/>
        <v>17</v>
      </c>
      <c r="DF5" s="68">
        <f t="shared" si="4"/>
        <v>19</v>
      </c>
      <c r="DG5" s="103">
        <f t="shared" si="4"/>
        <v>8</v>
      </c>
      <c r="DH5" s="104">
        <f t="shared" si="4"/>
        <v>8</v>
      </c>
      <c r="DI5" s="105">
        <f t="shared" si="4"/>
        <v>10</v>
      </c>
      <c r="DJ5" s="106">
        <f t="shared" si="4"/>
        <v>14</v>
      </c>
      <c r="DK5" s="62">
        <f t="shared" si="4"/>
        <v>13</v>
      </c>
      <c r="DL5" s="68">
        <f t="shared" si="4"/>
        <v>13</v>
      </c>
      <c r="DM5" s="103">
        <f t="shared" si="4"/>
        <v>6</v>
      </c>
      <c r="DN5" s="104">
        <f t="shared" si="4"/>
        <v>6</v>
      </c>
      <c r="DO5" s="105">
        <f t="shared" si="4"/>
        <v>10</v>
      </c>
      <c r="DP5" s="106">
        <f t="shared" si="4"/>
        <v>10</v>
      </c>
      <c r="DQ5" s="62">
        <f t="shared" si="4"/>
        <v>11</v>
      </c>
      <c r="DR5" s="68">
        <f t="shared" si="4"/>
        <v>12</v>
      </c>
      <c r="DS5" s="103">
        <f t="shared" si="4"/>
        <v>4</v>
      </c>
      <c r="DT5" s="104">
        <f t="shared" si="4"/>
        <v>4</v>
      </c>
      <c r="DU5" s="105">
        <f t="shared" ref="DU5:EZ5" si="5">COUNT(DU6:DU82)</f>
        <v>6</v>
      </c>
      <c r="DV5" s="106">
        <f t="shared" si="5"/>
        <v>6</v>
      </c>
      <c r="DW5" s="62">
        <f t="shared" si="5"/>
        <v>8</v>
      </c>
      <c r="DX5" s="68">
        <f t="shared" si="5"/>
        <v>8</v>
      </c>
      <c r="DY5" s="103">
        <f t="shared" si="5"/>
        <v>9</v>
      </c>
      <c r="DZ5" s="104">
        <f t="shared" si="5"/>
        <v>7</v>
      </c>
      <c r="EA5" s="105">
        <f t="shared" si="5"/>
        <v>11</v>
      </c>
      <c r="EB5" s="106">
        <f t="shared" si="5"/>
        <v>12</v>
      </c>
      <c r="EC5" s="62">
        <f t="shared" si="5"/>
        <v>11</v>
      </c>
      <c r="ED5" s="68">
        <f t="shared" si="5"/>
        <v>14</v>
      </c>
      <c r="EE5" s="103">
        <f t="shared" si="5"/>
        <v>4</v>
      </c>
      <c r="EF5" s="104">
        <f t="shared" si="5"/>
        <v>8</v>
      </c>
      <c r="EG5" s="105">
        <f t="shared" si="5"/>
        <v>10</v>
      </c>
      <c r="EH5" s="106">
        <f t="shared" si="5"/>
        <v>11</v>
      </c>
      <c r="EI5" s="62">
        <f t="shared" si="5"/>
        <v>15</v>
      </c>
      <c r="EJ5" s="68">
        <f t="shared" si="5"/>
        <v>13</v>
      </c>
      <c r="EK5" s="103">
        <f t="shared" si="5"/>
        <v>4</v>
      </c>
      <c r="EL5" s="104">
        <f t="shared" si="5"/>
        <v>2</v>
      </c>
      <c r="EM5" s="105">
        <f t="shared" si="5"/>
        <v>1</v>
      </c>
      <c r="EN5" s="106">
        <f t="shared" si="5"/>
        <v>2</v>
      </c>
      <c r="EO5" s="62">
        <f t="shared" si="5"/>
        <v>2</v>
      </c>
      <c r="EP5" s="68">
        <f t="shared" si="5"/>
        <v>1</v>
      </c>
      <c r="EQ5" s="103">
        <f t="shared" si="5"/>
        <v>0</v>
      </c>
      <c r="ER5" s="104">
        <f t="shared" si="5"/>
        <v>4</v>
      </c>
      <c r="ES5" s="105">
        <f t="shared" si="5"/>
        <v>4</v>
      </c>
      <c r="ET5" s="106">
        <f t="shared" si="5"/>
        <v>3</v>
      </c>
      <c r="EU5" s="62">
        <f t="shared" si="5"/>
        <v>5</v>
      </c>
      <c r="EV5" s="68">
        <f t="shared" si="5"/>
        <v>4</v>
      </c>
      <c r="EW5" s="103">
        <f t="shared" si="5"/>
        <v>8</v>
      </c>
      <c r="EX5" s="104">
        <f t="shared" si="5"/>
        <v>9</v>
      </c>
      <c r="EY5" s="105">
        <f t="shared" si="5"/>
        <v>8</v>
      </c>
      <c r="EZ5" s="106">
        <f t="shared" si="5"/>
        <v>10</v>
      </c>
      <c r="FA5" s="62">
        <f t="shared" ref="FA5:GF5" si="6">COUNT(FA6:FA82)</f>
        <v>10</v>
      </c>
      <c r="FB5" s="68">
        <f t="shared" si="6"/>
        <v>11</v>
      </c>
      <c r="FC5" s="103">
        <f t="shared" si="6"/>
        <v>8</v>
      </c>
      <c r="FD5" s="104">
        <f t="shared" si="6"/>
        <v>7</v>
      </c>
      <c r="FE5" s="105">
        <f t="shared" si="6"/>
        <v>10</v>
      </c>
      <c r="FF5" s="106">
        <f t="shared" si="6"/>
        <v>11</v>
      </c>
      <c r="FG5" s="62">
        <f t="shared" si="6"/>
        <v>12</v>
      </c>
      <c r="FH5" s="68">
        <f t="shared" si="6"/>
        <v>15</v>
      </c>
      <c r="FI5" s="103">
        <f t="shared" si="6"/>
        <v>5</v>
      </c>
      <c r="FJ5" s="104">
        <f t="shared" si="6"/>
        <v>6</v>
      </c>
      <c r="FK5" s="105">
        <f t="shared" si="6"/>
        <v>6</v>
      </c>
      <c r="FL5" s="106">
        <f t="shared" si="6"/>
        <v>6</v>
      </c>
      <c r="FM5" s="62">
        <f t="shared" si="6"/>
        <v>6</v>
      </c>
      <c r="FN5" s="68">
        <f t="shared" si="6"/>
        <v>6</v>
      </c>
      <c r="FO5" s="105">
        <f t="shared" si="6"/>
        <v>3</v>
      </c>
      <c r="FP5" s="106">
        <f t="shared" si="6"/>
        <v>3</v>
      </c>
      <c r="FQ5" s="62">
        <f t="shared" si="6"/>
        <v>6</v>
      </c>
      <c r="FR5" s="68">
        <f t="shared" si="6"/>
        <v>5</v>
      </c>
      <c r="FS5" s="103">
        <f t="shared" si="6"/>
        <v>7</v>
      </c>
      <c r="FT5" s="104">
        <f t="shared" si="6"/>
        <v>5</v>
      </c>
      <c r="FU5" s="105">
        <f t="shared" si="6"/>
        <v>4</v>
      </c>
      <c r="FV5" s="106">
        <f t="shared" si="6"/>
        <v>5</v>
      </c>
      <c r="FW5" s="62">
        <f t="shared" si="6"/>
        <v>4</v>
      </c>
      <c r="FX5" s="68">
        <f t="shared" si="6"/>
        <v>6</v>
      </c>
      <c r="FY5" s="103">
        <f t="shared" si="6"/>
        <v>7</v>
      </c>
      <c r="FZ5" s="104">
        <f t="shared" si="6"/>
        <v>8</v>
      </c>
      <c r="GA5" s="105">
        <f t="shared" si="6"/>
        <v>10</v>
      </c>
      <c r="GB5" s="106">
        <f t="shared" si="6"/>
        <v>10</v>
      </c>
      <c r="GC5" s="62">
        <f t="shared" si="6"/>
        <v>11</v>
      </c>
      <c r="GD5" s="68">
        <f t="shared" si="6"/>
        <v>13</v>
      </c>
      <c r="GE5" s="103">
        <f t="shared" si="6"/>
        <v>9</v>
      </c>
      <c r="GF5" s="104">
        <f t="shared" si="6"/>
        <v>15</v>
      </c>
      <c r="GG5" s="105">
        <f t="shared" ref="GG5:HL5" si="7">COUNT(GG6:GG82)</f>
        <v>14</v>
      </c>
      <c r="GH5" s="106">
        <f t="shared" si="7"/>
        <v>14</v>
      </c>
      <c r="GI5" s="107">
        <f t="shared" si="7"/>
        <v>10</v>
      </c>
      <c r="GJ5" s="155">
        <f>COUNT(GJ6:GJ83)</f>
        <v>10</v>
      </c>
      <c r="GK5" s="103">
        <f>COUNT(GK6:GK81)</f>
        <v>5</v>
      </c>
      <c r="GL5" s="104">
        <f>COUNT(GL6:GL81)</f>
        <v>8</v>
      </c>
      <c r="GM5" s="105">
        <f>COUNT(GM6:GM82)</f>
        <v>10</v>
      </c>
      <c r="GN5" s="106">
        <f>COUNT(GN6:GN82)</f>
        <v>8</v>
      </c>
      <c r="GO5" s="107">
        <f>COUNT(GO6:GO82)</f>
        <v>8</v>
      </c>
      <c r="GP5" s="155">
        <f>COUNT(GP6:GP83)</f>
        <v>10</v>
      </c>
      <c r="GQ5" s="103">
        <f>COUNT(GQ6:GQ82)</f>
        <v>5</v>
      </c>
      <c r="GR5" s="104">
        <f>COUNT(GR6:GR82)</f>
        <v>9</v>
      </c>
      <c r="GS5" s="105">
        <f>COUNT(GS6:GS82)</f>
        <v>12</v>
      </c>
      <c r="GT5" s="106">
        <f>COUNT(GT6:GT82)</f>
        <v>12</v>
      </c>
      <c r="GU5" s="107">
        <f>COUNT(GU6:GU82)</f>
        <v>13</v>
      </c>
      <c r="GV5" s="155">
        <f>COUNT(GV6:GV83)</f>
        <v>14</v>
      </c>
      <c r="GW5" s="103">
        <f>COUNT(GW6:GW82)</f>
        <v>6</v>
      </c>
      <c r="GX5" s="104">
        <f>COUNT(GX6:GX82)</f>
        <v>8</v>
      </c>
      <c r="GY5" s="105">
        <f>COUNT(GY6:GY82)</f>
        <v>9</v>
      </c>
      <c r="GZ5" s="106">
        <f>COUNT(GZ6:GZ82)</f>
        <v>13</v>
      </c>
      <c r="HA5" s="107">
        <f>COUNT(HA6:HA82)</f>
        <v>10</v>
      </c>
      <c r="HB5" s="155">
        <f>COUNT(HB6:HB83)</f>
        <v>10</v>
      </c>
      <c r="HC5" s="103">
        <f>COUNT(HC6:HC82)</f>
        <v>8</v>
      </c>
      <c r="HD5" s="104">
        <f>COUNT(HD6:HD82)</f>
        <v>8</v>
      </c>
      <c r="HE5" s="105">
        <f>COUNT(HE6:HE82)</f>
        <v>8</v>
      </c>
      <c r="HF5" s="106">
        <f>COUNT(HF6:HF82)</f>
        <v>11</v>
      </c>
      <c r="HG5" s="107">
        <f>COUNT(HG6:HG82)</f>
        <v>8</v>
      </c>
      <c r="HH5" s="155">
        <f>COUNT(HH6:HH83)</f>
        <v>10</v>
      </c>
      <c r="HI5" s="103">
        <f>COUNT(HI6:HI82)</f>
        <v>4</v>
      </c>
      <c r="HJ5" s="108">
        <f>COUNT(HJ6:HJ82)</f>
        <v>7</v>
      </c>
      <c r="HK5" s="105">
        <f>COUNT(HK6:HK82)</f>
        <v>6</v>
      </c>
      <c r="HL5" s="106">
        <f>COUNT(HL6:HL82)</f>
        <v>6</v>
      </c>
      <c r="HM5" s="107">
        <f>COUNT(HM6:HM82)</f>
        <v>6</v>
      </c>
      <c r="HN5" s="155">
        <f>COUNT(HN6:HN83)</f>
        <v>6</v>
      </c>
      <c r="HO5" s="103">
        <f>COUNT(HO6:HO82)</f>
        <v>3</v>
      </c>
      <c r="HP5" s="108">
        <f>COUNT(HP6:HP82)</f>
        <v>6</v>
      </c>
      <c r="HQ5" s="105">
        <f>COUNT(HQ6:HQ82)</f>
        <v>4</v>
      </c>
      <c r="HR5" s="106">
        <f>COUNT(HR6:HR82)</f>
        <v>4</v>
      </c>
      <c r="HS5" s="107">
        <f>COUNT(HS6:HS82)</f>
        <v>6</v>
      </c>
      <c r="HT5" s="155">
        <f>COUNT(HT6:HT83)</f>
        <v>3</v>
      </c>
      <c r="HU5" s="103">
        <f>COUNT(HU6:HU82)</f>
        <v>4</v>
      </c>
      <c r="HV5" s="104">
        <f>COUNT(HV6:HV82)</f>
        <v>4</v>
      </c>
      <c r="HW5" s="105">
        <f>COUNT(HW6:HW82)</f>
        <v>4</v>
      </c>
      <c r="HX5" s="106">
        <f>COUNT(HX6:HX82)</f>
        <v>4</v>
      </c>
      <c r="HY5" s="107">
        <f>COUNT(HY6:HY82)</f>
        <v>2</v>
      </c>
      <c r="HZ5" s="155">
        <f>COUNT(HZ6:HZ83)</f>
        <v>4</v>
      </c>
      <c r="IA5" s="103">
        <f>COUNT(IA6:IA82)</f>
        <v>5</v>
      </c>
      <c r="IB5" s="104">
        <f>COUNT(IB6:IB82)</f>
        <v>7</v>
      </c>
      <c r="IC5" s="105">
        <f>COUNT(IC6:IC82)</f>
        <v>6</v>
      </c>
      <c r="ID5" s="106">
        <f>COUNT(ID6:ID82)</f>
        <v>6</v>
      </c>
      <c r="IE5" s="107">
        <f>COUNT(IE6:IE82)</f>
        <v>8</v>
      </c>
      <c r="IF5" s="155">
        <v>8</v>
      </c>
      <c r="IG5" s="103">
        <f>COUNT(IG6:IG81)</f>
        <v>2</v>
      </c>
      <c r="IH5" s="104">
        <f>COUNT(IH6:IH81)</f>
        <v>0</v>
      </c>
      <c r="II5" s="103">
        <f>COUNT(II6:II82)</f>
        <v>3</v>
      </c>
      <c r="IJ5" s="103">
        <f>COUNT(IJ6:IJ82)</f>
        <v>7</v>
      </c>
      <c r="IK5" s="105">
        <f>COUNT(IK6:IK82)</f>
        <v>6</v>
      </c>
      <c r="IL5" s="106">
        <f>COUNT(IL6:IL82)</f>
        <v>5</v>
      </c>
      <c r="IM5" s="107">
        <f>COUNT(IM6:IM82)</f>
        <v>6</v>
      </c>
      <c r="IN5" s="155">
        <f>COUNT(IN6:IN83)</f>
        <v>5</v>
      </c>
      <c r="IO5" s="103">
        <f>COUNT(IO6:IO82)</f>
        <v>5</v>
      </c>
      <c r="IP5" s="108">
        <f>COUNT(IP6:IP82)</f>
        <v>6</v>
      </c>
      <c r="IQ5" s="105">
        <f>COUNT(IQ6:IQ82)</f>
        <v>3</v>
      </c>
      <c r="IR5" s="106">
        <f>COUNT(IR6:IR82)</f>
        <v>3</v>
      </c>
      <c r="IS5" s="107">
        <f>COUNT(IS6:IS83)</f>
        <v>4</v>
      </c>
      <c r="IT5" s="155">
        <f>COUNT(IT6:IT83)</f>
        <v>7</v>
      </c>
      <c r="IU5" s="103">
        <f>COUNT(IU6:IU82)</f>
        <v>4</v>
      </c>
      <c r="IV5" s="108">
        <f>COUNT(IV6:IV82)</f>
        <v>4</v>
      </c>
      <c r="IW5" s="105">
        <f>COUNT(IW6:IW82)</f>
        <v>2</v>
      </c>
      <c r="IX5" s="106">
        <f>COUNT(IX6:IX82)</f>
        <v>3</v>
      </c>
      <c r="IY5" s="107">
        <f>COUNT(IY6:IY83)</f>
        <v>4</v>
      </c>
      <c r="IZ5" s="155">
        <f>COUNT(IZ6:IZ83)</f>
        <v>3</v>
      </c>
      <c r="JA5" s="103">
        <f>COUNT(JA6:JA82)</f>
        <v>2</v>
      </c>
      <c r="JB5" s="108">
        <f>COUNT(JB6:JB82)</f>
        <v>1</v>
      </c>
      <c r="JC5" s="105">
        <f>COUNT(JC6:JC82)</f>
        <v>1</v>
      </c>
      <c r="JD5" s="106">
        <v>0</v>
      </c>
      <c r="JE5" s="107">
        <f>COUNT(JE6:JE83)</f>
        <v>2</v>
      </c>
      <c r="JF5" s="155">
        <f>COUNT(JF6:JF82)</f>
        <v>1</v>
      </c>
      <c r="JG5" s="103">
        <f>COUNT(JG6:JG82)</f>
        <v>6</v>
      </c>
      <c r="JH5" s="108">
        <f>COUNT(JH6:JH82)</f>
        <v>5</v>
      </c>
      <c r="JI5" s="105">
        <f>COUNT(JI6:JI82)</f>
        <v>5</v>
      </c>
      <c r="JJ5" s="106">
        <f>COUNT(JJ6:JJ82)</f>
        <v>6</v>
      </c>
      <c r="JK5" s="107">
        <f>COUNT(JK6:JK83)</f>
        <v>6</v>
      </c>
      <c r="JL5" s="155">
        <f>COUNT(JL6:JL82)</f>
        <v>6</v>
      </c>
      <c r="JM5" s="103">
        <f>COUNT(JM6:JM82)</f>
        <v>9</v>
      </c>
      <c r="JN5" s="108">
        <f>COUNT(JN6:JN82)</f>
        <v>8</v>
      </c>
      <c r="JO5" s="105">
        <f>COUNT(JO6:JO82)</f>
        <v>8</v>
      </c>
      <c r="JP5" s="106">
        <f>COUNT(JP6:JP82)</f>
        <v>8</v>
      </c>
      <c r="JQ5" s="107">
        <f>COUNT(JQ6:JQ83)</f>
        <v>9</v>
      </c>
      <c r="JR5" s="155">
        <f>COUNT(JR6:JR82)</f>
        <v>6</v>
      </c>
      <c r="JS5" s="103">
        <f>COUNT(JS6:JS82)</f>
        <v>8</v>
      </c>
      <c r="JT5" s="108">
        <f>COUNT(JT6:JT82)</f>
        <v>4</v>
      </c>
      <c r="JU5" s="105">
        <f>COUNT(JU6:JU82)</f>
        <v>8</v>
      </c>
      <c r="JV5" s="106">
        <f>COUNT(JV6:JV82)</f>
        <v>9</v>
      </c>
      <c r="JW5" s="107">
        <f>COUNT(JW6:JW83)</f>
        <v>10</v>
      </c>
      <c r="JX5" s="155">
        <f>COUNT(JX6:JX82)</f>
        <v>11</v>
      </c>
      <c r="JY5" s="103">
        <f>COUNT(JY6:JY82)</f>
        <v>4</v>
      </c>
      <c r="JZ5" s="108">
        <f>COUNT(JZ6:JZ82)</f>
        <v>4</v>
      </c>
      <c r="KA5" s="105">
        <f>COUNT(KA6:KA82)</f>
        <v>7</v>
      </c>
      <c r="KB5" s="106">
        <f>COUNT(KB6:KB82)</f>
        <v>7</v>
      </c>
      <c r="KC5" s="107">
        <f>COUNT(KC6:KC83)</f>
        <v>5</v>
      </c>
      <c r="KD5" s="155">
        <v>5</v>
      </c>
      <c r="KE5" s="46"/>
      <c r="KF5" s="47">
        <f>COUNT(KF6:KF83)</f>
        <v>1</v>
      </c>
      <c r="KG5" s="48">
        <f>COUNT(KG6:KG83)</f>
        <v>1</v>
      </c>
      <c r="KH5" s="45">
        <f>COUNT(KH6:KH83)</f>
        <v>2</v>
      </c>
      <c r="KI5" s="52">
        <f>COUNT(KI9:KI83)</f>
        <v>2</v>
      </c>
      <c r="KJ5" s="62">
        <f>COUNT(KJ6:KJ82)</f>
        <v>2</v>
      </c>
      <c r="KK5" s="68">
        <f>COUNT(KK6:KK82)</f>
        <v>2</v>
      </c>
      <c r="KL5" s="109">
        <f>COUNT(KL6:KL82)</f>
        <v>2</v>
      </c>
      <c r="KM5" s="110">
        <f>COUNT(KM6:KM82)</f>
        <v>2</v>
      </c>
      <c r="KN5" s="45">
        <f t="shared" ref="KN5:KU5" si="8">COUNT(KN6:KN83)</f>
        <v>3</v>
      </c>
      <c r="KO5" s="47">
        <f t="shared" si="8"/>
        <v>2</v>
      </c>
      <c r="KP5" s="152">
        <f t="shared" si="8"/>
        <v>3</v>
      </c>
      <c r="KQ5" s="157">
        <f t="shared" si="8"/>
        <v>2</v>
      </c>
      <c r="KR5" s="173">
        <f t="shared" si="8"/>
        <v>2</v>
      </c>
      <c r="KS5" s="47">
        <f t="shared" si="8"/>
        <v>2</v>
      </c>
      <c r="KT5" s="48">
        <f t="shared" si="8"/>
        <v>10</v>
      </c>
      <c r="KU5" s="45">
        <f t="shared" si="8"/>
        <v>10</v>
      </c>
      <c r="KV5" s="52">
        <f>COUNT(KV9:KV83)</f>
        <v>10</v>
      </c>
      <c r="KW5" s="62">
        <f>COUNT(KW6:KW82)</f>
        <v>9</v>
      </c>
      <c r="KX5" s="68">
        <f>COUNT(KX6:KX82)</f>
        <v>10</v>
      </c>
      <c r="KY5" s="109">
        <f>COUNT(KY6:KY82)</f>
        <v>12</v>
      </c>
      <c r="KZ5" s="110">
        <f>COUNT(KZ6:KZ82)</f>
        <v>16</v>
      </c>
      <c r="LA5" s="45">
        <f>COUNT(LA6:LA83)</f>
        <v>16</v>
      </c>
      <c r="LB5" s="47">
        <f>COUNT(LB6:LB83)</f>
        <v>18</v>
      </c>
      <c r="LC5" s="152">
        <f>COUNT(LC6:LC83)</f>
        <v>17</v>
      </c>
      <c r="LD5" s="157">
        <f>COUNT(LD6:LD83)</f>
        <v>18</v>
      </c>
      <c r="LE5" s="173">
        <f>COUNT(LE6:LE83)</f>
        <v>18</v>
      </c>
      <c r="LF5" s="47">
        <f>COUNT(LF9:LF83)</f>
        <v>3</v>
      </c>
      <c r="LG5" s="48">
        <f>COUNT(LG9:LG83)</f>
        <v>8</v>
      </c>
      <c r="LH5" s="45">
        <f>COUNT(LH9:LH83)</f>
        <v>6</v>
      </c>
      <c r="LI5" s="52">
        <f>COUNT(LI9:LI83)</f>
        <v>11</v>
      </c>
      <c r="LJ5" s="62">
        <f>COUNT(LJ6:LJ82)</f>
        <v>11</v>
      </c>
      <c r="LK5" s="68">
        <f>COUNT(LK6:LK82)</f>
        <v>13</v>
      </c>
      <c r="LL5" s="109">
        <f>COUNT(LL6:LL82)</f>
        <v>16</v>
      </c>
      <c r="LM5" s="110">
        <f>COUNT(LM6:LM82)</f>
        <v>18</v>
      </c>
      <c r="LN5" s="45">
        <f>COUNT(LN6:LN83)</f>
        <v>12</v>
      </c>
      <c r="LO5" s="47">
        <f>COUNT(LO6:LO83)</f>
        <v>14</v>
      </c>
      <c r="LP5" s="152">
        <f>COUNT(LP6:LP83)</f>
        <v>12</v>
      </c>
      <c r="LQ5" s="157">
        <f>COUNT(LQ6:LQ83)</f>
        <v>12</v>
      </c>
      <c r="LR5" s="173">
        <f>COUNT(LR6:LR83)</f>
        <v>14</v>
      </c>
      <c r="LS5" s="47">
        <f>COUNT(LS9:LS83)</f>
        <v>1</v>
      </c>
      <c r="LT5" s="48">
        <f>COUNT(LT9:LT83)</f>
        <v>1</v>
      </c>
      <c r="LU5" s="45">
        <f>COUNT(LU9:LU83)</f>
        <v>1</v>
      </c>
      <c r="LV5" s="52">
        <f>COUNT(LV9:LV83)</f>
        <v>1</v>
      </c>
      <c r="LW5" s="62">
        <f>COUNT(LW6:LW82)</f>
        <v>1</v>
      </c>
      <c r="LX5" s="68">
        <f>COUNT(LX6:LX82)</f>
        <v>2</v>
      </c>
      <c r="LY5" s="109">
        <f>COUNT(LY6:LY82)</f>
        <v>2</v>
      </c>
      <c r="LZ5" s="110">
        <f>COUNT(LZ6:LZ82)</f>
        <v>1</v>
      </c>
      <c r="MA5" s="45">
        <f>COUNT(MA6:MA83)</f>
        <v>1</v>
      </c>
      <c r="MB5" s="47">
        <f>COUNT(MB6:MB83)</f>
        <v>1</v>
      </c>
      <c r="MC5" s="152">
        <f>COUNT(MC6:MC83)</f>
        <v>1</v>
      </c>
      <c r="MD5" s="157">
        <f>COUNT(MD6:MD83)</f>
        <v>1</v>
      </c>
      <c r="ME5" s="173">
        <f>COUNT(ME6:ME83)</f>
        <v>1</v>
      </c>
      <c r="MF5" s="47">
        <f>COUNT(MF9:MF83)</f>
        <v>1</v>
      </c>
      <c r="MG5" s="48">
        <f>COUNT(MG9:MG83)</f>
        <v>0</v>
      </c>
      <c r="MH5" s="45">
        <f>COUNT(MH9:MH83)</f>
        <v>0</v>
      </c>
      <c r="MI5" s="52">
        <f>COUNT(MI9:MI81)</f>
        <v>1</v>
      </c>
      <c r="MJ5" s="62">
        <f t="shared" ref="MJ5:MP5" si="9">COUNT(MJ6:MJ82)</f>
        <v>1</v>
      </c>
      <c r="MK5" s="68">
        <f t="shared" si="9"/>
        <v>1</v>
      </c>
      <c r="ML5" s="109">
        <f t="shared" si="9"/>
        <v>1</v>
      </c>
      <c r="MM5" s="110">
        <f t="shared" si="9"/>
        <v>1</v>
      </c>
      <c r="MN5" s="45">
        <f t="shared" si="9"/>
        <v>1</v>
      </c>
      <c r="MO5" s="47">
        <f t="shared" si="9"/>
        <v>1</v>
      </c>
      <c r="MP5" s="152">
        <f t="shared" si="9"/>
        <v>1</v>
      </c>
      <c r="MQ5" s="157">
        <f>COUNT(MQ6:MQ83)</f>
        <v>1</v>
      </c>
      <c r="MR5" s="173">
        <f>COUNT(MR6:MR83)</f>
        <v>1</v>
      </c>
      <c r="MS5" s="46"/>
      <c r="MT5" s="42"/>
      <c r="NB5" s="103">
        <f>COUNT(NB6:NB82)</f>
        <v>4</v>
      </c>
      <c r="NC5" s="104">
        <f>COUNT(NC6:NC82)</f>
        <v>2</v>
      </c>
      <c r="ND5" s="105">
        <f>COUNT(ND6:ND82)</f>
        <v>2</v>
      </c>
      <c r="NE5" s="106">
        <f>COUNT(NE6:NE82)</f>
        <v>5</v>
      </c>
    </row>
    <row r="6" spans="1:369" x14ac:dyDescent="0.15">
      <c r="A6" s="27" t="s">
        <v>60</v>
      </c>
      <c r="B6" s="17"/>
      <c r="C6" s="21"/>
      <c r="D6" s="111"/>
      <c r="E6" s="112"/>
      <c r="F6" s="113"/>
      <c r="G6" s="145"/>
      <c r="H6" s="169"/>
      <c r="I6" s="114"/>
      <c r="J6" s="21"/>
      <c r="K6" s="111"/>
      <c r="L6" s="112"/>
      <c r="M6" s="113"/>
      <c r="N6" s="145"/>
      <c r="O6" s="169"/>
      <c r="P6" s="114"/>
      <c r="Q6" s="115"/>
      <c r="R6" s="111"/>
      <c r="S6" s="112"/>
      <c r="T6" s="113"/>
      <c r="U6" s="145"/>
      <c r="V6" s="169"/>
      <c r="W6" s="114"/>
      <c r="X6" s="115"/>
      <c r="Y6" s="111"/>
      <c r="Z6" s="112"/>
      <c r="AA6" s="113"/>
      <c r="AB6" s="145"/>
      <c r="AC6" s="169"/>
      <c r="AD6" s="114"/>
      <c r="AE6" s="115"/>
      <c r="AF6" s="116">
        <v>1</v>
      </c>
      <c r="AG6" s="117">
        <v>1</v>
      </c>
      <c r="AH6" s="118">
        <v>1</v>
      </c>
      <c r="AI6" s="146">
        <v>1</v>
      </c>
      <c r="AJ6" s="170">
        <v>2</v>
      </c>
      <c r="AK6" s="114"/>
      <c r="AL6" s="115"/>
      <c r="AM6" s="111"/>
      <c r="AN6" s="112"/>
      <c r="AO6" s="118">
        <v>1</v>
      </c>
      <c r="AP6" s="146"/>
      <c r="AQ6" s="170"/>
      <c r="AR6" s="114"/>
      <c r="AS6" s="115"/>
      <c r="AT6" s="111"/>
      <c r="AU6" s="112"/>
      <c r="AV6" s="113"/>
      <c r="AW6" s="145"/>
      <c r="AX6" s="169"/>
      <c r="AY6" s="114"/>
      <c r="AZ6" s="115"/>
      <c r="BA6" s="111"/>
      <c r="BB6" s="117">
        <v>1</v>
      </c>
      <c r="BC6" s="118">
        <v>1</v>
      </c>
      <c r="BD6" s="146"/>
      <c r="BE6" s="170">
        <v>1</v>
      </c>
      <c r="BF6" s="114"/>
      <c r="BG6" s="115"/>
      <c r="BH6" s="111"/>
      <c r="BI6" s="112"/>
      <c r="BJ6" s="113"/>
      <c r="BK6" s="145"/>
      <c r="BL6" s="169"/>
      <c r="BM6" s="114"/>
      <c r="BN6" s="115"/>
      <c r="BO6" s="111"/>
      <c r="BP6" s="112"/>
      <c r="BQ6" s="113"/>
      <c r="BR6" s="145"/>
      <c r="BS6" s="169"/>
      <c r="BT6" s="114"/>
      <c r="BU6" s="115"/>
      <c r="BV6" s="111"/>
      <c r="BW6" s="112"/>
      <c r="BX6" s="113"/>
      <c r="BY6" s="145"/>
      <c r="BZ6" s="169"/>
      <c r="CA6" s="114"/>
      <c r="CB6" s="115"/>
      <c r="CC6" s="111"/>
      <c r="CD6" s="112"/>
      <c r="CE6" s="113"/>
      <c r="CF6" s="145"/>
      <c r="CG6" s="169"/>
      <c r="CH6" s="114"/>
      <c r="CI6" s="115"/>
      <c r="CJ6" s="119"/>
      <c r="CK6" s="112"/>
      <c r="CL6" s="113"/>
      <c r="CM6" s="145"/>
      <c r="CN6" s="169"/>
      <c r="CP6" s="120"/>
      <c r="CQ6" s="119"/>
      <c r="CR6" s="121"/>
      <c r="CS6" s="122"/>
      <c r="CT6" s="150"/>
      <c r="CU6" s="123"/>
      <c r="CV6" s="115"/>
      <c r="CW6" s="111"/>
      <c r="CX6" s="112"/>
      <c r="CY6" s="113"/>
      <c r="CZ6" s="145"/>
      <c r="DA6" s="114"/>
      <c r="DB6" s="115"/>
      <c r="DC6" s="116">
        <v>1</v>
      </c>
      <c r="DD6" s="117"/>
      <c r="DE6" s="118"/>
      <c r="DF6" s="146">
        <v>1</v>
      </c>
      <c r="DG6" s="114"/>
      <c r="DH6" s="115"/>
      <c r="DI6" s="111"/>
      <c r="DJ6" s="112"/>
      <c r="DK6" s="113"/>
      <c r="DL6" s="145"/>
      <c r="DM6" s="114"/>
      <c r="DN6" s="115"/>
      <c r="DO6" s="111"/>
      <c r="DP6" s="112"/>
      <c r="DQ6" s="113"/>
      <c r="DR6" s="145"/>
      <c r="DS6" s="114"/>
      <c r="DT6" s="115"/>
      <c r="DU6" s="111"/>
      <c r="DV6" s="112"/>
      <c r="DW6" s="113"/>
      <c r="DX6" s="145"/>
      <c r="DY6" s="114"/>
      <c r="DZ6" s="115"/>
      <c r="EA6" s="111"/>
      <c r="EB6" s="112"/>
      <c r="EC6" s="113"/>
      <c r="ED6" s="145"/>
      <c r="EE6" s="114"/>
      <c r="EF6" s="115"/>
      <c r="EG6" s="111"/>
      <c r="EH6" s="112"/>
      <c r="EI6" s="113"/>
      <c r="EJ6" s="145"/>
      <c r="EK6" s="114"/>
      <c r="EL6" s="115"/>
      <c r="EM6" s="111"/>
      <c r="EN6" s="112"/>
      <c r="EO6" s="113"/>
      <c r="EP6" s="145"/>
      <c r="EQ6" s="114"/>
      <c r="ER6" s="115"/>
      <c r="ES6" s="111"/>
      <c r="ET6" s="112"/>
      <c r="EU6" s="113"/>
      <c r="EV6" s="145"/>
      <c r="EW6" s="114"/>
      <c r="EX6" s="115"/>
      <c r="EY6" s="111"/>
      <c r="EZ6" s="112"/>
      <c r="FA6" s="113"/>
      <c r="FB6" s="145"/>
      <c r="FC6" s="124"/>
      <c r="FD6" s="125"/>
      <c r="FE6" s="116"/>
      <c r="FF6" s="117"/>
      <c r="FG6" s="118"/>
      <c r="FH6" s="146"/>
      <c r="FI6" s="114"/>
      <c r="FJ6" s="115"/>
      <c r="FK6" s="111"/>
      <c r="FL6" s="112"/>
      <c r="FM6" s="113"/>
      <c r="FN6" s="145"/>
      <c r="FO6" s="111"/>
      <c r="FP6" s="112"/>
      <c r="FQ6" s="113"/>
      <c r="FR6" s="145"/>
      <c r="FS6" s="114"/>
      <c r="FT6" s="115"/>
      <c r="FU6" s="111"/>
      <c r="FV6" s="112"/>
      <c r="FW6" s="113"/>
      <c r="FX6" s="145"/>
      <c r="FY6" s="114"/>
      <c r="FZ6" s="115"/>
      <c r="GA6" s="111"/>
      <c r="GB6" s="112"/>
      <c r="GC6" s="113"/>
      <c r="GD6" s="145"/>
      <c r="GF6" s="120"/>
      <c r="GG6" s="119"/>
      <c r="GH6" s="121"/>
      <c r="GI6" s="122"/>
      <c r="GJ6" s="150"/>
      <c r="GK6" s="123"/>
      <c r="GL6" s="115"/>
      <c r="GM6" s="111"/>
      <c r="GN6" s="112"/>
      <c r="GO6" s="113"/>
      <c r="GP6" s="145"/>
      <c r="GQ6" s="114"/>
      <c r="GR6" s="115"/>
      <c r="GS6" s="111"/>
      <c r="GT6" s="112"/>
      <c r="GU6" s="113"/>
      <c r="GV6" s="145"/>
      <c r="GW6" s="114"/>
      <c r="GX6" s="115"/>
      <c r="GY6" s="111"/>
      <c r="GZ6" s="112"/>
      <c r="HA6" s="113"/>
      <c r="HB6" s="145"/>
      <c r="HC6" s="114"/>
      <c r="HD6" s="115"/>
      <c r="HE6" s="111"/>
      <c r="HF6" s="112"/>
      <c r="HG6" s="113"/>
      <c r="HH6" s="145"/>
      <c r="HI6" s="114"/>
      <c r="HJ6" s="115"/>
      <c r="HK6" s="111"/>
      <c r="HL6" s="112"/>
      <c r="HM6" s="113"/>
      <c r="HN6" s="145"/>
      <c r="HO6" s="114"/>
      <c r="HP6" s="115"/>
      <c r="HQ6" s="111"/>
      <c r="HR6" s="112"/>
      <c r="HS6" s="113"/>
      <c r="HT6" s="145"/>
      <c r="HU6" s="114"/>
      <c r="HV6" s="115"/>
      <c r="HW6" s="111"/>
      <c r="HX6" s="112"/>
      <c r="HY6" s="113"/>
      <c r="HZ6" s="145"/>
      <c r="IA6" s="114"/>
      <c r="IB6" s="115"/>
      <c r="IC6" s="111"/>
      <c r="ID6" s="112"/>
      <c r="IE6" s="113"/>
      <c r="IF6" s="145"/>
      <c r="IG6" s="114"/>
      <c r="IH6" s="115"/>
      <c r="II6" s="114"/>
      <c r="IJ6" s="115"/>
      <c r="IK6" s="111"/>
      <c r="IL6" s="112"/>
      <c r="IM6" s="113"/>
      <c r="IN6" s="145"/>
      <c r="IO6" s="114"/>
      <c r="IP6" s="115"/>
      <c r="IQ6" s="111"/>
      <c r="IR6" s="112"/>
      <c r="IS6" s="113"/>
      <c r="IT6" s="145"/>
      <c r="IU6" s="114"/>
      <c r="IV6" s="115"/>
      <c r="IW6" s="111"/>
      <c r="IX6" s="112"/>
      <c r="IY6" s="113"/>
      <c r="IZ6" s="145"/>
      <c r="JA6" s="114"/>
      <c r="JB6" s="115"/>
      <c r="JC6" s="111"/>
      <c r="JD6" s="112"/>
      <c r="JE6" s="113"/>
      <c r="JF6" s="145"/>
      <c r="JG6" s="114"/>
      <c r="JH6" s="115"/>
      <c r="JI6" s="111"/>
      <c r="JJ6" s="112"/>
      <c r="JK6" s="113"/>
      <c r="JL6" s="145"/>
      <c r="JM6" s="114"/>
      <c r="JN6" s="115"/>
      <c r="JO6" s="111"/>
      <c r="JP6" s="112"/>
      <c r="JQ6" s="113"/>
      <c r="JR6" s="145"/>
      <c r="JS6" s="114"/>
      <c r="JT6" s="115"/>
      <c r="JU6" s="111"/>
      <c r="JV6" s="112"/>
      <c r="JW6" s="113"/>
      <c r="JX6" s="145"/>
      <c r="JY6" s="114"/>
      <c r="JZ6" s="115"/>
      <c r="KA6" s="111"/>
      <c r="KB6" s="112"/>
      <c r="KC6" s="113"/>
      <c r="KD6" s="145"/>
      <c r="KF6" s="38"/>
      <c r="KG6" s="35"/>
      <c r="KI6" s="54"/>
      <c r="KJ6" s="64"/>
      <c r="KK6" s="69"/>
      <c r="KL6" s="126"/>
      <c r="KM6" s="127"/>
      <c r="KO6" s="38"/>
      <c r="KP6" s="83"/>
      <c r="KQ6" s="158"/>
      <c r="KR6" s="174"/>
      <c r="KS6" s="38"/>
      <c r="KT6" s="35"/>
      <c r="KV6" s="54"/>
      <c r="KW6" s="64"/>
      <c r="KX6" s="69"/>
      <c r="KY6" s="126"/>
      <c r="KZ6" s="127"/>
      <c r="LB6" s="38"/>
      <c r="LC6" s="83"/>
      <c r="LD6" s="158"/>
      <c r="LE6" s="174"/>
      <c r="LF6" s="38"/>
      <c r="LG6" s="35"/>
      <c r="LI6" s="54"/>
      <c r="LJ6" s="64"/>
      <c r="LK6" s="69"/>
      <c r="LL6" s="126"/>
      <c r="LM6" s="127"/>
      <c r="LO6" s="38"/>
      <c r="LP6" s="83"/>
      <c r="LQ6" s="158"/>
      <c r="LR6" s="174"/>
      <c r="LS6" s="38"/>
      <c r="LT6" s="35"/>
      <c r="LV6" s="54"/>
      <c r="LW6" s="64"/>
      <c r="LX6" s="69"/>
      <c r="LY6" s="126"/>
      <c r="LZ6" s="127"/>
      <c r="MB6" s="38"/>
      <c r="MC6" s="83"/>
      <c r="MD6" s="158"/>
      <c r="ME6" s="174"/>
      <c r="MF6" s="38"/>
      <c r="MG6" s="35"/>
      <c r="MI6" s="54"/>
      <c r="MJ6" s="64"/>
      <c r="MK6" s="69"/>
      <c r="ML6" s="126"/>
      <c r="MM6" s="127"/>
      <c r="MO6" s="38"/>
      <c r="MP6" s="83"/>
      <c r="MQ6" s="158"/>
      <c r="MR6" s="174"/>
      <c r="MT6" s="4">
        <f>COUNTA(B6:MR6)</f>
        <v>11</v>
      </c>
      <c r="NB6" s="114"/>
      <c r="NC6" s="115"/>
      <c r="ND6" s="111"/>
      <c r="NE6" s="112"/>
    </row>
    <row r="7" spans="1:369" x14ac:dyDescent="0.15">
      <c r="A7" s="27" t="s">
        <v>105</v>
      </c>
      <c r="B7" s="17"/>
      <c r="C7" s="21"/>
      <c r="D7" s="111"/>
      <c r="E7" s="112"/>
      <c r="F7" s="113"/>
      <c r="G7" s="145"/>
      <c r="H7" s="169"/>
      <c r="I7" s="114"/>
      <c r="J7" s="21"/>
      <c r="K7" s="111"/>
      <c r="L7" s="112"/>
      <c r="M7" s="113"/>
      <c r="N7" s="145"/>
      <c r="O7" s="169"/>
      <c r="P7" s="114"/>
      <c r="Q7" s="115"/>
      <c r="R7" s="111"/>
      <c r="S7" s="112"/>
      <c r="T7" s="113"/>
      <c r="U7" s="145"/>
      <c r="V7" s="169"/>
      <c r="W7" s="114"/>
      <c r="X7" s="115"/>
      <c r="Y7" s="111"/>
      <c r="Z7" s="112"/>
      <c r="AA7" s="113"/>
      <c r="AB7" s="145"/>
      <c r="AC7" s="169"/>
      <c r="AD7" s="114"/>
      <c r="AE7" s="115"/>
      <c r="AF7" s="116"/>
      <c r="AG7" s="117"/>
      <c r="AH7" s="118">
        <v>1</v>
      </c>
      <c r="AI7" s="146"/>
      <c r="AJ7" s="170"/>
      <c r="AK7" s="114"/>
      <c r="AL7" s="115"/>
      <c r="AM7" s="111"/>
      <c r="AN7" s="112"/>
      <c r="AO7" s="113"/>
      <c r="AP7" s="145"/>
      <c r="AQ7" s="169"/>
      <c r="AR7" s="114"/>
      <c r="AS7" s="115"/>
      <c r="AT7" s="111"/>
      <c r="AU7" s="112"/>
      <c r="AV7" s="113"/>
      <c r="AW7" s="145"/>
      <c r="AX7" s="169"/>
      <c r="AY7" s="114"/>
      <c r="AZ7" s="115"/>
      <c r="BA7" s="111"/>
      <c r="BB7" s="117"/>
      <c r="BC7" s="118"/>
      <c r="BD7" s="146"/>
      <c r="BE7" s="170"/>
      <c r="BF7" s="114"/>
      <c r="BG7" s="115"/>
      <c r="BH7" s="111"/>
      <c r="BI7" s="117">
        <v>1</v>
      </c>
      <c r="BJ7" s="113"/>
      <c r="BK7" s="145"/>
      <c r="BL7" s="169"/>
      <c r="BM7" s="114"/>
      <c r="BN7" s="115"/>
      <c r="BO7" s="111"/>
      <c r="BP7" s="112"/>
      <c r="BQ7" s="113"/>
      <c r="BR7" s="145"/>
      <c r="BS7" s="169"/>
      <c r="BT7" s="114"/>
      <c r="BU7" s="115"/>
      <c r="BV7" s="111"/>
      <c r="BW7" s="112"/>
      <c r="BX7" s="113"/>
      <c r="BY7" s="145"/>
      <c r="BZ7" s="169"/>
      <c r="CA7" s="114"/>
      <c r="CB7" s="115"/>
      <c r="CC7" s="111"/>
      <c r="CD7" s="112"/>
      <c r="CE7" s="113"/>
      <c r="CF7" s="145"/>
      <c r="CG7" s="169"/>
      <c r="CH7" s="114"/>
      <c r="CI7" s="115"/>
      <c r="CJ7" s="111"/>
      <c r="CK7" s="112"/>
      <c r="CL7" s="113"/>
      <c r="CM7" s="145"/>
      <c r="CN7" s="169"/>
      <c r="CP7" s="120"/>
      <c r="CQ7" s="119"/>
      <c r="CR7" s="121"/>
      <c r="CS7" s="122"/>
      <c r="CT7" s="150"/>
      <c r="CU7" s="123"/>
      <c r="CV7" s="115"/>
      <c r="CW7" s="111"/>
      <c r="CX7" s="112"/>
      <c r="CY7" s="113"/>
      <c r="CZ7" s="145"/>
      <c r="DA7" s="114"/>
      <c r="DB7" s="115"/>
      <c r="DC7" s="111"/>
      <c r="DD7" s="112"/>
      <c r="DE7" s="113"/>
      <c r="DF7" s="145"/>
      <c r="DG7" s="114"/>
      <c r="DH7" s="115"/>
      <c r="DI7" s="111"/>
      <c r="DJ7" s="112"/>
      <c r="DK7" s="113"/>
      <c r="DL7" s="145"/>
      <c r="DM7" s="114"/>
      <c r="DN7" s="115"/>
      <c r="DO7" s="111"/>
      <c r="DP7" s="112"/>
      <c r="DQ7" s="113"/>
      <c r="DR7" s="145"/>
      <c r="DS7" s="114"/>
      <c r="DT7" s="115"/>
      <c r="DU7" s="111"/>
      <c r="DV7" s="112"/>
      <c r="DW7" s="113"/>
      <c r="DX7" s="145"/>
      <c r="DY7" s="114"/>
      <c r="DZ7" s="115"/>
      <c r="EA7" s="111"/>
      <c r="EB7" s="112"/>
      <c r="EC7" s="113"/>
      <c r="ED7" s="145"/>
      <c r="EE7" s="114"/>
      <c r="EF7" s="115"/>
      <c r="EG7" s="111"/>
      <c r="EH7" s="112"/>
      <c r="EI7" s="113"/>
      <c r="EJ7" s="145"/>
      <c r="EK7" s="114"/>
      <c r="EL7" s="115"/>
      <c r="EM7" s="111"/>
      <c r="EN7" s="112"/>
      <c r="EO7" s="113"/>
      <c r="EP7" s="145"/>
      <c r="EQ7" s="114"/>
      <c r="ER7" s="115"/>
      <c r="ES7" s="111"/>
      <c r="ET7" s="112"/>
      <c r="EU7" s="113"/>
      <c r="EV7" s="145"/>
      <c r="EW7" s="114"/>
      <c r="EX7" s="115"/>
      <c r="EY7" s="111"/>
      <c r="EZ7" s="112"/>
      <c r="FA7" s="113"/>
      <c r="FB7" s="145"/>
      <c r="FC7" s="124"/>
      <c r="FD7" s="125"/>
      <c r="FE7" s="116"/>
      <c r="FF7" s="117"/>
      <c r="FG7" s="118"/>
      <c r="FH7" s="146"/>
      <c r="FI7" s="114"/>
      <c r="FJ7" s="115"/>
      <c r="FK7" s="111"/>
      <c r="FL7" s="112"/>
      <c r="FM7" s="113"/>
      <c r="FN7" s="145"/>
      <c r="FO7" s="111"/>
      <c r="FP7" s="112"/>
      <c r="FQ7" s="113"/>
      <c r="FR7" s="145"/>
      <c r="FS7" s="114"/>
      <c r="FT7" s="115"/>
      <c r="FU7" s="111"/>
      <c r="FV7" s="112"/>
      <c r="FW7" s="113"/>
      <c r="FX7" s="145"/>
      <c r="FY7" s="114"/>
      <c r="FZ7" s="115"/>
      <c r="GA7" s="111"/>
      <c r="GB7" s="112"/>
      <c r="GC7" s="113"/>
      <c r="GD7" s="145"/>
      <c r="GF7" s="120"/>
      <c r="GG7" s="128"/>
      <c r="GH7" s="54"/>
      <c r="GI7" s="64"/>
      <c r="GJ7" s="69"/>
      <c r="GK7" s="123"/>
      <c r="GL7" s="115"/>
      <c r="GM7" s="116">
        <v>1</v>
      </c>
      <c r="GN7" s="117">
        <v>1</v>
      </c>
      <c r="GO7" s="118"/>
      <c r="GP7" s="146"/>
      <c r="GQ7" s="114"/>
      <c r="GR7" s="115"/>
      <c r="GS7" s="116"/>
      <c r="GT7" s="117"/>
      <c r="GU7" s="118"/>
      <c r="GV7" s="146"/>
      <c r="GW7" s="114"/>
      <c r="GX7" s="115"/>
      <c r="GY7" s="111"/>
      <c r="GZ7" s="112"/>
      <c r="HA7" s="113"/>
      <c r="HB7" s="145"/>
      <c r="HC7" s="114"/>
      <c r="HD7" s="115"/>
      <c r="HE7" s="111"/>
      <c r="HF7" s="112"/>
      <c r="HG7" s="113"/>
      <c r="HH7" s="145"/>
      <c r="HI7" s="114"/>
      <c r="HJ7" s="115"/>
      <c r="HK7" s="111"/>
      <c r="HL7" s="112"/>
      <c r="HM7" s="113"/>
      <c r="HN7" s="145"/>
      <c r="HO7" s="114"/>
      <c r="HP7" s="115"/>
      <c r="HQ7" s="111"/>
      <c r="HR7" s="112"/>
      <c r="HS7" s="113"/>
      <c r="HT7" s="145"/>
      <c r="HU7" s="114"/>
      <c r="HV7" s="115"/>
      <c r="HW7" s="111"/>
      <c r="HX7" s="112"/>
      <c r="HY7" s="113"/>
      <c r="HZ7" s="145"/>
      <c r="IA7" s="114"/>
      <c r="IB7" s="125">
        <v>1</v>
      </c>
      <c r="IC7" s="116">
        <v>1</v>
      </c>
      <c r="ID7" s="117">
        <v>1</v>
      </c>
      <c r="IE7" s="118"/>
      <c r="IF7" s="146"/>
      <c r="IG7" s="114"/>
      <c r="IH7" s="115"/>
      <c r="II7" s="114"/>
      <c r="IJ7" s="115"/>
      <c r="IK7" s="111"/>
      <c r="IL7" s="112"/>
      <c r="IM7" s="113"/>
      <c r="IN7" s="145"/>
      <c r="IO7" s="114"/>
      <c r="IP7" s="115"/>
      <c r="IQ7" s="111"/>
      <c r="IR7" s="112"/>
      <c r="IS7" s="113"/>
      <c r="IT7" s="145"/>
      <c r="IU7" s="114"/>
      <c r="IV7" s="115"/>
      <c r="IW7" s="116"/>
      <c r="IX7" s="117"/>
      <c r="IY7" s="118"/>
      <c r="IZ7" s="146"/>
      <c r="JA7" s="114"/>
      <c r="JB7" s="115"/>
      <c r="JC7" s="111"/>
      <c r="JD7" s="112"/>
      <c r="JE7" s="113"/>
      <c r="JF7" s="145"/>
      <c r="JG7" s="114"/>
      <c r="JH7" s="129"/>
      <c r="JI7" s="111"/>
      <c r="JJ7" s="117"/>
      <c r="JK7" s="118"/>
      <c r="JL7" s="146"/>
      <c r="JM7" s="114"/>
      <c r="JN7" s="115"/>
      <c r="JO7" s="116"/>
      <c r="JP7" s="117"/>
      <c r="JQ7" s="118"/>
      <c r="JR7" s="146"/>
      <c r="JS7" s="114"/>
      <c r="JT7" s="115"/>
      <c r="JU7" s="111"/>
      <c r="JV7" s="117"/>
      <c r="JW7" s="118"/>
      <c r="JX7" s="146"/>
      <c r="JY7" s="114"/>
      <c r="JZ7" s="115"/>
      <c r="KA7" s="111"/>
      <c r="KB7" s="112"/>
      <c r="KC7" s="113"/>
      <c r="KD7" s="145"/>
      <c r="KF7" s="38"/>
      <c r="KG7" s="35"/>
      <c r="KI7" s="54"/>
      <c r="KJ7" s="64"/>
      <c r="KK7" s="69"/>
      <c r="KL7" s="126"/>
      <c r="KM7" s="127"/>
      <c r="KO7" s="38"/>
      <c r="KP7" s="83"/>
      <c r="KQ7" s="158"/>
      <c r="KR7" s="174"/>
      <c r="KS7" s="38"/>
      <c r="KT7" s="35"/>
      <c r="KV7" s="54"/>
      <c r="KW7" s="64"/>
      <c r="KX7" s="69"/>
      <c r="KY7" s="126"/>
      <c r="KZ7" s="127"/>
      <c r="LB7" s="38"/>
      <c r="LC7" s="83"/>
      <c r="LD7" s="158"/>
      <c r="LE7" s="174"/>
      <c r="LF7" s="38"/>
      <c r="LG7" s="35"/>
      <c r="LI7" s="54"/>
      <c r="LJ7" s="64"/>
      <c r="LK7" s="69"/>
      <c r="LL7" s="126"/>
      <c r="LM7" s="127"/>
      <c r="LO7" s="38"/>
      <c r="LP7" s="83"/>
      <c r="LQ7" s="158"/>
      <c r="LR7" s="174"/>
      <c r="LS7" s="38"/>
      <c r="LT7" s="35"/>
      <c r="LV7" s="54"/>
      <c r="LW7" s="64"/>
      <c r="LX7" s="69"/>
      <c r="LY7" s="126"/>
      <c r="LZ7" s="127"/>
      <c r="MB7" s="38"/>
      <c r="MC7" s="83"/>
      <c r="MD7" s="158"/>
      <c r="ME7" s="174"/>
      <c r="MF7" s="38"/>
      <c r="MG7" s="35"/>
      <c r="MI7" s="54"/>
      <c r="MJ7" s="64"/>
      <c r="MK7" s="69"/>
      <c r="ML7" s="126"/>
      <c r="MM7" s="127"/>
      <c r="MO7" s="38"/>
      <c r="MP7" s="83"/>
      <c r="MQ7" s="158"/>
      <c r="MR7" s="174"/>
      <c r="MT7" s="4">
        <f t="shared" ref="MT7:MT69" si="10">COUNTA(B7:MR7)</f>
        <v>7</v>
      </c>
      <c r="NB7" s="114"/>
      <c r="NC7" s="115"/>
      <c r="ND7" s="111"/>
      <c r="NE7" s="112"/>
    </row>
    <row r="8" spans="1:369" ht="15" customHeight="1" x14ac:dyDescent="0.15">
      <c r="A8" s="2" t="s">
        <v>43</v>
      </c>
      <c r="B8" s="17"/>
      <c r="C8" s="21"/>
      <c r="D8" s="128"/>
      <c r="E8" s="54"/>
      <c r="F8" s="64"/>
      <c r="G8" s="69"/>
      <c r="H8" s="127"/>
      <c r="J8" s="21"/>
      <c r="K8" s="128"/>
      <c r="L8" s="54"/>
      <c r="M8" s="64"/>
      <c r="N8" s="69"/>
      <c r="O8" s="127"/>
      <c r="Q8" s="21"/>
      <c r="R8" s="128"/>
      <c r="S8" s="54"/>
      <c r="T8" s="64"/>
      <c r="U8" s="69"/>
      <c r="V8" s="127"/>
      <c r="X8" s="21"/>
      <c r="Y8" s="128"/>
      <c r="Z8" s="54"/>
      <c r="AA8" s="64"/>
      <c r="AB8" s="69"/>
      <c r="AC8" s="127"/>
      <c r="AE8" s="21"/>
      <c r="AF8" s="128"/>
      <c r="AG8" s="54"/>
      <c r="AH8" s="64"/>
      <c r="AI8" s="69"/>
      <c r="AJ8" s="127"/>
      <c r="AL8" s="21"/>
      <c r="AM8" s="128"/>
      <c r="AN8" s="54"/>
      <c r="AO8" s="64"/>
      <c r="AP8" s="69">
        <v>1</v>
      </c>
      <c r="AQ8" s="127">
        <v>1</v>
      </c>
      <c r="AS8" s="21"/>
      <c r="AT8" s="128"/>
      <c r="AU8" s="54"/>
      <c r="AV8" s="64"/>
      <c r="AW8" s="69"/>
      <c r="AX8" s="127"/>
      <c r="AZ8" s="21"/>
      <c r="BA8" s="128"/>
      <c r="BB8" s="54"/>
      <c r="BC8" s="64"/>
      <c r="BD8" s="69"/>
      <c r="BE8" s="127"/>
      <c r="BG8" s="21"/>
      <c r="BH8" s="128"/>
      <c r="BI8" s="54"/>
      <c r="BJ8" s="64"/>
      <c r="BK8" s="69"/>
      <c r="BL8" s="127"/>
      <c r="BN8" s="21"/>
      <c r="BO8" s="128"/>
      <c r="BP8" s="54"/>
      <c r="BQ8" s="64"/>
      <c r="BR8" s="69"/>
      <c r="BS8" s="127"/>
      <c r="BU8" s="21"/>
      <c r="BV8" s="128"/>
      <c r="BW8" s="54"/>
      <c r="BX8" s="64">
        <v>1</v>
      </c>
      <c r="BY8" s="69">
        <v>1</v>
      </c>
      <c r="BZ8" s="127">
        <v>1</v>
      </c>
      <c r="CB8" s="21"/>
      <c r="CC8" s="128"/>
      <c r="CD8" s="54"/>
      <c r="CE8" s="64"/>
      <c r="CF8" s="69"/>
      <c r="CG8" s="127"/>
      <c r="CI8" s="21"/>
      <c r="CJ8" s="128"/>
      <c r="CK8" s="54"/>
      <c r="CL8" s="64"/>
      <c r="CM8" s="69"/>
      <c r="CN8" s="127"/>
      <c r="CP8" s="120"/>
      <c r="CQ8" s="119"/>
      <c r="CR8" s="121"/>
      <c r="CS8" s="122"/>
      <c r="CT8" s="150"/>
      <c r="CU8" s="123"/>
      <c r="CV8" s="130">
        <v>1</v>
      </c>
      <c r="CW8" s="131">
        <v>1</v>
      </c>
      <c r="CX8" s="112"/>
      <c r="CY8" s="132">
        <v>1</v>
      </c>
      <c r="CZ8" s="147"/>
      <c r="DA8" s="114"/>
      <c r="DB8" s="115"/>
      <c r="DC8" s="111"/>
      <c r="DD8" s="112"/>
      <c r="DE8" s="132">
        <v>1</v>
      </c>
      <c r="DF8" s="147">
        <v>2</v>
      </c>
      <c r="DG8" s="114"/>
      <c r="DH8" s="115"/>
      <c r="DI8" s="111"/>
      <c r="DJ8" s="112"/>
      <c r="DK8" s="132">
        <v>1</v>
      </c>
      <c r="DL8" s="147"/>
      <c r="DM8" s="114"/>
      <c r="DN8" s="115"/>
      <c r="DO8" s="111"/>
      <c r="DP8" s="112"/>
      <c r="DQ8" s="132">
        <v>1</v>
      </c>
      <c r="DR8" s="147">
        <v>2</v>
      </c>
      <c r="DS8" s="114"/>
      <c r="DT8" s="115"/>
      <c r="DU8" s="111"/>
      <c r="DV8" s="112"/>
      <c r="DW8" s="113"/>
      <c r="DX8" s="145"/>
      <c r="DY8" s="114"/>
      <c r="DZ8" s="115"/>
      <c r="EA8" s="111"/>
      <c r="EB8" s="112"/>
      <c r="EC8" s="113"/>
      <c r="ED8" s="145"/>
      <c r="EE8" s="114"/>
      <c r="EF8" s="115"/>
      <c r="EG8" s="111"/>
      <c r="EH8" s="112"/>
      <c r="EI8" s="132">
        <v>1</v>
      </c>
      <c r="EJ8" s="147"/>
      <c r="EK8" s="114"/>
      <c r="EL8" s="115"/>
      <c r="EM8" s="111"/>
      <c r="EN8" s="112"/>
      <c r="EO8" s="113"/>
      <c r="EP8" s="145"/>
      <c r="EQ8" s="114"/>
      <c r="ER8" s="115"/>
      <c r="ES8" s="111"/>
      <c r="ET8" s="112"/>
      <c r="EU8" s="113"/>
      <c r="EV8" s="145"/>
      <c r="EW8" s="114"/>
      <c r="EX8" s="115"/>
      <c r="EY8" s="111"/>
      <c r="EZ8" s="112"/>
      <c r="FA8" s="113">
        <v>1</v>
      </c>
      <c r="FB8" s="145"/>
      <c r="FC8" s="124">
        <v>3</v>
      </c>
      <c r="FD8" s="125">
        <v>1</v>
      </c>
      <c r="FE8" s="116">
        <v>1</v>
      </c>
      <c r="FF8" s="117">
        <v>1</v>
      </c>
      <c r="FG8" s="118">
        <v>2</v>
      </c>
      <c r="FH8" s="146">
        <v>2</v>
      </c>
      <c r="FI8" s="114"/>
      <c r="FJ8" s="115"/>
      <c r="FK8" s="111"/>
      <c r="FL8" s="112"/>
      <c r="FM8" s="113"/>
      <c r="FN8" s="145"/>
      <c r="FO8" s="111"/>
      <c r="FP8" s="112"/>
      <c r="FQ8" s="113"/>
      <c r="FR8" s="145"/>
      <c r="FS8" s="114"/>
      <c r="FT8" s="115"/>
      <c r="FU8" s="111"/>
      <c r="FV8" s="112">
        <v>1</v>
      </c>
      <c r="FW8" s="113"/>
      <c r="FX8" s="145"/>
      <c r="FY8" s="114"/>
      <c r="FZ8" s="115"/>
      <c r="GA8" s="111"/>
      <c r="GB8" s="112"/>
      <c r="GC8" s="113"/>
      <c r="GD8" s="145"/>
      <c r="GF8" s="120"/>
      <c r="GG8" s="119"/>
      <c r="GH8" s="121"/>
      <c r="GI8" s="122"/>
      <c r="GJ8" s="150">
        <v>1</v>
      </c>
      <c r="GK8" s="123"/>
      <c r="GL8" s="115"/>
      <c r="GM8" s="111"/>
      <c r="GN8" s="112"/>
      <c r="GO8" s="113"/>
      <c r="GP8" s="145"/>
      <c r="GQ8" s="114"/>
      <c r="GR8" s="115"/>
      <c r="GS8" s="111"/>
      <c r="GT8" s="112"/>
      <c r="GU8" s="113">
        <v>1</v>
      </c>
      <c r="GV8" s="145">
        <v>3</v>
      </c>
      <c r="GW8" s="114"/>
      <c r="GX8" s="115"/>
      <c r="GY8" s="111"/>
      <c r="GZ8" s="112"/>
      <c r="HA8" s="113"/>
      <c r="HB8" s="145"/>
      <c r="HC8" s="114"/>
      <c r="HD8" s="115"/>
      <c r="HE8" s="111"/>
      <c r="HF8" s="112"/>
      <c r="HG8" s="113"/>
      <c r="HH8" s="145">
        <v>1</v>
      </c>
      <c r="HI8" s="114"/>
      <c r="HJ8" s="115"/>
      <c r="HK8" s="111"/>
      <c r="HL8" s="112"/>
      <c r="HM8" s="113"/>
      <c r="HN8" s="145"/>
      <c r="HO8" s="114"/>
      <c r="HP8" s="115"/>
      <c r="HQ8" s="111"/>
      <c r="HR8" s="112"/>
      <c r="HS8" s="113"/>
      <c r="HT8" s="145"/>
      <c r="HU8" s="114"/>
      <c r="HV8" s="115"/>
      <c r="HW8" s="111"/>
      <c r="HX8" s="112"/>
      <c r="HY8" s="113"/>
      <c r="HZ8" s="145"/>
      <c r="IA8" s="114"/>
      <c r="IB8" s="115"/>
      <c r="IC8" s="111"/>
      <c r="ID8" s="112"/>
      <c r="IE8" s="113"/>
      <c r="IF8" s="145"/>
      <c r="IG8" s="114"/>
      <c r="IH8" s="115"/>
      <c r="II8" s="114"/>
      <c r="IJ8" s="115"/>
      <c r="IK8" s="111"/>
      <c r="IL8" s="112"/>
      <c r="IM8" s="113"/>
      <c r="IN8" s="145"/>
      <c r="IO8" s="114"/>
      <c r="IP8" s="115"/>
      <c r="IQ8" s="111"/>
      <c r="IR8" s="112"/>
      <c r="IS8" s="113"/>
      <c r="IT8" s="145">
        <v>1</v>
      </c>
      <c r="IU8" s="114"/>
      <c r="IV8" s="115"/>
      <c r="IW8" s="111"/>
      <c r="IX8" s="112"/>
      <c r="IY8" s="113"/>
      <c r="IZ8" s="145"/>
      <c r="JA8" s="114"/>
      <c r="JB8" s="115"/>
      <c r="JC8" s="111"/>
      <c r="JD8" s="112"/>
      <c r="JE8" s="113"/>
      <c r="JF8" s="145"/>
      <c r="JG8" s="114"/>
      <c r="JH8" s="115"/>
      <c r="JI8" s="111"/>
      <c r="JJ8" s="112"/>
      <c r="JK8" s="113"/>
      <c r="JL8" s="145"/>
      <c r="JM8" s="114"/>
      <c r="JN8" s="115"/>
      <c r="JO8" s="111"/>
      <c r="JP8" s="112"/>
      <c r="JQ8" s="113"/>
      <c r="JR8" s="145"/>
      <c r="JS8" s="114"/>
      <c r="JT8" s="115"/>
      <c r="JU8" s="111"/>
      <c r="JV8" s="112"/>
      <c r="JW8" s="113"/>
      <c r="JX8" s="145">
        <v>1</v>
      </c>
      <c r="JY8" s="114"/>
      <c r="JZ8" s="115"/>
      <c r="KA8" s="111"/>
      <c r="KB8" s="112"/>
      <c r="KC8" s="113"/>
      <c r="KD8" s="145"/>
      <c r="KE8" s="8"/>
      <c r="KF8" s="133"/>
      <c r="KG8" s="134"/>
      <c r="KH8" s="10"/>
      <c r="KI8" s="53"/>
      <c r="KJ8" s="63"/>
      <c r="KK8" s="135"/>
      <c r="KL8" s="136"/>
      <c r="KM8" s="137"/>
      <c r="KN8" s="10"/>
      <c r="KO8" s="133"/>
      <c r="KP8" s="153"/>
      <c r="KQ8" s="159"/>
      <c r="KR8" s="175"/>
      <c r="KS8" s="133"/>
      <c r="KT8" s="134"/>
      <c r="KU8" s="10"/>
      <c r="KV8" s="53"/>
      <c r="KW8" s="63"/>
      <c r="KX8" s="135"/>
      <c r="KY8" s="136"/>
      <c r="KZ8" s="137"/>
      <c r="LA8" s="10"/>
      <c r="LB8" s="133"/>
      <c r="LC8" s="153"/>
      <c r="LD8" s="159"/>
      <c r="LE8" s="175"/>
      <c r="LF8" s="133"/>
      <c r="LG8" s="134"/>
      <c r="LH8" s="10"/>
      <c r="LI8" s="53"/>
      <c r="LJ8" s="63"/>
      <c r="LK8" s="135"/>
      <c r="LL8" s="136"/>
      <c r="LM8" s="137"/>
      <c r="LN8" s="10"/>
      <c r="LO8" s="133"/>
      <c r="LP8" s="153"/>
      <c r="LQ8" s="159"/>
      <c r="LR8" s="175"/>
      <c r="LS8" s="133"/>
      <c r="LT8" s="134"/>
      <c r="LU8" s="10"/>
      <c r="LV8" s="53"/>
      <c r="LW8" s="63"/>
      <c r="LX8" s="135"/>
      <c r="LY8" s="136"/>
      <c r="LZ8" s="137"/>
      <c r="MA8" s="10"/>
      <c r="MB8" s="133"/>
      <c r="MC8" s="153"/>
      <c r="MD8" s="159"/>
      <c r="ME8" s="175"/>
      <c r="MF8" s="133"/>
      <c r="MG8" s="134"/>
      <c r="MH8" s="10"/>
      <c r="MI8" s="53"/>
      <c r="MJ8" s="63"/>
      <c r="MK8" s="135"/>
      <c r="ML8" s="136"/>
      <c r="MM8" s="137"/>
      <c r="MN8" s="10"/>
      <c r="MO8" s="133"/>
      <c r="MP8" s="153"/>
      <c r="MQ8" s="159"/>
      <c r="MR8" s="175"/>
      <c r="MS8" s="8"/>
      <c r="MT8" s="4">
        <f t="shared" si="10"/>
        <v>28</v>
      </c>
      <c r="NB8" s="114"/>
      <c r="NC8" s="115"/>
      <c r="ND8" s="111"/>
      <c r="NE8" s="117">
        <v>1</v>
      </c>
    </row>
    <row r="9" spans="1:369" x14ac:dyDescent="0.15">
      <c r="A9" s="27" t="s">
        <v>53</v>
      </c>
      <c r="B9" s="17"/>
      <c r="C9" s="21"/>
      <c r="D9" s="116">
        <v>1</v>
      </c>
      <c r="E9" s="117"/>
      <c r="F9" s="118">
        <v>1</v>
      </c>
      <c r="G9" s="146"/>
      <c r="H9" s="170"/>
      <c r="I9" s="114"/>
      <c r="J9" s="21"/>
      <c r="K9" s="111"/>
      <c r="L9" s="112"/>
      <c r="M9" s="113"/>
      <c r="N9" s="145"/>
      <c r="O9" s="169"/>
      <c r="P9" s="114"/>
      <c r="Q9" s="115"/>
      <c r="R9" s="111"/>
      <c r="S9" s="112"/>
      <c r="T9" s="113"/>
      <c r="U9" s="145"/>
      <c r="V9" s="169"/>
      <c r="W9" s="114"/>
      <c r="X9" s="115"/>
      <c r="Y9" s="116">
        <v>1</v>
      </c>
      <c r="Z9" s="112"/>
      <c r="AA9" s="113"/>
      <c r="AB9" s="145"/>
      <c r="AC9" s="169">
        <v>1</v>
      </c>
      <c r="AD9" s="114"/>
      <c r="AE9" s="115"/>
      <c r="AF9" s="111"/>
      <c r="AG9" s="112">
        <v>1</v>
      </c>
      <c r="AH9" s="113">
        <v>1</v>
      </c>
      <c r="AI9" s="145"/>
      <c r="AJ9" s="169">
        <v>1</v>
      </c>
      <c r="AK9" s="114"/>
      <c r="AL9" s="115"/>
      <c r="AM9" s="111"/>
      <c r="AN9" s="112"/>
      <c r="AO9" s="118">
        <v>2</v>
      </c>
      <c r="AP9" s="146">
        <v>1</v>
      </c>
      <c r="AQ9" s="170">
        <v>2</v>
      </c>
      <c r="AR9" s="114"/>
      <c r="AS9" s="115"/>
      <c r="AT9" s="111"/>
      <c r="AU9" s="112"/>
      <c r="AV9" s="118">
        <v>1</v>
      </c>
      <c r="AW9" s="146">
        <v>1</v>
      </c>
      <c r="AX9" s="170">
        <v>2</v>
      </c>
      <c r="AY9" s="114"/>
      <c r="AZ9" s="115"/>
      <c r="BA9" s="111"/>
      <c r="BB9" s="117">
        <v>1</v>
      </c>
      <c r="BC9" s="118"/>
      <c r="BD9" s="146">
        <v>1</v>
      </c>
      <c r="BE9" s="170">
        <v>1</v>
      </c>
      <c r="BF9" s="114"/>
      <c r="BG9" s="115"/>
      <c r="BH9" s="111"/>
      <c r="BI9" s="112"/>
      <c r="BJ9" s="113"/>
      <c r="BK9" s="145"/>
      <c r="BL9" s="169">
        <v>1</v>
      </c>
      <c r="BM9" s="114"/>
      <c r="BN9" s="115"/>
      <c r="BO9" s="116">
        <v>1</v>
      </c>
      <c r="BP9" s="112"/>
      <c r="BQ9" s="118">
        <v>1</v>
      </c>
      <c r="BR9" s="146"/>
      <c r="BS9" s="170"/>
      <c r="BT9" s="114"/>
      <c r="BU9" s="115"/>
      <c r="BV9" s="116">
        <v>1</v>
      </c>
      <c r="BW9" s="117">
        <v>2</v>
      </c>
      <c r="BX9" s="118"/>
      <c r="BY9" s="146"/>
      <c r="BZ9" s="170"/>
      <c r="CA9" s="114"/>
      <c r="CB9" s="115"/>
      <c r="CC9" s="111"/>
      <c r="CD9" s="112"/>
      <c r="CE9" s="132">
        <v>2</v>
      </c>
      <c r="CF9" s="147">
        <v>2</v>
      </c>
      <c r="CG9" s="171">
        <v>1</v>
      </c>
      <c r="CH9" s="114"/>
      <c r="CI9" s="115"/>
      <c r="CJ9" s="111"/>
      <c r="CK9" s="112"/>
      <c r="CL9" s="113"/>
      <c r="CM9" s="145"/>
      <c r="CN9" s="169"/>
      <c r="CP9" s="120"/>
      <c r="CQ9" s="119"/>
      <c r="CR9" s="54">
        <v>1</v>
      </c>
      <c r="CS9" s="64">
        <v>1</v>
      </c>
      <c r="CT9" s="69">
        <v>1</v>
      </c>
      <c r="CU9" s="123"/>
      <c r="CV9" s="115"/>
      <c r="CW9" s="111"/>
      <c r="CX9" s="112"/>
      <c r="CY9" s="113"/>
      <c r="CZ9" s="145"/>
      <c r="DA9" s="114"/>
      <c r="DB9" s="115"/>
      <c r="DC9" s="111"/>
      <c r="DD9" s="112"/>
      <c r="DE9" s="113"/>
      <c r="DF9" s="145"/>
      <c r="DG9" s="114"/>
      <c r="DH9" s="115"/>
      <c r="DI9" s="111"/>
      <c r="DJ9" s="112"/>
      <c r="DK9" s="113"/>
      <c r="DL9" s="145"/>
      <c r="DM9" s="114"/>
      <c r="DN9" s="115"/>
      <c r="DO9" s="111"/>
      <c r="DP9" s="112"/>
      <c r="DQ9" s="113"/>
      <c r="DR9" s="145"/>
      <c r="DS9" s="114"/>
      <c r="DT9" s="115"/>
      <c r="DU9" s="111"/>
      <c r="DV9" s="112"/>
      <c r="DW9" s="113"/>
      <c r="DX9" s="145"/>
      <c r="DY9" s="114"/>
      <c r="DZ9" s="115"/>
      <c r="EA9" s="111"/>
      <c r="EB9" s="112"/>
      <c r="EC9" s="113"/>
      <c r="ED9" s="145"/>
      <c r="EE9" s="114"/>
      <c r="EF9" s="115"/>
      <c r="EG9" s="111"/>
      <c r="EH9" s="117">
        <v>1</v>
      </c>
      <c r="EI9" s="118">
        <v>1</v>
      </c>
      <c r="EJ9" s="146"/>
      <c r="EK9" s="114"/>
      <c r="EL9" s="115"/>
      <c r="EM9" s="111"/>
      <c r="EN9" s="112"/>
      <c r="EO9" s="113"/>
      <c r="EP9" s="145"/>
      <c r="EQ9" s="114"/>
      <c r="ER9" s="115"/>
      <c r="ES9" s="111"/>
      <c r="ET9" s="112"/>
      <c r="EU9" s="113"/>
      <c r="EV9" s="145"/>
      <c r="EW9" s="114"/>
      <c r="EX9" s="115"/>
      <c r="EY9" s="111"/>
      <c r="EZ9" s="112"/>
      <c r="FA9" s="113"/>
      <c r="FB9" s="145"/>
      <c r="FC9" s="124"/>
      <c r="FD9" s="125"/>
      <c r="FE9" s="116"/>
      <c r="FF9" s="117"/>
      <c r="FG9" s="118"/>
      <c r="FH9" s="146"/>
      <c r="FI9" s="114"/>
      <c r="FJ9" s="115"/>
      <c r="FK9" s="111"/>
      <c r="FL9" s="112"/>
      <c r="FM9" s="113"/>
      <c r="FN9" s="145"/>
      <c r="FO9" s="111"/>
      <c r="FP9" s="112"/>
      <c r="FQ9" s="113"/>
      <c r="FR9" s="145"/>
      <c r="FS9" s="114"/>
      <c r="FT9" s="115"/>
      <c r="FU9" s="111"/>
      <c r="FV9" s="112"/>
      <c r="FW9" s="113"/>
      <c r="FX9" s="145"/>
      <c r="FY9" s="114"/>
      <c r="FZ9" s="115"/>
      <c r="GA9" s="111"/>
      <c r="GB9" s="112"/>
      <c r="GC9" s="113"/>
      <c r="GD9" s="145"/>
      <c r="GF9" s="120"/>
      <c r="GG9" s="119"/>
      <c r="GH9" s="121"/>
      <c r="GI9" s="122"/>
      <c r="GJ9" s="150"/>
      <c r="GK9" s="123"/>
      <c r="GL9" s="115"/>
      <c r="GM9" s="111"/>
      <c r="GN9" s="112"/>
      <c r="GO9" s="113"/>
      <c r="GP9" s="145"/>
      <c r="GQ9" s="114"/>
      <c r="GR9" s="115"/>
      <c r="GS9" s="111"/>
      <c r="GT9" s="112"/>
      <c r="GU9" s="113"/>
      <c r="GV9" s="145"/>
      <c r="GW9" s="114"/>
      <c r="GX9" s="115"/>
      <c r="GY9" s="111"/>
      <c r="GZ9" s="112"/>
      <c r="HA9" s="113"/>
      <c r="HB9" s="145"/>
      <c r="HC9" s="114"/>
      <c r="HD9" s="115"/>
      <c r="HE9" s="111"/>
      <c r="HF9" s="112"/>
      <c r="HG9" s="113"/>
      <c r="HH9" s="145"/>
      <c r="HI9" s="114"/>
      <c r="HJ9" s="115"/>
      <c r="HK9" s="111"/>
      <c r="HL9" s="112"/>
      <c r="HM9" s="113"/>
      <c r="HN9" s="145"/>
      <c r="HO9" s="114"/>
      <c r="HP9" s="115"/>
      <c r="HQ9" s="111"/>
      <c r="HR9" s="112"/>
      <c r="HS9" s="113"/>
      <c r="HT9" s="145"/>
      <c r="HU9" s="114"/>
      <c r="HV9" s="115"/>
      <c r="HW9" s="111"/>
      <c r="HX9" s="112"/>
      <c r="HY9" s="113"/>
      <c r="HZ9" s="145"/>
      <c r="IA9" s="114"/>
      <c r="IB9" s="115"/>
      <c r="IC9" s="111"/>
      <c r="ID9" s="112"/>
      <c r="IE9" s="113"/>
      <c r="IF9" s="145"/>
      <c r="IG9" s="114"/>
      <c r="IH9" s="115"/>
      <c r="II9" s="114"/>
      <c r="IJ9" s="115"/>
      <c r="IK9" s="111"/>
      <c r="IL9" s="112"/>
      <c r="IM9" s="113"/>
      <c r="IN9" s="145"/>
      <c r="IO9" s="114"/>
      <c r="IP9" s="115"/>
      <c r="IQ9" s="111"/>
      <c r="IR9" s="112"/>
      <c r="IS9" s="113"/>
      <c r="IT9" s="145"/>
      <c r="IU9" s="114"/>
      <c r="IV9" s="115"/>
      <c r="IW9" s="111"/>
      <c r="IX9" s="112"/>
      <c r="IY9" s="113"/>
      <c r="IZ9" s="145"/>
      <c r="JA9" s="114"/>
      <c r="JB9" s="115"/>
      <c r="JC9" s="111"/>
      <c r="JD9" s="112"/>
      <c r="JE9" s="113"/>
      <c r="JF9" s="145"/>
      <c r="JG9" s="114"/>
      <c r="JH9" s="115"/>
      <c r="JI9" s="111"/>
      <c r="JJ9" s="112"/>
      <c r="JK9" s="113"/>
      <c r="JL9" s="145"/>
      <c r="JM9" s="114"/>
      <c r="JN9" s="115"/>
      <c r="JO9" s="111"/>
      <c r="JP9" s="112"/>
      <c r="JQ9" s="113"/>
      <c r="JR9" s="145"/>
      <c r="JS9" s="114"/>
      <c r="JT9" s="115"/>
      <c r="JU9" s="111"/>
      <c r="JV9" s="112"/>
      <c r="JW9" s="113"/>
      <c r="JX9" s="145"/>
      <c r="JY9" s="114"/>
      <c r="JZ9" s="115"/>
      <c r="KA9" s="111"/>
      <c r="KB9" s="112"/>
      <c r="KC9" s="113"/>
      <c r="KD9" s="145"/>
      <c r="KF9" s="38"/>
      <c r="KG9" s="35"/>
      <c r="KI9" s="54"/>
      <c r="KJ9" s="64"/>
      <c r="KK9" s="69"/>
      <c r="KL9" s="126"/>
      <c r="KM9" s="127"/>
      <c r="KO9" s="38"/>
      <c r="KP9" s="83"/>
      <c r="KQ9" s="158"/>
      <c r="KR9" s="174"/>
      <c r="KS9" s="38"/>
      <c r="KT9" s="35"/>
      <c r="KV9" s="54"/>
      <c r="KW9" s="64"/>
      <c r="KX9" s="69"/>
      <c r="KY9" s="126"/>
      <c r="KZ9" s="127"/>
      <c r="LB9" s="38"/>
      <c r="LC9" s="83"/>
      <c r="LD9" s="158"/>
      <c r="LE9" s="174"/>
      <c r="LF9" s="38"/>
      <c r="LG9" s="35"/>
      <c r="LI9" s="54"/>
      <c r="LJ9" s="64"/>
      <c r="LK9" s="69"/>
      <c r="LL9" s="126"/>
      <c r="LM9" s="127"/>
      <c r="LO9" s="38"/>
      <c r="LP9" s="83"/>
      <c r="LQ9" s="158"/>
      <c r="LR9" s="174"/>
      <c r="LS9" s="38"/>
      <c r="LT9" s="35"/>
      <c r="LV9" s="54"/>
      <c r="LW9" s="64"/>
      <c r="LX9" s="69"/>
      <c r="LY9" s="126"/>
      <c r="LZ9" s="127"/>
      <c r="MB9" s="38"/>
      <c r="MC9" s="83"/>
      <c r="MD9" s="158"/>
      <c r="ME9" s="174"/>
      <c r="MF9" s="38"/>
      <c r="MG9" s="35"/>
      <c r="MI9" s="54"/>
      <c r="MJ9" s="64">
        <v>2</v>
      </c>
      <c r="MK9" s="69">
        <v>2</v>
      </c>
      <c r="ML9" s="126">
        <v>2</v>
      </c>
      <c r="MM9" s="127">
        <v>2</v>
      </c>
      <c r="MN9" s="4">
        <v>2</v>
      </c>
      <c r="MO9" s="38">
        <v>1</v>
      </c>
      <c r="MP9" s="83">
        <v>1</v>
      </c>
      <c r="MQ9" s="158">
        <v>1</v>
      </c>
      <c r="MR9" s="174">
        <v>1</v>
      </c>
      <c r="MT9" s="4">
        <f t="shared" si="10"/>
        <v>38</v>
      </c>
      <c r="NB9" s="114"/>
      <c r="NC9" s="115"/>
      <c r="ND9" s="111"/>
      <c r="NE9" s="112"/>
    </row>
    <row r="10" spans="1:369" x14ac:dyDescent="0.15">
      <c r="A10" s="2" t="s">
        <v>12</v>
      </c>
      <c r="C10" s="21"/>
      <c r="D10" s="128">
        <v>3</v>
      </c>
      <c r="E10" s="54">
        <v>2</v>
      </c>
      <c r="F10" s="64">
        <v>1</v>
      </c>
      <c r="G10" s="69">
        <v>1</v>
      </c>
      <c r="H10" s="127">
        <v>1</v>
      </c>
      <c r="J10" s="21">
        <v>1</v>
      </c>
      <c r="K10" s="128">
        <v>3</v>
      </c>
      <c r="L10" s="54">
        <v>1</v>
      </c>
      <c r="M10" s="64">
        <v>1</v>
      </c>
      <c r="N10" s="69">
        <v>1</v>
      </c>
      <c r="O10" s="127">
        <v>1</v>
      </c>
      <c r="P10">
        <v>3</v>
      </c>
      <c r="Q10" s="21">
        <v>1</v>
      </c>
      <c r="R10" s="128">
        <v>2</v>
      </c>
      <c r="S10" s="54">
        <v>2</v>
      </c>
      <c r="T10" s="64">
        <v>2</v>
      </c>
      <c r="U10" s="69">
        <v>1</v>
      </c>
      <c r="V10" s="127">
        <v>1</v>
      </c>
      <c r="W10">
        <v>2</v>
      </c>
      <c r="X10" s="21">
        <v>1</v>
      </c>
      <c r="Y10" s="128">
        <v>1</v>
      </c>
      <c r="Z10" s="54">
        <v>1</v>
      </c>
      <c r="AA10" s="64">
        <v>1</v>
      </c>
      <c r="AB10" s="69">
        <v>2</v>
      </c>
      <c r="AC10" s="127">
        <v>1</v>
      </c>
      <c r="AE10" s="21">
        <v>2</v>
      </c>
      <c r="AF10" s="128">
        <v>2</v>
      </c>
      <c r="AG10" s="54">
        <v>1</v>
      </c>
      <c r="AH10" s="64">
        <v>1</v>
      </c>
      <c r="AI10" s="69">
        <v>1</v>
      </c>
      <c r="AJ10" s="127">
        <v>2</v>
      </c>
      <c r="AL10" s="21">
        <v>2</v>
      </c>
      <c r="AM10" s="128">
        <v>1</v>
      </c>
      <c r="AN10" s="54">
        <v>1</v>
      </c>
      <c r="AO10" s="64">
        <v>2</v>
      </c>
      <c r="AP10" s="69">
        <v>1</v>
      </c>
      <c r="AQ10" s="127">
        <v>1</v>
      </c>
      <c r="AR10">
        <v>1</v>
      </c>
      <c r="AS10" s="21">
        <v>1</v>
      </c>
      <c r="AT10" s="128">
        <v>1</v>
      </c>
      <c r="AU10" s="54">
        <v>1</v>
      </c>
      <c r="AV10" s="64"/>
      <c r="AW10" s="69">
        <v>1</v>
      </c>
      <c r="AX10" s="127">
        <v>1</v>
      </c>
      <c r="AZ10" s="21"/>
      <c r="BA10" s="128">
        <v>1</v>
      </c>
      <c r="BB10" s="54">
        <v>1</v>
      </c>
      <c r="BC10" s="64">
        <v>1</v>
      </c>
      <c r="BD10" s="69">
        <v>1</v>
      </c>
      <c r="BE10" s="127">
        <v>1</v>
      </c>
      <c r="BG10" s="21"/>
      <c r="BH10" s="128"/>
      <c r="BI10" s="54"/>
      <c r="BJ10" s="64"/>
      <c r="BK10" s="69"/>
      <c r="BL10" s="127"/>
      <c r="BN10" s="21"/>
      <c r="BO10" s="128"/>
      <c r="BP10" s="54">
        <v>1</v>
      </c>
      <c r="BQ10" s="64">
        <v>1</v>
      </c>
      <c r="BR10" s="69">
        <v>1</v>
      </c>
      <c r="BS10" s="127">
        <v>1</v>
      </c>
      <c r="BU10" s="21">
        <v>1</v>
      </c>
      <c r="BV10" s="128">
        <v>2</v>
      </c>
      <c r="BW10" s="54">
        <v>2</v>
      </c>
      <c r="BX10" s="64">
        <v>2</v>
      </c>
      <c r="BY10" s="69">
        <v>2</v>
      </c>
      <c r="BZ10" s="127">
        <v>2</v>
      </c>
      <c r="CA10">
        <v>3</v>
      </c>
      <c r="CB10" s="21">
        <v>1</v>
      </c>
      <c r="CC10" s="128">
        <v>1</v>
      </c>
      <c r="CD10" s="54">
        <v>1</v>
      </c>
      <c r="CE10" s="64">
        <v>1</v>
      </c>
      <c r="CF10" s="69">
        <v>1</v>
      </c>
      <c r="CG10" s="127">
        <v>1</v>
      </c>
      <c r="CH10">
        <v>2</v>
      </c>
      <c r="CI10" s="21">
        <v>1</v>
      </c>
      <c r="CJ10" s="128">
        <v>1</v>
      </c>
      <c r="CK10" s="54">
        <v>1</v>
      </c>
      <c r="CL10" s="64">
        <v>1</v>
      </c>
      <c r="CM10" s="69">
        <v>1</v>
      </c>
      <c r="CN10" s="127">
        <v>1</v>
      </c>
      <c r="CO10">
        <v>1</v>
      </c>
      <c r="CP10" s="21">
        <v>2</v>
      </c>
      <c r="CQ10" s="128">
        <v>2</v>
      </c>
      <c r="CR10" s="54">
        <v>2</v>
      </c>
      <c r="CS10" s="64">
        <v>2</v>
      </c>
      <c r="CT10" s="69">
        <v>2</v>
      </c>
      <c r="CU10">
        <v>3</v>
      </c>
      <c r="CV10" s="21">
        <v>3</v>
      </c>
      <c r="CW10" s="128">
        <v>2</v>
      </c>
      <c r="CX10" s="54">
        <v>2</v>
      </c>
      <c r="CY10" s="64">
        <v>2</v>
      </c>
      <c r="CZ10" s="69">
        <v>2</v>
      </c>
      <c r="DA10">
        <v>4</v>
      </c>
      <c r="DB10" s="21">
        <v>2</v>
      </c>
      <c r="DC10" s="128">
        <v>1</v>
      </c>
      <c r="DD10" s="54">
        <v>1</v>
      </c>
      <c r="DE10" s="64">
        <v>2</v>
      </c>
      <c r="DF10" s="69">
        <v>1</v>
      </c>
      <c r="DG10">
        <v>4</v>
      </c>
      <c r="DH10" s="21">
        <v>4</v>
      </c>
      <c r="DI10" s="128">
        <v>1</v>
      </c>
      <c r="DJ10" s="54">
        <v>4</v>
      </c>
      <c r="DK10" s="64">
        <v>3</v>
      </c>
      <c r="DL10" s="69">
        <v>4</v>
      </c>
      <c r="DM10">
        <v>3</v>
      </c>
      <c r="DN10" s="21">
        <v>3</v>
      </c>
      <c r="DO10" s="128">
        <v>2</v>
      </c>
      <c r="DP10" s="54">
        <v>2</v>
      </c>
      <c r="DQ10" s="64">
        <v>1</v>
      </c>
      <c r="DR10" s="69">
        <v>1</v>
      </c>
      <c r="DS10">
        <v>3</v>
      </c>
      <c r="DT10" s="21">
        <v>3</v>
      </c>
      <c r="DU10" s="128">
        <v>3</v>
      </c>
      <c r="DV10" s="54">
        <v>3</v>
      </c>
      <c r="DW10" s="64">
        <v>3</v>
      </c>
      <c r="DX10" s="69">
        <v>3</v>
      </c>
      <c r="DZ10" s="21"/>
      <c r="EA10" s="128">
        <v>1</v>
      </c>
      <c r="EB10" s="54">
        <v>1</v>
      </c>
      <c r="EC10" s="64">
        <v>1</v>
      </c>
      <c r="ED10" s="69">
        <v>1</v>
      </c>
      <c r="EE10">
        <v>3</v>
      </c>
      <c r="EF10" s="21">
        <v>2</v>
      </c>
      <c r="EG10" s="128">
        <v>2</v>
      </c>
      <c r="EH10" s="54">
        <v>2</v>
      </c>
      <c r="EI10" s="64">
        <v>2</v>
      </c>
      <c r="EJ10" s="69">
        <v>2</v>
      </c>
      <c r="EK10">
        <v>3</v>
      </c>
      <c r="EL10" s="21">
        <v>1</v>
      </c>
      <c r="EM10" s="128"/>
      <c r="EN10" s="54"/>
      <c r="EO10" s="64"/>
      <c r="EP10" s="69"/>
      <c r="ER10" s="21"/>
      <c r="ES10" s="128"/>
      <c r="ET10" s="54"/>
      <c r="EU10" s="64">
        <v>1</v>
      </c>
      <c r="EV10" s="69">
        <v>1</v>
      </c>
      <c r="EW10">
        <v>1</v>
      </c>
      <c r="EX10" s="21">
        <v>1</v>
      </c>
      <c r="EY10" s="128">
        <v>1</v>
      </c>
      <c r="EZ10" s="54">
        <v>1</v>
      </c>
      <c r="FA10" s="64">
        <v>1</v>
      </c>
      <c r="FB10" s="69">
        <v>1</v>
      </c>
      <c r="FC10">
        <v>5</v>
      </c>
      <c r="FD10" s="21">
        <v>3</v>
      </c>
      <c r="FE10" s="128">
        <v>4</v>
      </c>
      <c r="FF10" s="54">
        <v>2</v>
      </c>
      <c r="FG10" s="64">
        <v>3</v>
      </c>
      <c r="FH10" s="69">
        <v>1</v>
      </c>
      <c r="FI10">
        <v>4</v>
      </c>
      <c r="FJ10" s="21">
        <v>3</v>
      </c>
      <c r="FK10" s="128">
        <v>3</v>
      </c>
      <c r="FL10" s="54">
        <v>3</v>
      </c>
      <c r="FM10" s="64">
        <v>3</v>
      </c>
      <c r="FN10" s="69">
        <v>4</v>
      </c>
      <c r="FO10" s="128">
        <v>2</v>
      </c>
      <c r="FP10" s="54">
        <v>3</v>
      </c>
      <c r="FQ10" s="64">
        <v>2</v>
      </c>
      <c r="FR10" s="69">
        <v>3</v>
      </c>
      <c r="FS10">
        <v>4</v>
      </c>
      <c r="FT10" s="21">
        <v>3</v>
      </c>
      <c r="FU10" s="128">
        <v>1</v>
      </c>
      <c r="FV10" s="54">
        <v>1</v>
      </c>
      <c r="FW10" s="64">
        <v>3</v>
      </c>
      <c r="FX10" s="69">
        <v>1</v>
      </c>
      <c r="FY10">
        <v>4</v>
      </c>
      <c r="FZ10" s="21">
        <v>4</v>
      </c>
      <c r="GA10" s="128">
        <v>2</v>
      </c>
      <c r="GB10" s="54">
        <v>1</v>
      </c>
      <c r="GC10" s="64">
        <v>2</v>
      </c>
      <c r="GD10" s="69">
        <v>3</v>
      </c>
      <c r="GE10">
        <v>3</v>
      </c>
      <c r="GF10" s="21">
        <v>3</v>
      </c>
      <c r="GG10" s="128">
        <v>2</v>
      </c>
      <c r="GH10" s="54">
        <v>3</v>
      </c>
      <c r="GI10" s="64">
        <v>3</v>
      </c>
      <c r="GJ10" s="69">
        <v>3</v>
      </c>
      <c r="GK10">
        <v>3</v>
      </c>
      <c r="GL10" s="21">
        <v>4</v>
      </c>
      <c r="GM10" s="128">
        <v>1</v>
      </c>
      <c r="GN10" s="54">
        <v>2</v>
      </c>
      <c r="GO10" s="64">
        <v>2</v>
      </c>
      <c r="GP10" s="69">
        <v>3</v>
      </c>
      <c r="GR10" s="21">
        <v>1</v>
      </c>
      <c r="GS10" s="128">
        <v>1</v>
      </c>
      <c r="GT10" s="54">
        <v>1</v>
      </c>
      <c r="GU10" s="64">
        <v>1</v>
      </c>
      <c r="GV10" s="69">
        <v>1</v>
      </c>
      <c r="GW10">
        <v>3</v>
      </c>
      <c r="GX10" s="21">
        <v>3</v>
      </c>
      <c r="GY10" s="128">
        <v>2</v>
      </c>
      <c r="GZ10" s="54">
        <v>1</v>
      </c>
      <c r="HA10" s="64">
        <v>1</v>
      </c>
      <c r="HB10" s="69">
        <v>1</v>
      </c>
      <c r="HC10">
        <v>3</v>
      </c>
      <c r="HD10" s="21">
        <v>3</v>
      </c>
      <c r="HE10" s="128">
        <v>2</v>
      </c>
      <c r="HF10" s="54">
        <v>1</v>
      </c>
      <c r="HG10" s="64">
        <v>1</v>
      </c>
      <c r="HH10" s="69">
        <v>1</v>
      </c>
      <c r="HI10">
        <v>3</v>
      </c>
      <c r="HJ10" s="21">
        <v>2</v>
      </c>
      <c r="HK10" s="128">
        <v>1</v>
      </c>
      <c r="HL10" s="54">
        <v>1</v>
      </c>
      <c r="HM10" s="64">
        <v>1</v>
      </c>
      <c r="HN10" s="69">
        <v>1</v>
      </c>
      <c r="HP10" s="21">
        <v>1</v>
      </c>
      <c r="HQ10" s="128">
        <v>1</v>
      </c>
      <c r="HR10" s="54">
        <v>1</v>
      </c>
      <c r="HS10" s="64">
        <v>1</v>
      </c>
      <c r="HT10" s="69"/>
      <c r="HV10" s="21"/>
      <c r="HW10" s="128"/>
      <c r="HX10" s="54"/>
      <c r="HY10" s="64"/>
      <c r="HZ10" s="69"/>
      <c r="IA10">
        <v>1</v>
      </c>
      <c r="IB10" s="21"/>
      <c r="IC10" s="128">
        <v>1</v>
      </c>
      <c r="ID10" s="54">
        <v>1</v>
      </c>
      <c r="IE10" s="64">
        <v>1</v>
      </c>
      <c r="IF10" s="69">
        <v>1</v>
      </c>
      <c r="IG10">
        <v>1</v>
      </c>
      <c r="IH10" s="21"/>
      <c r="IJ10" s="21">
        <v>1</v>
      </c>
      <c r="IK10" s="128">
        <v>1</v>
      </c>
      <c r="IL10" s="54">
        <v>1</v>
      </c>
      <c r="IM10" s="64">
        <v>1</v>
      </c>
      <c r="IN10" s="69">
        <v>1</v>
      </c>
      <c r="IO10">
        <v>2</v>
      </c>
      <c r="IP10" s="21">
        <v>2</v>
      </c>
      <c r="IQ10" s="128">
        <v>2</v>
      </c>
      <c r="IR10" s="54">
        <v>1</v>
      </c>
      <c r="IS10" s="64">
        <v>1</v>
      </c>
      <c r="IT10" s="69">
        <v>1</v>
      </c>
      <c r="IU10">
        <v>1</v>
      </c>
      <c r="IV10" s="21">
        <v>1</v>
      </c>
      <c r="IW10" s="128"/>
      <c r="IX10" s="54">
        <v>1</v>
      </c>
      <c r="IY10" s="64"/>
      <c r="IZ10" s="69">
        <v>1</v>
      </c>
      <c r="JB10" s="21"/>
      <c r="JC10" s="128"/>
      <c r="JD10" s="54"/>
      <c r="JE10" s="64"/>
      <c r="JF10" s="69"/>
      <c r="JG10">
        <v>3</v>
      </c>
      <c r="JH10" s="21">
        <v>2</v>
      </c>
      <c r="JI10" s="128">
        <v>2</v>
      </c>
      <c r="JJ10" s="54">
        <v>2</v>
      </c>
      <c r="JK10" s="64">
        <v>1</v>
      </c>
      <c r="JL10" s="69">
        <v>1</v>
      </c>
      <c r="JM10">
        <v>2</v>
      </c>
      <c r="JN10" s="21">
        <v>1</v>
      </c>
      <c r="JO10" s="128"/>
      <c r="JP10" s="54">
        <v>2</v>
      </c>
      <c r="JQ10" s="64">
        <v>2</v>
      </c>
      <c r="JR10" s="69">
        <v>1</v>
      </c>
      <c r="JT10" s="21"/>
      <c r="JU10" s="128"/>
      <c r="JV10" s="54">
        <v>1</v>
      </c>
      <c r="JW10" s="64">
        <v>1</v>
      </c>
      <c r="JX10" s="69">
        <v>1</v>
      </c>
      <c r="JZ10" s="21"/>
      <c r="KA10" s="128"/>
      <c r="KB10" s="54"/>
      <c r="KC10" s="64"/>
      <c r="KD10" s="69"/>
      <c r="KF10" s="38"/>
      <c r="KG10" s="35"/>
      <c r="KI10" s="54"/>
      <c r="KJ10" s="64"/>
      <c r="KK10" s="69"/>
      <c r="KL10" s="126"/>
      <c r="KM10" s="127"/>
      <c r="KO10" s="38"/>
      <c r="KP10" s="83"/>
      <c r="KQ10" s="158"/>
      <c r="KR10" s="174"/>
      <c r="KS10" s="38">
        <v>2</v>
      </c>
      <c r="KT10" s="35">
        <v>2</v>
      </c>
      <c r="KU10" s="4">
        <v>3</v>
      </c>
      <c r="KV10" s="54">
        <v>2</v>
      </c>
      <c r="KW10" s="64">
        <v>2</v>
      </c>
      <c r="KX10" s="69">
        <v>2</v>
      </c>
      <c r="KY10" s="126">
        <v>2</v>
      </c>
      <c r="KZ10" s="127">
        <v>2</v>
      </c>
      <c r="LA10" s="4">
        <v>2</v>
      </c>
      <c r="LB10" s="38">
        <v>2</v>
      </c>
      <c r="LC10" s="83">
        <v>2</v>
      </c>
      <c r="LD10" s="158">
        <v>2</v>
      </c>
      <c r="LE10" s="174">
        <v>2</v>
      </c>
      <c r="LF10" s="38">
        <v>2</v>
      </c>
      <c r="LG10" s="35">
        <v>2</v>
      </c>
      <c r="LH10" s="4">
        <v>2</v>
      </c>
      <c r="LI10" s="54">
        <v>2</v>
      </c>
      <c r="LJ10" s="64">
        <v>2</v>
      </c>
      <c r="LK10" s="69">
        <v>2</v>
      </c>
      <c r="LL10" s="126">
        <v>2</v>
      </c>
      <c r="LM10" s="127">
        <v>2</v>
      </c>
      <c r="LN10" s="4">
        <v>1</v>
      </c>
      <c r="LO10" s="38">
        <v>2</v>
      </c>
      <c r="LP10" s="83">
        <v>1</v>
      </c>
      <c r="LQ10" s="158">
        <v>1</v>
      </c>
      <c r="LR10" s="174">
        <v>1</v>
      </c>
      <c r="LS10" s="38">
        <v>2</v>
      </c>
      <c r="LT10" s="35">
        <v>1</v>
      </c>
      <c r="LU10" s="4">
        <v>1</v>
      </c>
      <c r="LV10" s="54">
        <v>1</v>
      </c>
      <c r="LW10" s="64">
        <v>1</v>
      </c>
      <c r="LX10" s="69">
        <v>1</v>
      </c>
      <c r="LY10" s="126">
        <v>1</v>
      </c>
      <c r="LZ10" s="127"/>
      <c r="MB10" s="38"/>
      <c r="MC10" s="83"/>
      <c r="MD10" s="158"/>
      <c r="ME10" s="174"/>
      <c r="MF10" s="38"/>
      <c r="MG10" s="35"/>
      <c r="MI10" s="54"/>
      <c r="MJ10" s="64"/>
      <c r="MK10" s="69"/>
      <c r="ML10" s="126"/>
      <c r="MM10" s="127"/>
      <c r="MO10" s="38"/>
      <c r="MP10" s="83"/>
      <c r="MQ10" s="158"/>
      <c r="MR10" s="174"/>
      <c r="MT10" s="4">
        <f t="shared" si="10"/>
        <v>263</v>
      </c>
      <c r="NB10">
        <v>5</v>
      </c>
      <c r="NC10" s="21">
        <v>4</v>
      </c>
      <c r="ND10" s="128">
        <v>1</v>
      </c>
      <c r="NE10" s="54">
        <v>1</v>
      </c>
    </row>
    <row r="11" spans="1:369" x14ac:dyDescent="0.15">
      <c r="A11" s="2" t="s">
        <v>93</v>
      </c>
      <c r="B11" s="17"/>
      <c r="C11" s="21"/>
      <c r="D11" s="128"/>
      <c r="E11" s="54"/>
      <c r="F11" s="64">
        <v>1</v>
      </c>
      <c r="G11" s="69">
        <v>1</v>
      </c>
      <c r="H11" s="127">
        <v>2</v>
      </c>
      <c r="J11" s="21"/>
      <c r="K11" s="128"/>
      <c r="L11" s="54"/>
      <c r="M11" s="64"/>
      <c r="N11" s="69"/>
      <c r="O11" s="127">
        <v>1</v>
      </c>
      <c r="Q11" s="21"/>
      <c r="R11" s="128"/>
      <c r="S11" s="54"/>
      <c r="T11" s="64"/>
      <c r="U11" s="69"/>
      <c r="V11" s="127"/>
      <c r="X11" s="21"/>
      <c r="Y11" s="128"/>
      <c r="Z11" s="54">
        <v>1</v>
      </c>
      <c r="AA11" s="64">
        <v>1</v>
      </c>
      <c r="AB11" s="69">
        <v>1</v>
      </c>
      <c r="AC11" s="127">
        <v>1</v>
      </c>
      <c r="AE11" s="21"/>
      <c r="AF11" s="128"/>
      <c r="AG11" s="54"/>
      <c r="AH11" s="64">
        <v>1</v>
      </c>
      <c r="AI11" s="69">
        <v>1</v>
      </c>
      <c r="AJ11" s="127">
        <v>1</v>
      </c>
      <c r="AL11" s="21"/>
      <c r="AM11" s="128"/>
      <c r="AN11" s="54"/>
      <c r="AO11" s="64">
        <v>1</v>
      </c>
      <c r="AP11" s="69">
        <v>1</v>
      </c>
      <c r="AQ11" s="127"/>
      <c r="AS11" s="21"/>
      <c r="AT11" s="128">
        <v>1</v>
      </c>
      <c r="AU11" s="54">
        <v>1</v>
      </c>
      <c r="AV11" s="64">
        <v>1</v>
      </c>
      <c r="AW11" s="69">
        <v>1</v>
      </c>
      <c r="AX11" s="127">
        <v>1</v>
      </c>
      <c r="AZ11" s="21"/>
      <c r="BA11" s="128"/>
      <c r="BB11" s="54"/>
      <c r="BC11" s="64"/>
      <c r="BD11" s="69">
        <v>1</v>
      </c>
      <c r="BE11" s="127">
        <v>1</v>
      </c>
      <c r="BG11" s="21"/>
      <c r="BH11" s="128"/>
      <c r="BI11" s="54"/>
      <c r="BJ11" s="64"/>
      <c r="BK11" s="69">
        <v>1</v>
      </c>
      <c r="BL11" s="127">
        <v>1</v>
      </c>
      <c r="BN11" s="21"/>
      <c r="BO11" s="128"/>
      <c r="BP11" s="54"/>
      <c r="BQ11" s="64">
        <v>1</v>
      </c>
      <c r="BR11" s="69">
        <v>1</v>
      </c>
      <c r="BS11" s="127"/>
      <c r="BU11" s="21"/>
      <c r="BV11" s="128"/>
      <c r="BW11" s="54">
        <v>1</v>
      </c>
      <c r="BX11" s="64">
        <v>1</v>
      </c>
      <c r="BY11" s="69">
        <v>1</v>
      </c>
      <c r="BZ11" s="127">
        <v>1</v>
      </c>
      <c r="CB11" s="21"/>
      <c r="CC11" s="128"/>
      <c r="CD11" s="54"/>
      <c r="CE11" s="64"/>
      <c r="CF11" s="69"/>
      <c r="CG11" s="127"/>
      <c r="CI11" s="21"/>
      <c r="CJ11" s="128"/>
      <c r="CK11" s="54">
        <v>1</v>
      </c>
      <c r="CL11" s="64">
        <v>1</v>
      </c>
      <c r="CM11" s="69">
        <v>1</v>
      </c>
      <c r="CN11" s="127"/>
      <c r="CP11" s="21"/>
      <c r="CQ11" s="128"/>
      <c r="CR11" s="54"/>
      <c r="CS11" s="64"/>
      <c r="CT11" s="69"/>
      <c r="CV11" s="21"/>
      <c r="CW11" s="128"/>
      <c r="CX11" s="54"/>
      <c r="CY11" s="64"/>
      <c r="CZ11" s="69"/>
      <c r="DB11" s="21"/>
      <c r="DC11" s="128"/>
      <c r="DD11" s="54"/>
      <c r="DE11" s="64">
        <v>1</v>
      </c>
      <c r="DF11" s="69">
        <v>2</v>
      </c>
      <c r="DH11" s="21"/>
      <c r="DI11" s="128"/>
      <c r="DJ11" s="54"/>
      <c r="DK11" s="64"/>
      <c r="DL11" s="69"/>
      <c r="DN11" s="21"/>
      <c r="DO11" s="128"/>
      <c r="DP11" s="54"/>
      <c r="DQ11" s="64"/>
      <c r="DR11" s="69"/>
      <c r="DT11" s="21"/>
      <c r="DU11" s="128"/>
      <c r="DV11" s="54">
        <v>1</v>
      </c>
      <c r="DW11" s="64">
        <v>1</v>
      </c>
      <c r="DX11" s="69">
        <v>1</v>
      </c>
      <c r="DZ11" s="21"/>
      <c r="EA11" s="128"/>
      <c r="EB11" s="54"/>
      <c r="EC11" s="64"/>
      <c r="ED11" s="69"/>
      <c r="EF11" s="21"/>
      <c r="EG11" s="128"/>
      <c r="EH11" s="54"/>
      <c r="EI11" s="64"/>
      <c r="EJ11" s="69">
        <v>1</v>
      </c>
      <c r="EL11" s="21"/>
      <c r="EM11" s="128"/>
      <c r="EN11" s="54"/>
      <c r="EO11" s="64"/>
      <c r="EP11" s="69"/>
      <c r="ER11" s="21"/>
      <c r="ES11" s="128"/>
      <c r="ET11" s="54"/>
      <c r="EU11" s="64"/>
      <c r="EV11" s="69"/>
      <c r="EX11" s="21"/>
      <c r="EY11" s="128"/>
      <c r="EZ11" s="54"/>
      <c r="FA11" s="64"/>
      <c r="FB11" s="69"/>
      <c r="FD11" s="21"/>
      <c r="FE11" s="128"/>
      <c r="FF11" s="54"/>
      <c r="FG11" s="64"/>
      <c r="FH11" s="69">
        <v>1</v>
      </c>
      <c r="FJ11" s="21"/>
      <c r="FK11" s="128"/>
      <c r="FL11" s="54"/>
      <c r="FM11" s="64"/>
      <c r="FN11" s="69"/>
      <c r="FO11" s="128"/>
      <c r="FP11" s="54"/>
      <c r="FQ11" s="64"/>
      <c r="FR11" s="69"/>
      <c r="FT11" s="21"/>
      <c r="FU11" s="128"/>
      <c r="FV11" s="54"/>
      <c r="FW11" s="64"/>
      <c r="FX11" s="69"/>
      <c r="FZ11" s="21"/>
      <c r="GA11" s="128"/>
      <c r="GB11" s="54"/>
      <c r="GC11" s="64">
        <v>1</v>
      </c>
      <c r="GD11" s="69">
        <v>1</v>
      </c>
      <c r="GF11" s="21"/>
      <c r="GG11" s="128">
        <v>1</v>
      </c>
      <c r="GH11" s="54">
        <v>1</v>
      </c>
      <c r="GI11" s="64"/>
      <c r="GJ11" s="69">
        <v>1</v>
      </c>
      <c r="GL11" s="21"/>
      <c r="GM11" s="128"/>
      <c r="GN11" s="54"/>
      <c r="GO11" s="64"/>
      <c r="GP11" s="69"/>
      <c r="GR11" s="21"/>
      <c r="GS11" s="128"/>
      <c r="GT11" s="54"/>
      <c r="GU11" s="64"/>
      <c r="GV11" s="69"/>
      <c r="GX11" s="21"/>
      <c r="GY11" s="128">
        <v>1</v>
      </c>
      <c r="GZ11" s="54">
        <v>1</v>
      </c>
      <c r="HA11" s="64"/>
      <c r="HB11" s="69">
        <v>1</v>
      </c>
      <c r="HD11" s="21"/>
      <c r="HE11" s="128"/>
      <c r="HF11" s="54"/>
      <c r="HG11" s="64"/>
      <c r="HH11" s="69"/>
      <c r="HJ11" s="21"/>
      <c r="HK11" s="128"/>
      <c r="HL11" s="54"/>
      <c r="HM11" s="64"/>
      <c r="HN11" s="69"/>
      <c r="HP11" s="21"/>
      <c r="HQ11" s="128"/>
      <c r="HR11" s="54"/>
      <c r="HS11" s="64"/>
      <c r="HT11" s="69"/>
      <c r="HV11" s="21"/>
      <c r="HW11" s="128"/>
      <c r="HX11" s="54"/>
      <c r="HY11" s="64"/>
      <c r="HZ11" s="69"/>
      <c r="IB11" s="21"/>
      <c r="IC11" s="128"/>
      <c r="ID11" s="54"/>
      <c r="IE11" s="64"/>
      <c r="IF11" s="69"/>
      <c r="IH11" s="21"/>
      <c r="IJ11" s="21"/>
      <c r="IK11" s="128"/>
      <c r="IL11" s="54"/>
      <c r="IM11" s="64"/>
      <c r="IN11" s="69"/>
      <c r="IP11" s="21"/>
      <c r="IQ11" s="128"/>
      <c r="IR11" s="54"/>
      <c r="IS11" s="64"/>
      <c r="IT11" s="69"/>
      <c r="IV11" s="21"/>
      <c r="IW11" s="128"/>
      <c r="IX11" s="54"/>
      <c r="IY11" s="64"/>
      <c r="IZ11" s="69"/>
      <c r="JB11" s="21"/>
      <c r="JC11" s="128"/>
      <c r="JD11" s="54"/>
      <c r="JE11" s="64"/>
      <c r="JF11" s="69"/>
      <c r="JH11" s="21"/>
      <c r="JI11" s="128"/>
      <c r="JJ11" s="54"/>
      <c r="JK11" s="64"/>
      <c r="JL11" s="69"/>
      <c r="JN11" s="21"/>
      <c r="JO11" s="128"/>
      <c r="JP11" s="54"/>
      <c r="JQ11" s="64"/>
      <c r="JR11" s="69"/>
      <c r="JT11" s="21"/>
      <c r="JU11" s="128"/>
      <c r="JV11" s="54"/>
      <c r="JW11" s="64"/>
      <c r="JX11" s="69"/>
      <c r="JZ11" s="21"/>
      <c r="KA11" s="128"/>
      <c r="KB11" s="54"/>
      <c r="KC11" s="64"/>
      <c r="KD11" s="69"/>
      <c r="KF11" s="38"/>
      <c r="KG11" s="35"/>
      <c r="KI11" s="54"/>
      <c r="KJ11" s="64"/>
      <c r="KK11" s="69"/>
      <c r="KL11" s="126"/>
      <c r="KM11" s="127"/>
      <c r="KO11" s="38"/>
      <c r="KP11" s="83"/>
      <c r="KQ11" s="158"/>
      <c r="KR11" s="174"/>
      <c r="KS11" s="38"/>
      <c r="KT11" s="35">
        <v>1</v>
      </c>
      <c r="KU11" s="4">
        <v>1</v>
      </c>
      <c r="KV11" s="54">
        <v>1</v>
      </c>
      <c r="KW11" s="64"/>
      <c r="KX11" s="69">
        <v>1</v>
      </c>
      <c r="KY11" s="126">
        <v>1</v>
      </c>
      <c r="KZ11" s="127">
        <v>1</v>
      </c>
      <c r="LA11" s="4">
        <v>1</v>
      </c>
      <c r="LB11" s="38">
        <v>1</v>
      </c>
      <c r="LC11" s="83">
        <v>1</v>
      </c>
      <c r="LD11" s="158">
        <v>1</v>
      </c>
      <c r="LE11" s="174">
        <v>1</v>
      </c>
      <c r="LF11" s="38"/>
      <c r="LG11" s="35"/>
      <c r="LI11" s="54"/>
      <c r="LJ11" s="64"/>
      <c r="LK11" s="69"/>
      <c r="LL11" s="126"/>
      <c r="LM11" s="127">
        <v>1</v>
      </c>
      <c r="LO11" s="38"/>
      <c r="LP11" s="83"/>
      <c r="LQ11" s="158"/>
      <c r="LR11" s="174"/>
      <c r="LS11" s="38"/>
      <c r="LT11" s="35"/>
      <c r="LV11" s="54"/>
      <c r="LW11" s="64"/>
      <c r="LX11" s="69"/>
      <c r="LY11" s="126"/>
      <c r="LZ11" s="127"/>
      <c r="MB11" s="38"/>
      <c r="MC11" s="83"/>
      <c r="MD11" s="158"/>
      <c r="ME11" s="174"/>
      <c r="MF11" s="38"/>
      <c r="MG11" s="35"/>
      <c r="MI11" s="54"/>
      <c r="MJ11" s="64"/>
      <c r="MK11" s="69"/>
      <c r="ML11" s="126"/>
      <c r="MM11" s="127"/>
      <c r="MO11" s="38"/>
      <c r="MP11" s="83"/>
      <c r="MQ11" s="158"/>
      <c r="MR11" s="174"/>
      <c r="MT11" s="4">
        <f t="shared" si="10"/>
        <v>58</v>
      </c>
      <c r="NC11" s="21"/>
      <c r="ND11" s="128"/>
      <c r="NE11" s="54"/>
    </row>
    <row r="12" spans="1:369" x14ac:dyDescent="0.15">
      <c r="A12" s="2" t="s">
        <v>33</v>
      </c>
      <c r="C12" s="21"/>
      <c r="D12" s="128"/>
      <c r="E12" s="54"/>
      <c r="F12" s="64"/>
      <c r="G12" s="69"/>
      <c r="H12" s="127"/>
      <c r="J12" s="21"/>
      <c r="K12" s="128"/>
      <c r="L12" s="54"/>
      <c r="M12" s="64"/>
      <c r="N12" s="69">
        <v>1</v>
      </c>
      <c r="O12" s="127"/>
      <c r="Q12" s="21"/>
      <c r="R12" s="128"/>
      <c r="S12" s="54"/>
      <c r="T12" s="64"/>
      <c r="U12" s="69"/>
      <c r="V12" s="127"/>
      <c r="X12" s="21"/>
      <c r="Y12" s="128"/>
      <c r="Z12" s="54"/>
      <c r="AA12" s="64"/>
      <c r="AB12" s="69"/>
      <c r="AC12" s="127"/>
      <c r="AE12" s="21"/>
      <c r="AF12" s="128"/>
      <c r="AG12" s="54"/>
      <c r="AH12" s="64"/>
      <c r="AI12" s="69"/>
      <c r="AJ12" s="127"/>
      <c r="AL12" s="21"/>
      <c r="AM12" s="128"/>
      <c r="AN12" s="54"/>
      <c r="AO12" s="64"/>
      <c r="AP12" s="69"/>
      <c r="AQ12" s="127"/>
      <c r="AS12" s="21"/>
      <c r="AT12" s="128"/>
      <c r="AU12" s="54"/>
      <c r="AV12" s="64"/>
      <c r="AW12" s="69"/>
      <c r="AX12" s="127"/>
      <c r="AZ12" s="21"/>
      <c r="BA12" s="128"/>
      <c r="BB12" s="54"/>
      <c r="BC12" s="64"/>
      <c r="BD12" s="69"/>
      <c r="BE12" s="127"/>
      <c r="BG12" s="21"/>
      <c r="BH12" s="128">
        <v>1</v>
      </c>
      <c r="BI12" s="54">
        <v>1</v>
      </c>
      <c r="BJ12" s="64">
        <v>1</v>
      </c>
      <c r="BK12" s="69">
        <v>1</v>
      </c>
      <c r="BL12" s="127">
        <v>1</v>
      </c>
      <c r="BN12" s="21"/>
      <c r="BO12" s="128"/>
      <c r="BP12" s="54"/>
      <c r="BQ12" s="64"/>
      <c r="BR12" s="69">
        <v>1</v>
      </c>
      <c r="BS12" s="127">
        <v>1</v>
      </c>
      <c r="BU12" s="21"/>
      <c r="BV12" s="128"/>
      <c r="BW12" s="54"/>
      <c r="BX12" s="64"/>
      <c r="BY12" s="69"/>
      <c r="BZ12" s="127"/>
      <c r="CB12" s="21"/>
      <c r="CC12" s="128"/>
      <c r="CD12" s="54"/>
      <c r="CE12" s="64"/>
      <c r="CF12" s="69"/>
      <c r="CG12" s="127"/>
      <c r="CI12" s="21"/>
      <c r="CJ12" s="128"/>
      <c r="CK12" s="54"/>
      <c r="CL12" s="64"/>
      <c r="CM12" s="69"/>
      <c r="CN12" s="127"/>
      <c r="CP12" s="21"/>
      <c r="CQ12" s="128"/>
      <c r="CR12" s="54"/>
      <c r="CS12" s="64"/>
      <c r="CT12" s="69"/>
      <c r="CV12" s="21"/>
      <c r="CW12" s="128"/>
      <c r="CX12" s="54"/>
      <c r="CY12" s="64"/>
      <c r="CZ12" s="69"/>
      <c r="DB12" s="21"/>
      <c r="DC12" s="128"/>
      <c r="DD12" s="54"/>
      <c r="DE12" s="64"/>
      <c r="DF12" s="69"/>
      <c r="DH12" s="21"/>
      <c r="DI12" s="128"/>
      <c r="DJ12" s="54"/>
      <c r="DK12" s="64"/>
      <c r="DL12" s="69"/>
      <c r="DN12" s="21"/>
      <c r="DO12" s="128"/>
      <c r="DP12" s="54"/>
      <c r="DQ12" s="64"/>
      <c r="DR12" s="69"/>
      <c r="DT12" s="21"/>
      <c r="DU12" s="128"/>
      <c r="DV12" s="54"/>
      <c r="DW12" s="64"/>
      <c r="DX12" s="69"/>
      <c r="DZ12" s="21"/>
      <c r="EA12" s="128"/>
      <c r="EB12" s="54"/>
      <c r="EC12" s="64"/>
      <c r="ED12" s="69"/>
      <c r="EF12" s="21"/>
      <c r="EG12" s="128"/>
      <c r="EH12" s="54"/>
      <c r="EI12" s="64"/>
      <c r="EJ12" s="69"/>
      <c r="EL12" s="21"/>
      <c r="EM12" s="128"/>
      <c r="EN12" s="54"/>
      <c r="EO12" s="64"/>
      <c r="EP12" s="69"/>
      <c r="ER12" s="21"/>
      <c r="ES12" s="128"/>
      <c r="ET12" s="54"/>
      <c r="EU12" s="64"/>
      <c r="EV12" s="69"/>
      <c r="EX12" s="21"/>
      <c r="EY12" s="128"/>
      <c r="EZ12" s="54"/>
      <c r="FA12" s="64"/>
      <c r="FB12" s="69"/>
      <c r="FD12" s="21"/>
      <c r="FE12" s="128"/>
      <c r="FF12" s="54"/>
      <c r="FG12" s="64"/>
      <c r="FH12" s="69"/>
      <c r="FJ12" s="21"/>
      <c r="FK12" s="128"/>
      <c r="FL12" s="54"/>
      <c r="FM12" s="64"/>
      <c r="FN12" s="69"/>
      <c r="FO12" s="128"/>
      <c r="FP12" s="54"/>
      <c r="FQ12" s="64"/>
      <c r="FR12" s="69"/>
      <c r="FT12" s="21"/>
      <c r="FU12" s="128"/>
      <c r="FV12" s="54"/>
      <c r="FW12" s="64"/>
      <c r="FX12" s="69"/>
      <c r="FZ12" s="21"/>
      <c r="GA12" s="128"/>
      <c r="GB12" s="54"/>
      <c r="GC12" s="64"/>
      <c r="GD12" s="69"/>
      <c r="GF12" s="21"/>
      <c r="GG12" s="128"/>
      <c r="GH12" s="54"/>
      <c r="GI12" s="64"/>
      <c r="GJ12" s="69"/>
      <c r="GL12" s="21"/>
      <c r="GM12" s="128"/>
      <c r="GN12" s="54"/>
      <c r="GO12" s="64"/>
      <c r="GP12" s="69"/>
      <c r="GR12" s="21"/>
      <c r="GS12" s="128"/>
      <c r="GT12" s="54"/>
      <c r="GU12" s="64"/>
      <c r="GV12" s="69"/>
      <c r="GX12" s="21"/>
      <c r="GY12" s="128"/>
      <c r="GZ12" s="54"/>
      <c r="HA12" s="64"/>
      <c r="HB12" s="69"/>
      <c r="HD12" s="21"/>
      <c r="HE12" s="128"/>
      <c r="HF12" s="54"/>
      <c r="HG12" s="64"/>
      <c r="HH12" s="69"/>
      <c r="HJ12" s="21"/>
      <c r="HK12" s="128"/>
      <c r="HL12" s="54"/>
      <c r="HM12" s="64"/>
      <c r="HN12" s="69"/>
      <c r="HP12" s="21"/>
      <c r="HQ12" s="128"/>
      <c r="HR12" s="54"/>
      <c r="HS12" s="64"/>
      <c r="HT12" s="69"/>
      <c r="HV12" s="21"/>
      <c r="HW12" s="128"/>
      <c r="HX12" s="54"/>
      <c r="HY12" s="64"/>
      <c r="HZ12" s="69"/>
      <c r="IB12" s="21"/>
      <c r="IC12" s="128"/>
      <c r="ID12" s="54"/>
      <c r="IE12" s="64"/>
      <c r="IF12" s="69"/>
      <c r="IH12" s="21"/>
      <c r="IJ12" s="21"/>
      <c r="IK12" s="128"/>
      <c r="IL12" s="54"/>
      <c r="IM12" s="64"/>
      <c r="IN12" s="69"/>
      <c r="IP12" s="21"/>
      <c r="IQ12" s="128"/>
      <c r="IR12" s="54"/>
      <c r="IS12" s="64"/>
      <c r="IT12" s="69"/>
      <c r="IV12" s="21"/>
      <c r="IW12" s="128"/>
      <c r="IX12" s="54"/>
      <c r="IY12" s="64"/>
      <c r="IZ12" s="69"/>
      <c r="JB12" s="21"/>
      <c r="JC12" s="128"/>
      <c r="JD12" s="54"/>
      <c r="JE12" s="64"/>
      <c r="JF12" s="69"/>
      <c r="JH12" s="21"/>
      <c r="JI12" s="128"/>
      <c r="JJ12" s="54"/>
      <c r="JK12" s="64"/>
      <c r="JL12" s="69"/>
      <c r="JN12" s="21"/>
      <c r="JO12" s="128"/>
      <c r="JP12" s="54"/>
      <c r="JQ12" s="64"/>
      <c r="JR12" s="69"/>
      <c r="JT12" s="21"/>
      <c r="JU12" s="128"/>
      <c r="JV12" s="54"/>
      <c r="JW12" s="64"/>
      <c r="JX12" s="69"/>
      <c r="JZ12" s="21"/>
      <c r="KA12" s="128"/>
      <c r="KB12" s="54"/>
      <c r="KC12" s="64"/>
      <c r="KD12" s="69"/>
      <c r="KF12" s="38"/>
      <c r="KG12" s="35"/>
      <c r="KI12" s="54"/>
      <c r="KJ12" s="64"/>
      <c r="KK12" s="69"/>
      <c r="KL12" s="126"/>
      <c r="KM12" s="127"/>
      <c r="KO12" s="38"/>
      <c r="KP12" s="83"/>
      <c r="KQ12" s="158"/>
      <c r="KR12" s="174"/>
      <c r="KS12" s="38"/>
      <c r="KT12" s="35"/>
      <c r="KV12" s="54"/>
      <c r="KW12" s="64"/>
      <c r="KX12" s="69"/>
      <c r="KY12" s="126"/>
      <c r="KZ12" s="127"/>
      <c r="LB12" s="38"/>
      <c r="LC12" s="83"/>
      <c r="LD12" s="158"/>
      <c r="LE12" s="174"/>
      <c r="LF12" s="38"/>
      <c r="LG12" s="35"/>
      <c r="LI12" s="54"/>
      <c r="LJ12" s="64"/>
      <c r="LK12" s="69"/>
      <c r="LL12" s="126"/>
      <c r="LM12" s="127"/>
      <c r="LO12" s="38"/>
      <c r="LP12" s="83"/>
      <c r="LQ12" s="158"/>
      <c r="LR12" s="174"/>
      <c r="LS12" s="38"/>
      <c r="LT12" s="35"/>
      <c r="LV12" s="54"/>
      <c r="LW12" s="64"/>
      <c r="LX12" s="69"/>
      <c r="LY12" s="126"/>
      <c r="LZ12" s="127"/>
      <c r="MB12" s="38"/>
      <c r="MC12" s="83"/>
      <c r="MD12" s="158"/>
      <c r="ME12" s="174"/>
      <c r="MF12" s="38"/>
      <c r="MG12" s="35"/>
      <c r="MI12" s="54"/>
      <c r="MJ12" s="64"/>
      <c r="MK12" s="69"/>
      <c r="ML12" s="126"/>
      <c r="MM12" s="127"/>
      <c r="MO12" s="38"/>
      <c r="MP12" s="83"/>
      <c r="MQ12" s="158"/>
      <c r="MR12" s="174"/>
      <c r="MT12" s="4">
        <f t="shared" si="10"/>
        <v>8</v>
      </c>
      <c r="NC12" s="21"/>
      <c r="ND12" s="128"/>
      <c r="NE12" s="54"/>
    </row>
    <row r="13" spans="1:369" x14ac:dyDescent="0.15">
      <c r="A13" s="2" t="s">
        <v>13</v>
      </c>
      <c r="C13" s="21"/>
      <c r="D13" s="128"/>
      <c r="E13" s="54"/>
      <c r="F13" s="64"/>
      <c r="G13" s="69"/>
      <c r="H13" s="127"/>
      <c r="J13" s="21"/>
      <c r="K13" s="128"/>
      <c r="L13" s="54"/>
      <c r="M13" s="64">
        <v>1</v>
      </c>
      <c r="N13" s="69">
        <v>1</v>
      </c>
      <c r="O13" s="127"/>
      <c r="Q13" s="21">
        <v>1</v>
      </c>
      <c r="R13" s="128">
        <v>1</v>
      </c>
      <c r="S13" s="54">
        <v>1</v>
      </c>
      <c r="T13" s="64">
        <v>1</v>
      </c>
      <c r="U13" s="69">
        <v>1</v>
      </c>
      <c r="V13" s="127">
        <v>1</v>
      </c>
      <c r="X13" s="21">
        <v>2</v>
      </c>
      <c r="Y13" s="128">
        <v>2</v>
      </c>
      <c r="Z13" s="54">
        <v>3</v>
      </c>
      <c r="AA13" s="64">
        <v>2</v>
      </c>
      <c r="AB13" s="69">
        <v>1</v>
      </c>
      <c r="AC13" s="127">
        <v>2</v>
      </c>
      <c r="AE13" s="21">
        <v>1</v>
      </c>
      <c r="AF13" s="128">
        <v>1</v>
      </c>
      <c r="AG13" s="54">
        <v>1</v>
      </c>
      <c r="AH13" s="64">
        <v>1</v>
      </c>
      <c r="AI13" s="69">
        <v>1</v>
      </c>
      <c r="AJ13" s="127">
        <v>1</v>
      </c>
      <c r="AL13" s="21"/>
      <c r="AM13" s="128"/>
      <c r="AN13" s="54"/>
      <c r="AO13" s="64"/>
      <c r="AP13" s="69"/>
      <c r="AQ13" s="127"/>
      <c r="AS13" s="21"/>
      <c r="AT13" s="128"/>
      <c r="AU13" s="54"/>
      <c r="AV13" s="64"/>
      <c r="AW13" s="69"/>
      <c r="AX13" s="127"/>
      <c r="AZ13" s="21"/>
      <c r="BA13" s="128"/>
      <c r="BB13" s="54"/>
      <c r="BC13" s="64">
        <v>1</v>
      </c>
      <c r="BD13" s="69">
        <v>1</v>
      </c>
      <c r="BE13" s="127">
        <v>1</v>
      </c>
      <c r="BG13" s="21"/>
      <c r="BH13" s="128"/>
      <c r="BI13" s="54"/>
      <c r="BJ13" s="64"/>
      <c r="BK13" s="69"/>
      <c r="BL13" s="127"/>
      <c r="BN13" s="21"/>
      <c r="BO13" s="128"/>
      <c r="BP13" s="54"/>
      <c r="BQ13" s="64"/>
      <c r="BR13" s="69"/>
      <c r="BS13" s="127"/>
      <c r="BU13" s="21"/>
      <c r="BV13" s="128"/>
      <c r="BW13" s="54"/>
      <c r="BX13" s="64"/>
      <c r="BY13" s="69"/>
      <c r="BZ13" s="127"/>
      <c r="CB13" s="21"/>
      <c r="CC13" s="128"/>
      <c r="CD13" s="54"/>
      <c r="CE13" s="64"/>
      <c r="CF13" s="69"/>
      <c r="CG13" s="127"/>
      <c r="CI13" s="21"/>
      <c r="CJ13" s="128"/>
      <c r="CK13" s="54"/>
      <c r="CL13" s="64"/>
      <c r="CM13" s="69"/>
      <c r="CN13" s="127"/>
      <c r="CP13" s="21"/>
      <c r="CQ13" s="128"/>
      <c r="CR13" s="54"/>
      <c r="CS13" s="64"/>
      <c r="CT13" s="69"/>
      <c r="CV13" s="21"/>
      <c r="CW13" s="128"/>
      <c r="CX13" s="54"/>
      <c r="CY13" s="64"/>
      <c r="CZ13" s="69"/>
      <c r="DB13" s="21">
        <v>1</v>
      </c>
      <c r="DC13" s="128">
        <v>1</v>
      </c>
      <c r="DD13" s="54">
        <v>1</v>
      </c>
      <c r="DE13" s="64">
        <v>1</v>
      </c>
      <c r="DF13" s="69">
        <v>1</v>
      </c>
      <c r="DH13" s="21"/>
      <c r="DI13" s="128"/>
      <c r="DJ13" s="54"/>
      <c r="DK13" s="64"/>
      <c r="DL13" s="69"/>
      <c r="DN13" s="21"/>
      <c r="DO13" s="128"/>
      <c r="DP13" s="54"/>
      <c r="DQ13" s="64"/>
      <c r="DR13" s="69"/>
      <c r="DT13" s="21"/>
      <c r="DU13" s="128"/>
      <c r="DV13" s="54"/>
      <c r="DW13" s="64">
        <v>1</v>
      </c>
      <c r="DX13" s="69"/>
      <c r="DZ13" s="21"/>
      <c r="EA13" s="128"/>
      <c r="EB13" s="54"/>
      <c r="EC13" s="64"/>
      <c r="ED13" s="69"/>
      <c r="EF13" s="21"/>
      <c r="EG13" s="128"/>
      <c r="EH13" s="54"/>
      <c r="EI13" s="64"/>
      <c r="EJ13" s="69"/>
      <c r="EL13" s="21"/>
      <c r="EM13" s="128"/>
      <c r="EN13" s="54"/>
      <c r="EO13" s="64"/>
      <c r="EP13" s="69"/>
      <c r="ER13" s="21"/>
      <c r="ES13" s="128"/>
      <c r="ET13" s="54"/>
      <c r="EU13" s="64"/>
      <c r="EV13" s="69"/>
      <c r="EX13" s="21"/>
      <c r="EY13" s="128"/>
      <c r="EZ13" s="54"/>
      <c r="FA13" s="64"/>
      <c r="FB13" s="69"/>
      <c r="FD13" s="21"/>
      <c r="FE13" s="128"/>
      <c r="FF13" s="54"/>
      <c r="FG13" s="64"/>
      <c r="FH13" s="69"/>
      <c r="FJ13" s="21"/>
      <c r="FK13" s="128"/>
      <c r="FL13" s="54"/>
      <c r="FM13" s="64"/>
      <c r="FN13" s="69"/>
      <c r="FO13" s="128"/>
      <c r="FP13" s="54"/>
      <c r="FQ13" s="64"/>
      <c r="FR13" s="69"/>
      <c r="FT13" s="21"/>
      <c r="FU13" s="128"/>
      <c r="FV13" s="54"/>
      <c r="FW13" s="64"/>
      <c r="FX13" s="69"/>
      <c r="FZ13" s="21"/>
      <c r="GA13" s="128"/>
      <c r="GB13" s="54"/>
      <c r="GC13" s="64"/>
      <c r="GD13" s="69"/>
      <c r="GF13" s="21"/>
      <c r="GG13" s="128"/>
      <c r="GH13" s="54"/>
      <c r="GI13" s="64"/>
      <c r="GJ13" s="69"/>
      <c r="GL13" s="21"/>
      <c r="GM13" s="128"/>
      <c r="GN13" s="54"/>
      <c r="GO13" s="64"/>
      <c r="GP13" s="69"/>
      <c r="GR13" s="21"/>
      <c r="GS13" s="128"/>
      <c r="GT13" s="54"/>
      <c r="GU13" s="64"/>
      <c r="GV13" s="69"/>
      <c r="GX13" s="21"/>
      <c r="GY13" s="128"/>
      <c r="GZ13" s="54"/>
      <c r="HA13" s="64"/>
      <c r="HB13" s="69"/>
      <c r="HD13" s="21"/>
      <c r="HE13" s="128"/>
      <c r="HF13" s="54"/>
      <c r="HG13" s="64"/>
      <c r="HH13" s="69"/>
      <c r="HJ13" s="21"/>
      <c r="HK13" s="128"/>
      <c r="HL13" s="54"/>
      <c r="HM13" s="64"/>
      <c r="HN13" s="69"/>
      <c r="HP13" s="21"/>
      <c r="HQ13" s="128"/>
      <c r="HR13" s="54"/>
      <c r="HS13" s="64"/>
      <c r="HT13" s="69"/>
      <c r="HV13" s="21"/>
      <c r="HW13" s="128"/>
      <c r="HX13" s="54"/>
      <c r="HY13" s="64"/>
      <c r="HZ13" s="69"/>
      <c r="IB13" s="21"/>
      <c r="IC13" s="128"/>
      <c r="ID13" s="54"/>
      <c r="IE13" s="64"/>
      <c r="IF13" s="69"/>
      <c r="IH13" s="21"/>
      <c r="IJ13" s="21"/>
      <c r="IK13" s="128"/>
      <c r="IL13" s="54"/>
      <c r="IM13" s="64"/>
      <c r="IN13" s="69"/>
      <c r="IP13" s="21"/>
      <c r="IQ13" s="128"/>
      <c r="IR13" s="54"/>
      <c r="IS13" s="64"/>
      <c r="IT13" s="69"/>
      <c r="IV13" s="21"/>
      <c r="IW13" s="128"/>
      <c r="IX13" s="54"/>
      <c r="IY13" s="64"/>
      <c r="IZ13" s="69"/>
      <c r="JB13" s="21"/>
      <c r="JC13" s="128"/>
      <c r="JD13" s="54"/>
      <c r="JE13" s="64"/>
      <c r="JF13" s="69"/>
      <c r="JH13" s="21"/>
      <c r="JI13" s="128"/>
      <c r="JJ13" s="54"/>
      <c r="JK13" s="64"/>
      <c r="JL13" s="69"/>
      <c r="JN13" s="21"/>
      <c r="JO13" s="128"/>
      <c r="JP13" s="54"/>
      <c r="JQ13" s="64"/>
      <c r="JR13" s="69"/>
      <c r="JT13" s="21"/>
      <c r="JU13" s="128"/>
      <c r="JV13" s="54"/>
      <c r="JW13" s="64"/>
      <c r="JX13" s="69"/>
      <c r="JZ13" s="21"/>
      <c r="KA13" s="128"/>
      <c r="KB13" s="54"/>
      <c r="KC13" s="64"/>
      <c r="KD13" s="69"/>
      <c r="KF13" s="38"/>
      <c r="KG13" s="35"/>
      <c r="KI13" s="54"/>
      <c r="KJ13" s="64"/>
      <c r="KK13" s="69"/>
      <c r="KL13" s="126"/>
      <c r="KM13" s="127"/>
      <c r="KO13" s="38"/>
      <c r="KP13" s="83"/>
      <c r="KQ13" s="158"/>
      <c r="KR13" s="174"/>
      <c r="KS13" s="38"/>
      <c r="KT13" s="35"/>
      <c r="KV13" s="54"/>
      <c r="KW13" s="64"/>
      <c r="KX13" s="69"/>
      <c r="KY13" s="126"/>
      <c r="KZ13" s="127"/>
      <c r="LB13" s="38"/>
      <c r="LC13" s="83"/>
      <c r="LD13" s="158"/>
      <c r="LE13" s="174"/>
      <c r="LF13" s="38"/>
      <c r="LG13" s="35"/>
      <c r="LI13" s="54"/>
      <c r="LJ13" s="64"/>
      <c r="LK13" s="69"/>
      <c r="LL13" s="126"/>
      <c r="LM13" s="127"/>
      <c r="LO13" s="38"/>
      <c r="LP13" s="83"/>
      <c r="LQ13" s="158"/>
      <c r="LR13" s="174"/>
      <c r="LS13" s="38"/>
      <c r="LT13" s="35"/>
      <c r="LV13" s="54"/>
      <c r="LW13" s="64"/>
      <c r="LX13" s="69"/>
      <c r="LY13" s="126"/>
      <c r="LZ13" s="127"/>
      <c r="MB13" s="38"/>
      <c r="MC13" s="83"/>
      <c r="MD13" s="158"/>
      <c r="ME13" s="174"/>
      <c r="MF13" s="38"/>
      <c r="MG13" s="35"/>
      <c r="MI13" s="54"/>
      <c r="MJ13" s="64"/>
      <c r="MK13" s="69"/>
      <c r="ML13" s="126"/>
      <c r="MM13" s="127"/>
      <c r="MO13" s="38"/>
      <c r="MP13" s="83"/>
      <c r="MQ13" s="158"/>
      <c r="MR13" s="174"/>
      <c r="MT13" s="4">
        <f t="shared" si="10"/>
        <v>29</v>
      </c>
      <c r="NC13" s="21"/>
      <c r="ND13" s="128"/>
      <c r="NE13" s="54"/>
    </row>
    <row r="14" spans="1:369" x14ac:dyDescent="0.15">
      <c r="A14" s="2" t="s">
        <v>190</v>
      </c>
      <c r="B14" s="17"/>
      <c r="C14" s="21"/>
      <c r="D14" s="128">
        <v>1</v>
      </c>
      <c r="E14" s="54">
        <v>1</v>
      </c>
      <c r="F14" s="64">
        <v>2</v>
      </c>
      <c r="G14" s="69">
        <v>1</v>
      </c>
      <c r="H14" s="127">
        <v>1</v>
      </c>
      <c r="J14" s="21"/>
      <c r="K14" s="128"/>
      <c r="L14" s="54"/>
      <c r="M14" s="64"/>
      <c r="N14" s="69"/>
      <c r="O14" s="127">
        <v>1</v>
      </c>
      <c r="Q14" s="21"/>
      <c r="R14" s="128"/>
      <c r="S14" s="54"/>
      <c r="T14" s="64"/>
      <c r="U14" s="69"/>
      <c r="V14" s="127"/>
      <c r="X14" s="21"/>
      <c r="Y14" s="128"/>
      <c r="Z14" s="54"/>
      <c r="AA14" s="64"/>
      <c r="AB14" s="69"/>
      <c r="AC14" s="127"/>
      <c r="AE14" s="21"/>
      <c r="AF14" s="128"/>
      <c r="AG14" s="54"/>
      <c r="AH14" s="64"/>
      <c r="AI14" s="69"/>
      <c r="AJ14" s="127"/>
      <c r="AL14" s="21"/>
      <c r="AM14" s="128"/>
      <c r="AN14" s="54"/>
      <c r="AO14" s="64"/>
      <c r="AP14" s="69"/>
      <c r="AQ14" s="127"/>
      <c r="AS14" s="21"/>
      <c r="AT14" s="128"/>
      <c r="AU14" s="54"/>
      <c r="AV14" s="64"/>
      <c r="AW14" s="69"/>
      <c r="AX14" s="127"/>
      <c r="AZ14" s="21"/>
      <c r="BA14" s="128"/>
      <c r="BB14" s="54">
        <v>1</v>
      </c>
      <c r="BC14" s="64">
        <v>1</v>
      </c>
      <c r="BD14" s="69"/>
      <c r="BE14" s="127"/>
      <c r="BG14" s="21"/>
      <c r="BH14" s="128"/>
      <c r="BI14" s="54"/>
      <c r="BJ14" s="64"/>
      <c r="BK14" s="69"/>
      <c r="BL14" s="127"/>
      <c r="BN14" s="21"/>
      <c r="BO14" s="128"/>
      <c r="BP14" s="54"/>
      <c r="BQ14" s="64"/>
      <c r="BR14" s="69"/>
      <c r="BS14" s="127"/>
      <c r="BU14" s="21"/>
      <c r="BV14" s="128"/>
      <c r="BW14" s="54"/>
      <c r="BX14" s="64">
        <v>1</v>
      </c>
      <c r="BY14" s="69"/>
      <c r="BZ14" s="127"/>
      <c r="CB14" s="21"/>
      <c r="CC14" s="128"/>
      <c r="CD14" s="54"/>
      <c r="CE14" s="64"/>
      <c r="CF14" s="69"/>
      <c r="CG14" s="127"/>
      <c r="CI14" s="21"/>
      <c r="CJ14" s="128"/>
      <c r="CK14" s="54"/>
      <c r="CL14" s="64"/>
      <c r="CM14" s="69"/>
      <c r="CN14" s="127"/>
      <c r="CP14" s="21"/>
      <c r="CQ14" s="128"/>
      <c r="CR14" s="54"/>
      <c r="CS14" s="64"/>
      <c r="CT14" s="69"/>
      <c r="CV14" s="21"/>
      <c r="CW14" s="128"/>
      <c r="CX14" s="54"/>
      <c r="CY14" s="64"/>
      <c r="CZ14" s="69"/>
      <c r="DB14" s="21"/>
      <c r="DC14" s="128"/>
      <c r="DD14" s="54"/>
      <c r="DE14" s="64"/>
      <c r="DF14" s="69"/>
      <c r="DH14" s="21"/>
      <c r="DI14" s="128"/>
      <c r="DJ14" s="54"/>
      <c r="DK14" s="64"/>
      <c r="DL14" s="69"/>
      <c r="DN14" s="21"/>
      <c r="DO14" s="128"/>
      <c r="DP14" s="54"/>
      <c r="DQ14" s="64"/>
      <c r="DR14" s="69"/>
      <c r="DT14" s="21"/>
      <c r="DU14" s="128"/>
      <c r="DV14" s="54"/>
      <c r="DW14" s="64"/>
      <c r="DX14" s="69"/>
      <c r="DZ14" s="21"/>
      <c r="EA14" s="128"/>
      <c r="EB14" s="54"/>
      <c r="EC14" s="64"/>
      <c r="ED14" s="69"/>
      <c r="EF14" s="21"/>
      <c r="EG14" s="128"/>
      <c r="EH14" s="54"/>
      <c r="EI14" s="64"/>
      <c r="EJ14" s="69"/>
      <c r="EL14" s="21"/>
      <c r="EM14" s="128"/>
      <c r="EN14" s="54"/>
      <c r="EO14" s="64"/>
      <c r="EP14" s="69"/>
      <c r="ER14" s="21"/>
      <c r="ES14" s="128"/>
      <c r="ET14" s="54"/>
      <c r="EU14" s="64"/>
      <c r="EV14" s="69"/>
      <c r="EX14" s="21"/>
      <c r="EY14" s="128"/>
      <c r="EZ14" s="54"/>
      <c r="FA14" s="64"/>
      <c r="FB14" s="69"/>
      <c r="FD14" s="21"/>
      <c r="FE14" s="128"/>
      <c r="FF14" s="54"/>
      <c r="FG14" s="64"/>
      <c r="FH14" s="69"/>
      <c r="FJ14" s="21"/>
      <c r="FK14" s="128"/>
      <c r="FL14" s="54"/>
      <c r="FM14" s="64"/>
      <c r="FN14" s="69"/>
      <c r="FO14" s="128"/>
      <c r="FP14" s="54"/>
      <c r="FQ14" s="64"/>
      <c r="FR14" s="69"/>
      <c r="FT14" s="21"/>
      <c r="FU14" s="128"/>
      <c r="FV14" s="54"/>
      <c r="FW14" s="64"/>
      <c r="FX14" s="69"/>
      <c r="FZ14" s="21"/>
      <c r="GA14" s="128"/>
      <c r="GB14" s="54"/>
      <c r="GC14" s="64"/>
      <c r="GD14" s="69"/>
      <c r="GF14" s="21"/>
      <c r="GG14" s="128"/>
      <c r="GH14" s="54"/>
      <c r="GI14" s="64"/>
      <c r="GJ14" s="69"/>
      <c r="GL14" s="21"/>
      <c r="GM14" s="128"/>
      <c r="GN14" s="54"/>
      <c r="GO14" s="64"/>
      <c r="GP14" s="69"/>
      <c r="GR14" s="21"/>
      <c r="GS14" s="128"/>
      <c r="GT14" s="54"/>
      <c r="GU14" s="64"/>
      <c r="GV14" s="69"/>
      <c r="GX14" s="21"/>
      <c r="GY14" s="128"/>
      <c r="GZ14" s="54"/>
      <c r="HA14" s="64"/>
      <c r="HB14" s="69"/>
      <c r="HD14" s="21"/>
      <c r="HE14" s="128"/>
      <c r="HF14" s="54"/>
      <c r="HG14" s="64"/>
      <c r="HH14" s="69"/>
      <c r="HJ14" s="21"/>
      <c r="HK14" s="128"/>
      <c r="HL14" s="54"/>
      <c r="HM14" s="64"/>
      <c r="HN14" s="69"/>
      <c r="HP14" s="21"/>
      <c r="HQ14" s="128"/>
      <c r="HR14" s="54"/>
      <c r="HS14" s="64"/>
      <c r="HT14" s="69"/>
      <c r="HV14" s="21"/>
      <c r="HW14" s="128"/>
      <c r="HX14" s="54"/>
      <c r="HY14" s="64"/>
      <c r="HZ14" s="69"/>
      <c r="IB14" s="21"/>
      <c r="IC14" s="128"/>
      <c r="ID14" s="54"/>
      <c r="IE14" s="64"/>
      <c r="IF14" s="69"/>
      <c r="IH14" s="21"/>
      <c r="IJ14" s="21"/>
      <c r="IK14" s="128"/>
      <c r="IL14" s="54"/>
      <c r="IM14" s="64"/>
      <c r="IN14" s="69"/>
      <c r="IP14" s="21"/>
      <c r="IQ14" s="128"/>
      <c r="IR14" s="54"/>
      <c r="IS14" s="64"/>
      <c r="IT14" s="69"/>
      <c r="IV14" s="21"/>
      <c r="IW14" s="128"/>
      <c r="IX14" s="54"/>
      <c r="IY14" s="64"/>
      <c r="IZ14" s="69"/>
      <c r="JB14" s="21"/>
      <c r="JC14" s="128"/>
      <c r="JD14" s="54"/>
      <c r="JE14" s="64"/>
      <c r="JF14" s="69"/>
      <c r="JH14" s="21"/>
      <c r="JI14" s="128"/>
      <c r="JJ14" s="54"/>
      <c r="JK14" s="64"/>
      <c r="JL14" s="69"/>
      <c r="JN14" s="21"/>
      <c r="JO14" s="128"/>
      <c r="JP14" s="54"/>
      <c r="JQ14" s="64"/>
      <c r="JR14" s="69"/>
      <c r="JT14" s="21"/>
      <c r="JU14" s="128"/>
      <c r="JV14" s="54"/>
      <c r="JW14" s="64"/>
      <c r="JX14" s="69"/>
      <c r="JZ14" s="21"/>
      <c r="KA14" s="128"/>
      <c r="KB14" s="54"/>
      <c r="KC14" s="64"/>
      <c r="KD14" s="69"/>
      <c r="KF14" s="38"/>
      <c r="KG14" s="35"/>
      <c r="KI14" s="54"/>
      <c r="KJ14" s="64"/>
      <c r="KK14" s="69"/>
      <c r="KL14" s="126"/>
      <c r="KM14" s="127"/>
      <c r="KO14" s="38"/>
      <c r="KP14" s="83"/>
      <c r="KQ14" s="158"/>
      <c r="KR14" s="174"/>
      <c r="KS14" s="38"/>
      <c r="KT14" s="35"/>
      <c r="KV14" s="54"/>
      <c r="KW14" s="64"/>
      <c r="KX14" s="69"/>
      <c r="KY14" s="126"/>
      <c r="KZ14" s="127"/>
      <c r="LB14" s="38"/>
      <c r="LC14" s="83"/>
      <c r="LD14" s="158"/>
      <c r="LE14" s="174"/>
      <c r="LF14" s="38"/>
      <c r="LG14" s="35"/>
      <c r="LI14" s="54"/>
      <c r="LJ14" s="64"/>
      <c r="LK14" s="69"/>
      <c r="LL14" s="126"/>
      <c r="LM14" s="127"/>
      <c r="LO14" s="38"/>
      <c r="LP14" s="83"/>
      <c r="LQ14" s="158"/>
      <c r="LR14" s="174"/>
      <c r="LS14" s="38"/>
      <c r="LT14" s="35"/>
      <c r="LV14" s="54"/>
      <c r="LW14" s="64"/>
      <c r="LX14" s="69"/>
      <c r="LY14" s="126"/>
      <c r="LZ14" s="127"/>
      <c r="MB14" s="38"/>
      <c r="MC14" s="83"/>
      <c r="MD14" s="158"/>
      <c r="ME14" s="174"/>
      <c r="MF14" s="38"/>
      <c r="MG14" s="35"/>
      <c r="MI14" s="54"/>
      <c r="MJ14" s="64"/>
      <c r="MK14" s="69"/>
      <c r="ML14" s="126"/>
      <c r="MM14" s="127"/>
      <c r="MO14" s="38"/>
      <c r="MP14" s="83"/>
      <c r="MQ14" s="158"/>
      <c r="MR14" s="174"/>
      <c r="MT14" s="4">
        <f>COUNTA(B14:MR14)</f>
        <v>9</v>
      </c>
      <c r="NC14" s="21"/>
      <c r="ND14" s="128"/>
      <c r="NE14" s="54"/>
    </row>
    <row r="15" spans="1:369" x14ac:dyDescent="0.15">
      <c r="A15" s="2" t="s">
        <v>14</v>
      </c>
      <c r="C15" s="21"/>
      <c r="D15" s="128"/>
      <c r="E15" s="54"/>
      <c r="F15" s="64"/>
      <c r="G15" s="69"/>
      <c r="H15" s="127"/>
      <c r="J15" s="21"/>
      <c r="K15" s="128"/>
      <c r="L15" s="54"/>
      <c r="M15" s="64"/>
      <c r="N15" s="69"/>
      <c r="O15" s="127"/>
      <c r="Q15" s="21"/>
      <c r="R15" s="128"/>
      <c r="S15" s="54"/>
      <c r="T15" s="64"/>
      <c r="U15" s="69"/>
      <c r="V15" s="127"/>
      <c r="W15">
        <v>1</v>
      </c>
      <c r="X15" s="21">
        <v>1</v>
      </c>
      <c r="Y15" s="128">
        <v>1</v>
      </c>
      <c r="Z15" s="54">
        <v>1</v>
      </c>
      <c r="AA15" s="64">
        <v>1</v>
      </c>
      <c r="AB15" s="69">
        <v>1</v>
      </c>
      <c r="AC15" s="127">
        <v>1</v>
      </c>
      <c r="AD15">
        <v>1</v>
      </c>
      <c r="AE15" s="21"/>
      <c r="AF15" s="128"/>
      <c r="AG15" s="54"/>
      <c r="AH15" s="64">
        <v>1</v>
      </c>
      <c r="AI15" s="69">
        <v>1</v>
      </c>
      <c r="AJ15" s="127">
        <v>1</v>
      </c>
      <c r="AK15">
        <v>2</v>
      </c>
      <c r="AL15" s="21">
        <v>1</v>
      </c>
      <c r="AM15" s="128">
        <v>1</v>
      </c>
      <c r="AN15" s="54">
        <v>1</v>
      </c>
      <c r="AO15" s="64">
        <v>1</v>
      </c>
      <c r="AP15" s="69">
        <v>2</v>
      </c>
      <c r="AQ15" s="127"/>
      <c r="AR15">
        <v>1</v>
      </c>
      <c r="AS15" s="21">
        <v>1</v>
      </c>
      <c r="AT15" s="128"/>
      <c r="AU15" s="54"/>
      <c r="AV15" s="64">
        <v>1</v>
      </c>
      <c r="AW15" s="69"/>
      <c r="AX15" s="127">
        <v>1</v>
      </c>
      <c r="AY15">
        <v>1</v>
      </c>
      <c r="AZ15" s="21">
        <v>1</v>
      </c>
      <c r="BA15" s="128"/>
      <c r="BB15" s="54">
        <v>1</v>
      </c>
      <c r="BC15" s="64">
        <v>1</v>
      </c>
      <c r="BD15" s="69">
        <v>1</v>
      </c>
      <c r="BE15" s="127"/>
      <c r="BF15">
        <v>3</v>
      </c>
      <c r="BG15" s="21">
        <v>1</v>
      </c>
      <c r="BH15" s="128">
        <v>1</v>
      </c>
      <c r="BI15" s="54">
        <v>2</v>
      </c>
      <c r="BJ15" s="64">
        <v>2</v>
      </c>
      <c r="BK15" s="69">
        <v>2</v>
      </c>
      <c r="BL15" s="127">
        <v>2</v>
      </c>
      <c r="BN15" s="21"/>
      <c r="BO15" s="128"/>
      <c r="BP15" s="54"/>
      <c r="BQ15" s="64">
        <v>1</v>
      </c>
      <c r="BR15" s="69">
        <v>1</v>
      </c>
      <c r="BS15" s="127">
        <v>1</v>
      </c>
      <c r="BT15">
        <v>3</v>
      </c>
      <c r="BU15" s="21"/>
      <c r="BV15" s="128">
        <v>1</v>
      </c>
      <c r="BW15" s="54">
        <v>1</v>
      </c>
      <c r="BX15" s="64">
        <v>2</v>
      </c>
      <c r="BY15" s="69">
        <v>2</v>
      </c>
      <c r="BZ15" s="127">
        <v>3</v>
      </c>
      <c r="CA15">
        <v>3</v>
      </c>
      <c r="CB15" s="21">
        <v>2</v>
      </c>
      <c r="CC15" s="128">
        <v>2</v>
      </c>
      <c r="CD15" s="54">
        <v>2</v>
      </c>
      <c r="CE15" s="64">
        <v>3</v>
      </c>
      <c r="CF15" s="69">
        <v>2</v>
      </c>
      <c r="CG15" s="127">
        <v>1</v>
      </c>
      <c r="CH15">
        <v>2</v>
      </c>
      <c r="CI15" s="21">
        <v>1</v>
      </c>
      <c r="CJ15" s="128">
        <v>1</v>
      </c>
      <c r="CK15" s="54">
        <v>1</v>
      </c>
      <c r="CL15" s="64"/>
      <c r="CM15" s="69">
        <v>2</v>
      </c>
      <c r="CN15" s="127">
        <v>1</v>
      </c>
      <c r="CP15" s="21"/>
      <c r="CQ15" s="128"/>
      <c r="CR15" s="54"/>
      <c r="CS15" s="64"/>
      <c r="CT15" s="69"/>
      <c r="CV15" s="21"/>
      <c r="CW15" s="128"/>
      <c r="CX15" s="54"/>
      <c r="CY15" s="64">
        <v>1</v>
      </c>
      <c r="CZ15" s="69"/>
      <c r="DB15" s="21"/>
      <c r="DC15" s="128"/>
      <c r="DD15" s="54"/>
      <c r="DE15" s="64"/>
      <c r="DF15" s="69"/>
      <c r="DH15" s="21"/>
      <c r="DI15" s="128"/>
      <c r="DJ15" s="54">
        <v>1</v>
      </c>
      <c r="DK15" s="64">
        <v>1</v>
      </c>
      <c r="DL15" s="69"/>
      <c r="DM15">
        <v>3</v>
      </c>
      <c r="DN15" s="21"/>
      <c r="DO15" s="128"/>
      <c r="DP15" s="54"/>
      <c r="DQ15" s="64"/>
      <c r="DR15" s="69"/>
      <c r="DT15" s="21"/>
      <c r="DU15" s="128"/>
      <c r="DV15" s="54"/>
      <c r="DW15" s="64"/>
      <c r="DX15" s="69"/>
      <c r="DY15">
        <v>2</v>
      </c>
      <c r="DZ15" s="21"/>
      <c r="EA15" s="128">
        <v>1</v>
      </c>
      <c r="EB15" s="54">
        <v>1</v>
      </c>
      <c r="EC15" s="64">
        <v>2</v>
      </c>
      <c r="ED15" s="69">
        <v>1</v>
      </c>
      <c r="EF15" s="21"/>
      <c r="EG15" s="128"/>
      <c r="EH15" s="54"/>
      <c r="EI15" s="64">
        <v>1</v>
      </c>
      <c r="EJ15" s="69"/>
      <c r="EL15" s="21"/>
      <c r="EM15" s="128"/>
      <c r="EN15" s="54"/>
      <c r="EO15" s="64"/>
      <c r="EP15" s="69"/>
      <c r="ER15" s="21"/>
      <c r="ES15" s="128"/>
      <c r="ET15" s="54"/>
      <c r="EU15" s="64"/>
      <c r="EV15" s="69"/>
      <c r="EX15" s="21"/>
      <c r="EY15" s="128"/>
      <c r="EZ15" s="54"/>
      <c r="FA15" s="64"/>
      <c r="FB15" s="69"/>
      <c r="FD15" s="21"/>
      <c r="FE15" s="128"/>
      <c r="FF15" s="54"/>
      <c r="FG15" s="64"/>
      <c r="FH15" s="69"/>
      <c r="FJ15" s="21"/>
      <c r="FK15" s="128"/>
      <c r="FL15" s="54"/>
      <c r="FM15" s="64"/>
      <c r="FN15" s="69"/>
      <c r="FO15" s="128"/>
      <c r="FP15" s="54"/>
      <c r="FQ15" s="64"/>
      <c r="FR15" s="69"/>
      <c r="FT15" s="21"/>
      <c r="FU15" s="128"/>
      <c r="FV15" s="54"/>
      <c r="FW15" s="64"/>
      <c r="FX15" s="69"/>
      <c r="FY15">
        <v>2</v>
      </c>
      <c r="FZ15" s="21">
        <v>1</v>
      </c>
      <c r="GA15" s="128">
        <v>1</v>
      </c>
      <c r="GB15" s="54">
        <v>1</v>
      </c>
      <c r="GC15" s="64"/>
      <c r="GD15" s="69"/>
      <c r="GE15">
        <v>1</v>
      </c>
      <c r="GF15" s="21">
        <v>1</v>
      </c>
      <c r="GG15" s="128">
        <v>1</v>
      </c>
      <c r="GH15" s="54">
        <v>1</v>
      </c>
      <c r="GI15" s="64"/>
      <c r="GJ15" s="69"/>
      <c r="GL15" s="21"/>
      <c r="GM15" s="128">
        <v>1</v>
      </c>
      <c r="GN15" s="54"/>
      <c r="GO15" s="64"/>
      <c r="GP15" s="69"/>
      <c r="GR15" s="21"/>
      <c r="GS15" s="128"/>
      <c r="GT15" s="54"/>
      <c r="GU15" s="64"/>
      <c r="GV15" s="69"/>
      <c r="GW15">
        <v>1</v>
      </c>
      <c r="GX15" s="21"/>
      <c r="GY15" s="128"/>
      <c r="GZ15" s="54">
        <v>1</v>
      </c>
      <c r="HA15" s="64">
        <v>1</v>
      </c>
      <c r="HB15" s="69"/>
      <c r="HD15" s="21"/>
      <c r="HE15" s="128"/>
      <c r="HF15" s="54"/>
      <c r="HG15" s="64"/>
      <c r="HH15" s="69"/>
      <c r="HJ15" s="21">
        <v>1</v>
      </c>
      <c r="HK15" s="128"/>
      <c r="HL15" s="54"/>
      <c r="HM15" s="64"/>
      <c r="HN15" s="69"/>
      <c r="HP15" s="21"/>
      <c r="HQ15" s="128"/>
      <c r="HR15" s="54"/>
      <c r="HS15" s="64"/>
      <c r="HT15" s="69"/>
      <c r="HV15" s="21"/>
      <c r="HW15" s="128"/>
      <c r="HX15" s="54"/>
      <c r="HY15" s="64"/>
      <c r="HZ15" s="69"/>
      <c r="IB15" s="21"/>
      <c r="IC15" s="128"/>
      <c r="ID15" s="54"/>
      <c r="IE15" s="64"/>
      <c r="IF15" s="69"/>
      <c r="IH15" s="21"/>
      <c r="IJ15" s="21"/>
      <c r="IK15" s="128"/>
      <c r="IL15" s="54"/>
      <c r="IM15" s="64"/>
      <c r="IN15" s="69"/>
      <c r="IP15" s="21"/>
      <c r="IQ15" s="128"/>
      <c r="IR15" s="54"/>
      <c r="IS15" s="64"/>
      <c r="IT15" s="69"/>
      <c r="IV15" s="21"/>
      <c r="IW15" s="128"/>
      <c r="IX15" s="54"/>
      <c r="IY15" s="64"/>
      <c r="IZ15" s="69"/>
      <c r="JB15" s="21"/>
      <c r="JC15" s="128"/>
      <c r="JD15" s="54"/>
      <c r="JE15" s="64"/>
      <c r="JF15" s="69"/>
      <c r="JH15" s="21"/>
      <c r="JI15" s="128"/>
      <c r="JJ15" s="54">
        <v>1</v>
      </c>
      <c r="JK15" s="64"/>
      <c r="JL15" s="69"/>
      <c r="JN15" s="21"/>
      <c r="JO15" s="128"/>
      <c r="JP15" s="54"/>
      <c r="JQ15" s="64"/>
      <c r="JR15" s="69"/>
      <c r="JS15">
        <v>1</v>
      </c>
      <c r="JT15" s="21"/>
      <c r="JU15" s="128"/>
      <c r="JV15" s="54"/>
      <c r="JW15" s="64"/>
      <c r="JX15" s="69"/>
      <c r="JY15">
        <v>1</v>
      </c>
      <c r="JZ15" s="21"/>
      <c r="KA15" s="128">
        <v>1</v>
      </c>
      <c r="KB15" s="54">
        <v>1</v>
      </c>
      <c r="KC15" s="64"/>
      <c r="KD15" s="69">
        <v>1</v>
      </c>
      <c r="KF15" s="38"/>
      <c r="KG15" s="35"/>
      <c r="KI15" s="54"/>
      <c r="KJ15" s="64"/>
      <c r="KK15" s="69"/>
      <c r="KL15" s="126"/>
      <c r="KM15" s="127"/>
      <c r="KO15" s="38"/>
      <c r="KP15" s="83"/>
      <c r="KQ15" s="158"/>
      <c r="KR15" s="174"/>
      <c r="KS15" s="38"/>
      <c r="KT15" s="35">
        <v>1</v>
      </c>
      <c r="KU15" s="4">
        <v>1</v>
      </c>
      <c r="KV15" s="54"/>
      <c r="KW15" s="64"/>
      <c r="KX15" s="69"/>
      <c r="KY15" s="126"/>
      <c r="KZ15" s="127">
        <v>2</v>
      </c>
      <c r="LA15" s="4">
        <v>1</v>
      </c>
      <c r="LB15" s="38">
        <v>1</v>
      </c>
      <c r="LC15" s="83">
        <v>1</v>
      </c>
      <c r="LD15" s="158">
        <v>1</v>
      </c>
      <c r="LE15" s="174">
        <v>1</v>
      </c>
      <c r="LF15" s="38"/>
      <c r="LG15" s="35">
        <v>1</v>
      </c>
      <c r="LI15" s="54">
        <v>2</v>
      </c>
      <c r="LJ15" s="64"/>
      <c r="LK15" s="69">
        <v>1</v>
      </c>
      <c r="LL15" s="126">
        <v>1</v>
      </c>
      <c r="LM15" s="127"/>
      <c r="LO15" s="38"/>
      <c r="LP15" s="83"/>
      <c r="LQ15" s="158"/>
      <c r="LR15" s="174"/>
      <c r="LS15" s="38"/>
      <c r="LT15" s="35"/>
      <c r="LV15" s="54"/>
      <c r="LW15" s="64"/>
      <c r="LX15" s="69"/>
      <c r="LY15" s="126"/>
      <c r="LZ15" s="127"/>
      <c r="MB15" s="38"/>
      <c r="MC15" s="83"/>
      <c r="MD15" s="158"/>
      <c r="ME15" s="174"/>
      <c r="MF15" s="38"/>
      <c r="MG15" s="35"/>
      <c r="MI15" s="54"/>
      <c r="MJ15" s="64"/>
      <c r="MK15" s="69"/>
      <c r="ML15" s="126"/>
      <c r="MM15" s="127"/>
      <c r="MO15" s="38"/>
      <c r="MP15" s="83"/>
      <c r="MQ15" s="158"/>
      <c r="MR15" s="174"/>
      <c r="MT15" s="4">
        <f t="shared" si="10"/>
        <v>96</v>
      </c>
      <c r="NC15" s="21"/>
      <c r="ND15" s="128"/>
      <c r="NE15" s="54"/>
    </row>
    <row r="16" spans="1:369" x14ac:dyDescent="0.15">
      <c r="A16" s="2" t="s">
        <v>26</v>
      </c>
      <c r="C16" s="21"/>
      <c r="D16" s="128"/>
      <c r="E16" s="54"/>
      <c r="F16" s="64"/>
      <c r="G16" s="69"/>
      <c r="H16" s="127"/>
      <c r="J16" s="21"/>
      <c r="K16" s="128"/>
      <c r="L16" s="54"/>
      <c r="M16" s="64"/>
      <c r="N16" s="69"/>
      <c r="O16" s="127"/>
      <c r="Q16" s="21"/>
      <c r="R16" s="128"/>
      <c r="S16" s="54"/>
      <c r="T16" s="64"/>
      <c r="U16" s="69"/>
      <c r="V16" s="127"/>
      <c r="X16" s="21"/>
      <c r="Y16" s="128"/>
      <c r="Z16" s="54"/>
      <c r="AA16" s="64"/>
      <c r="AB16" s="69"/>
      <c r="AC16" s="127"/>
      <c r="AE16" s="21"/>
      <c r="AF16" s="128"/>
      <c r="AG16" s="54"/>
      <c r="AH16" s="64"/>
      <c r="AI16" s="69"/>
      <c r="AJ16" s="127"/>
      <c r="AK16">
        <v>1</v>
      </c>
      <c r="AL16" s="21">
        <v>1</v>
      </c>
      <c r="AM16" s="128">
        <v>1</v>
      </c>
      <c r="AN16" s="54">
        <v>1</v>
      </c>
      <c r="AO16" s="64">
        <v>2</v>
      </c>
      <c r="AP16" s="69">
        <v>2</v>
      </c>
      <c r="AQ16" s="127">
        <v>1</v>
      </c>
      <c r="AS16" s="21"/>
      <c r="AT16" s="128"/>
      <c r="AU16" s="54"/>
      <c r="AV16" s="64"/>
      <c r="AW16" s="69"/>
      <c r="AX16" s="127"/>
      <c r="AZ16" s="21"/>
      <c r="BA16" s="128"/>
      <c r="BB16" s="54"/>
      <c r="BC16" s="64"/>
      <c r="BD16" s="69"/>
      <c r="BE16" s="127">
        <v>1</v>
      </c>
      <c r="BG16" s="21"/>
      <c r="BH16" s="128"/>
      <c r="BI16" s="54"/>
      <c r="BJ16" s="64"/>
      <c r="BK16" s="69"/>
      <c r="BL16" s="127"/>
      <c r="BN16" s="21"/>
      <c r="BO16" s="128"/>
      <c r="BP16" s="54"/>
      <c r="BQ16" s="64"/>
      <c r="BR16" s="69"/>
      <c r="BS16" s="127"/>
      <c r="BU16" s="21"/>
      <c r="BV16" s="128"/>
      <c r="BW16" s="54"/>
      <c r="BX16" s="64"/>
      <c r="BY16" s="69"/>
      <c r="BZ16" s="127"/>
      <c r="CB16" s="21"/>
      <c r="CC16" s="128"/>
      <c r="CD16" s="54"/>
      <c r="CE16" s="64"/>
      <c r="CF16" s="69"/>
      <c r="CG16" s="127"/>
      <c r="CI16" s="21"/>
      <c r="CJ16" s="128"/>
      <c r="CK16" s="54"/>
      <c r="CL16" s="64"/>
      <c r="CM16" s="69"/>
      <c r="CN16" s="127"/>
      <c r="CP16" s="21"/>
      <c r="CQ16" s="128"/>
      <c r="CR16" s="54"/>
      <c r="CS16" s="64"/>
      <c r="CT16" s="69"/>
      <c r="CV16" s="21"/>
      <c r="CW16" s="128"/>
      <c r="CX16" s="54"/>
      <c r="CY16" s="64"/>
      <c r="CZ16" s="69"/>
      <c r="DB16" s="21"/>
      <c r="DC16" s="128"/>
      <c r="DD16" s="54"/>
      <c r="DE16" s="64"/>
      <c r="DF16" s="69"/>
      <c r="DH16" s="21"/>
      <c r="DI16" s="128"/>
      <c r="DJ16" s="54"/>
      <c r="DK16" s="64"/>
      <c r="DL16" s="69"/>
      <c r="DN16" s="21"/>
      <c r="DO16" s="128"/>
      <c r="DP16" s="54"/>
      <c r="DQ16" s="64"/>
      <c r="DR16" s="69"/>
      <c r="DT16" s="21"/>
      <c r="DU16" s="128"/>
      <c r="DV16" s="54"/>
      <c r="DW16" s="64"/>
      <c r="DX16" s="69"/>
      <c r="DZ16" s="21"/>
      <c r="EA16" s="128"/>
      <c r="EB16" s="54"/>
      <c r="EC16" s="64"/>
      <c r="ED16" s="69"/>
      <c r="EF16" s="21"/>
      <c r="EG16" s="128"/>
      <c r="EH16" s="54"/>
      <c r="EI16" s="64"/>
      <c r="EJ16" s="69"/>
      <c r="EL16" s="21"/>
      <c r="EM16" s="128"/>
      <c r="EN16" s="54"/>
      <c r="EO16" s="64"/>
      <c r="EP16" s="69"/>
      <c r="ER16" s="21"/>
      <c r="ES16" s="128"/>
      <c r="ET16" s="54"/>
      <c r="EU16" s="64"/>
      <c r="EV16" s="69"/>
      <c r="EX16" s="21"/>
      <c r="EY16" s="128"/>
      <c r="EZ16" s="54"/>
      <c r="FA16" s="64"/>
      <c r="FB16" s="69"/>
      <c r="FD16" s="21"/>
      <c r="FE16" s="128"/>
      <c r="FF16" s="54"/>
      <c r="FG16" s="64"/>
      <c r="FH16" s="69"/>
      <c r="FJ16" s="21"/>
      <c r="FK16" s="128"/>
      <c r="FL16" s="54"/>
      <c r="FM16" s="64"/>
      <c r="FN16" s="69"/>
      <c r="FO16" s="128"/>
      <c r="FP16" s="54"/>
      <c r="FQ16" s="64"/>
      <c r="FR16" s="69"/>
      <c r="FT16" s="21"/>
      <c r="FU16" s="128"/>
      <c r="FV16" s="54"/>
      <c r="FW16" s="64"/>
      <c r="FX16" s="69"/>
      <c r="FZ16" s="21"/>
      <c r="GA16" s="128"/>
      <c r="GB16" s="54"/>
      <c r="GC16" s="64"/>
      <c r="GD16" s="69"/>
      <c r="GF16" s="21"/>
      <c r="GG16" s="128"/>
      <c r="GH16" s="54"/>
      <c r="GI16" s="64"/>
      <c r="GJ16" s="69"/>
      <c r="GL16" s="21"/>
      <c r="GM16" s="128"/>
      <c r="GN16" s="54"/>
      <c r="GO16" s="64"/>
      <c r="GP16" s="69"/>
      <c r="GR16" s="21"/>
      <c r="GS16" s="128"/>
      <c r="GT16" s="54"/>
      <c r="GU16" s="64"/>
      <c r="GV16" s="69"/>
      <c r="GX16" s="21"/>
      <c r="GY16" s="128"/>
      <c r="GZ16" s="54"/>
      <c r="HA16" s="64"/>
      <c r="HB16" s="69"/>
      <c r="HD16" s="21"/>
      <c r="HE16" s="128"/>
      <c r="HF16" s="54"/>
      <c r="HG16" s="64"/>
      <c r="HH16" s="69"/>
      <c r="HJ16" s="21"/>
      <c r="HK16" s="128"/>
      <c r="HL16" s="54"/>
      <c r="HM16" s="64"/>
      <c r="HN16" s="69"/>
      <c r="HP16" s="21"/>
      <c r="HQ16" s="128"/>
      <c r="HR16" s="54"/>
      <c r="HS16" s="64"/>
      <c r="HT16" s="69"/>
      <c r="HV16" s="21"/>
      <c r="HW16" s="128"/>
      <c r="HX16" s="54"/>
      <c r="HY16" s="64"/>
      <c r="HZ16" s="69"/>
      <c r="IB16" s="21"/>
      <c r="IC16" s="128"/>
      <c r="ID16" s="54"/>
      <c r="IE16" s="64"/>
      <c r="IF16" s="69"/>
      <c r="IH16" s="21"/>
      <c r="IJ16" s="21"/>
      <c r="IK16" s="128"/>
      <c r="IL16" s="54"/>
      <c r="IM16" s="64"/>
      <c r="IN16" s="69"/>
      <c r="IP16" s="21"/>
      <c r="IQ16" s="128"/>
      <c r="IR16" s="54"/>
      <c r="IS16" s="64"/>
      <c r="IT16" s="69"/>
      <c r="IV16" s="21"/>
      <c r="IW16" s="128"/>
      <c r="IX16" s="54"/>
      <c r="IY16" s="64"/>
      <c r="IZ16" s="69"/>
      <c r="JB16" s="21"/>
      <c r="JC16" s="128"/>
      <c r="JD16" s="54"/>
      <c r="JE16" s="64"/>
      <c r="JF16" s="69"/>
      <c r="JH16" s="21"/>
      <c r="JI16" s="128"/>
      <c r="JJ16" s="54"/>
      <c r="JK16" s="64"/>
      <c r="JL16" s="69"/>
      <c r="JM16">
        <v>1</v>
      </c>
      <c r="JN16" s="21"/>
      <c r="JO16" s="128"/>
      <c r="JP16" s="54"/>
      <c r="JQ16" s="64"/>
      <c r="JR16" s="69"/>
      <c r="JT16" s="21"/>
      <c r="JU16" s="128"/>
      <c r="JV16" s="54"/>
      <c r="JW16" s="64"/>
      <c r="JX16" s="69"/>
      <c r="JZ16" s="21"/>
      <c r="KA16" s="128"/>
      <c r="KB16" s="54"/>
      <c r="KC16" s="64"/>
      <c r="KD16" s="69"/>
      <c r="KF16" s="38"/>
      <c r="KG16" s="35"/>
      <c r="KI16" s="54"/>
      <c r="KJ16" s="64"/>
      <c r="KK16" s="69"/>
      <c r="KL16" s="126"/>
      <c r="KM16" s="127"/>
      <c r="KO16" s="38"/>
      <c r="KP16" s="83"/>
      <c r="KQ16" s="158"/>
      <c r="KR16" s="174"/>
      <c r="KS16" s="38"/>
      <c r="KT16" s="35"/>
      <c r="KV16" s="54"/>
      <c r="KW16" s="64"/>
      <c r="KX16" s="69"/>
      <c r="KY16" s="126"/>
      <c r="KZ16" s="127"/>
      <c r="LB16" s="38"/>
      <c r="LC16" s="83"/>
      <c r="LD16" s="158"/>
      <c r="LE16" s="174"/>
      <c r="LF16" s="38"/>
      <c r="LG16" s="35"/>
      <c r="LI16" s="54"/>
      <c r="LJ16" s="64"/>
      <c r="LK16" s="69"/>
      <c r="LL16" s="126"/>
      <c r="LM16" s="127"/>
      <c r="LO16" s="38"/>
      <c r="LP16" s="83"/>
      <c r="LQ16" s="158"/>
      <c r="LR16" s="174"/>
      <c r="LS16" s="38"/>
      <c r="LT16" s="35"/>
      <c r="LV16" s="54"/>
      <c r="LW16" s="64"/>
      <c r="LX16" s="69"/>
      <c r="LY16" s="126"/>
      <c r="LZ16" s="127"/>
      <c r="MB16" s="38"/>
      <c r="MC16" s="83"/>
      <c r="MD16" s="158"/>
      <c r="ME16" s="174"/>
      <c r="MF16" s="38"/>
      <c r="MG16" s="35"/>
      <c r="MI16" s="54"/>
      <c r="MJ16" s="64"/>
      <c r="MK16" s="69"/>
      <c r="ML16" s="126"/>
      <c r="MM16" s="127"/>
      <c r="MO16" s="38"/>
      <c r="MP16" s="83"/>
      <c r="MQ16" s="158"/>
      <c r="MR16" s="174"/>
      <c r="MT16" s="4">
        <f t="shared" si="10"/>
        <v>9</v>
      </c>
      <c r="NC16" s="21"/>
      <c r="ND16" s="128"/>
      <c r="NE16" s="54"/>
    </row>
    <row r="17" spans="1:369" x14ac:dyDescent="0.15">
      <c r="A17" s="2" t="s">
        <v>51</v>
      </c>
      <c r="C17" s="21"/>
      <c r="D17" s="128">
        <v>1</v>
      </c>
      <c r="E17" s="54">
        <v>3</v>
      </c>
      <c r="F17" s="64">
        <v>1</v>
      </c>
      <c r="G17" s="69">
        <v>1</v>
      </c>
      <c r="H17" s="127">
        <v>1</v>
      </c>
      <c r="J17" s="21"/>
      <c r="K17" s="128">
        <v>4</v>
      </c>
      <c r="L17" s="54">
        <v>4</v>
      </c>
      <c r="M17" s="64">
        <v>4</v>
      </c>
      <c r="N17" s="69">
        <v>2</v>
      </c>
      <c r="O17" s="127">
        <v>3</v>
      </c>
      <c r="Q17" s="21"/>
      <c r="R17" s="128"/>
      <c r="S17" s="54"/>
      <c r="T17" s="64"/>
      <c r="U17" s="69"/>
      <c r="V17" s="127"/>
      <c r="X17" s="21"/>
      <c r="Y17" s="128">
        <v>1</v>
      </c>
      <c r="Z17" s="54">
        <v>2</v>
      </c>
      <c r="AA17" s="64">
        <v>1</v>
      </c>
      <c r="AB17" s="69"/>
      <c r="AC17" s="127"/>
      <c r="AE17" s="21"/>
      <c r="AF17" s="128">
        <v>1</v>
      </c>
      <c r="AG17" s="54"/>
      <c r="AH17" s="64">
        <v>1</v>
      </c>
      <c r="AI17" s="69"/>
      <c r="AJ17" s="127"/>
      <c r="AL17" s="21"/>
      <c r="AM17" s="128">
        <v>1</v>
      </c>
      <c r="AN17" s="54">
        <v>1</v>
      </c>
      <c r="AO17" s="64">
        <v>1</v>
      </c>
      <c r="AP17" s="69">
        <v>1</v>
      </c>
      <c r="AQ17" s="127">
        <v>1</v>
      </c>
      <c r="AS17" s="21"/>
      <c r="AT17" s="128">
        <v>1</v>
      </c>
      <c r="AU17" s="54">
        <v>1</v>
      </c>
      <c r="AV17" s="64">
        <v>1</v>
      </c>
      <c r="AW17" s="69">
        <v>1</v>
      </c>
      <c r="AX17" s="127">
        <v>1</v>
      </c>
      <c r="AZ17" s="21"/>
      <c r="BA17" s="128">
        <v>1</v>
      </c>
      <c r="BB17" s="54">
        <v>1</v>
      </c>
      <c r="BC17" s="64">
        <v>1</v>
      </c>
      <c r="BD17" s="69">
        <v>1</v>
      </c>
      <c r="BE17" s="127">
        <v>1</v>
      </c>
      <c r="BG17" s="21"/>
      <c r="BH17" s="128"/>
      <c r="BI17" s="54"/>
      <c r="BJ17" s="64"/>
      <c r="BK17" s="69"/>
      <c r="BL17" s="127"/>
      <c r="BN17" s="21"/>
      <c r="BO17" s="128"/>
      <c r="BP17" s="54"/>
      <c r="BQ17" s="64"/>
      <c r="BR17" s="69">
        <v>1</v>
      </c>
      <c r="BS17" s="127"/>
      <c r="BU17" s="21"/>
      <c r="BV17" s="128">
        <v>2</v>
      </c>
      <c r="BW17" s="54">
        <v>1</v>
      </c>
      <c r="BX17" s="64">
        <v>1</v>
      </c>
      <c r="BY17" s="69">
        <v>3</v>
      </c>
      <c r="BZ17" s="127">
        <v>2</v>
      </c>
      <c r="CB17" s="21"/>
      <c r="CC17" s="128"/>
      <c r="CD17" s="54"/>
      <c r="CE17" s="64"/>
      <c r="CF17" s="69"/>
      <c r="CG17" s="127"/>
      <c r="CI17" s="21"/>
      <c r="CJ17" s="128"/>
      <c r="CK17" s="54"/>
      <c r="CL17" s="64"/>
      <c r="CM17" s="69">
        <v>1</v>
      </c>
      <c r="CN17" s="127"/>
      <c r="CP17" s="21"/>
      <c r="CQ17" s="128"/>
      <c r="CR17" s="54">
        <v>1</v>
      </c>
      <c r="CS17" s="64">
        <v>1</v>
      </c>
      <c r="CT17" s="69">
        <v>1</v>
      </c>
      <c r="CV17" s="21">
        <v>2</v>
      </c>
      <c r="CW17" s="128">
        <v>2</v>
      </c>
      <c r="CX17" s="54">
        <v>3</v>
      </c>
      <c r="CY17" s="64">
        <v>2</v>
      </c>
      <c r="CZ17" s="69"/>
      <c r="DB17" s="21"/>
      <c r="DC17" s="128">
        <v>2</v>
      </c>
      <c r="DD17" s="54">
        <v>1</v>
      </c>
      <c r="DE17" s="64">
        <v>1</v>
      </c>
      <c r="DF17" s="69">
        <v>1</v>
      </c>
      <c r="DH17" s="21"/>
      <c r="DI17" s="128"/>
      <c r="DJ17" s="54"/>
      <c r="DK17" s="64"/>
      <c r="DL17" s="69"/>
      <c r="DN17" s="21"/>
      <c r="DO17" s="128"/>
      <c r="DP17" s="54"/>
      <c r="DQ17" s="64"/>
      <c r="DR17" s="69"/>
      <c r="DT17" s="21"/>
      <c r="DU17" s="128">
        <v>1</v>
      </c>
      <c r="DV17" s="54">
        <v>1</v>
      </c>
      <c r="DW17" s="64">
        <v>1</v>
      </c>
      <c r="DX17" s="69">
        <v>1</v>
      </c>
      <c r="DZ17" s="21"/>
      <c r="EA17" s="128"/>
      <c r="EB17" s="54"/>
      <c r="EC17" s="64"/>
      <c r="ED17" s="69"/>
      <c r="EF17" s="21">
        <v>2</v>
      </c>
      <c r="EG17" s="128">
        <v>1</v>
      </c>
      <c r="EH17" s="54">
        <v>1</v>
      </c>
      <c r="EI17" s="64">
        <v>1</v>
      </c>
      <c r="EJ17" s="69">
        <v>1</v>
      </c>
      <c r="EL17" s="21"/>
      <c r="EM17" s="128"/>
      <c r="EN17" s="54"/>
      <c r="EO17" s="64"/>
      <c r="EP17" s="69"/>
      <c r="ER17" s="21"/>
      <c r="ES17" s="128"/>
      <c r="ET17" s="54"/>
      <c r="EU17" s="64"/>
      <c r="EV17" s="69"/>
      <c r="EX17" s="21"/>
      <c r="EY17" s="128"/>
      <c r="EZ17" s="54">
        <v>1</v>
      </c>
      <c r="FA17" s="64"/>
      <c r="FB17" s="69"/>
      <c r="FD17" s="21"/>
      <c r="FE17" s="128"/>
      <c r="FF17" s="54"/>
      <c r="FG17" s="64"/>
      <c r="FH17" s="69"/>
      <c r="FJ17" s="21"/>
      <c r="FK17" s="128"/>
      <c r="FL17" s="54"/>
      <c r="FM17" s="64"/>
      <c r="FN17" s="69"/>
      <c r="FO17" s="128"/>
      <c r="FP17" s="54"/>
      <c r="FQ17" s="64">
        <v>1</v>
      </c>
      <c r="FR17" s="69"/>
      <c r="FT17" s="21"/>
      <c r="FU17" s="128"/>
      <c r="FV17" s="54">
        <v>1</v>
      </c>
      <c r="FW17" s="64"/>
      <c r="FX17" s="69"/>
      <c r="FZ17" s="21"/>
      <c r="GA17" s="128"/>
      <c r="GB17" s="54">
        <v>1</v>
      </c>
      <c r="GC17" s="64"/>
      <c r="GD17" s="69"/>
      <c r="GF17" s="21">
        <v>2</v>
      </c>
      <c r="GG17" s="128"/>
      <c r="GH17" s="54">
        <v>2</v>
      </c>
      <c r="GI17" s="64">
        <v>1</v>
      </c>
      <c r="GJ17" s="69">
        <v>1</v>
      </c>
      <c r="GL17" s="21"/>
      <c r="GM17" s="128"/>
      <c r="GN17" s="54"/>
      <c r="GO17" s="64"/>
      <c r="GP17" s="69"/>
      <c r="GR17" s="21"/>
      <c r="GS17" s="128"/>
      <c r="GT17" s="54"/>
      <c r="GU17" s="64"/>
      <c r="GV17" s="69"/>
      <c r="GX17" s="21">
        <v>1</v>
      </c>
      <c r="GY17" s="128"/>
      <c r="GZ17" s="54"/>
      <c r="HA17" s="64"/>
      <c r="HB17" s="69"/>
      <c r="HD17" s="21">
        <v>1</v>
      </c>
      <c r="HE17" s="128">
        <v>1</v>
      </c>
      <c r="HF17" s="54">
        <v>1</v>
      </c>
      <c r="HG17" s="64"/>
      <c r="HH17" s="69"/>
      <c r="HJ17" s="21"/>
      <c r="HK17" s="128"/>
      <c r="HL17" s="54"/>
      <c r="HM17" s="64"/>
      <c r="HN17" s="69"/>
      <c r="HP17" s="21"/>
      <c r="HQ17" s="128"/>
      <c r="HR17" s="54"/>
      <c r="HS17" s="64"/>
      <c r="HT17" s="69"/>
      <c r="HV17" s="21"/>
      <c r="HW17" s="128"/>
      <c r="HX17" s="54"/>
      <c r="HY17" s="64"/>
      <c r="HZ17" s="69"/>
      <c r="IB17" s="21"/>
      <c r="IC17" s="128"/>
      <c r="ID17" s="54"/>
      <c r="IE17" s="64"/>
      <c r="IF17" s="69"/>
      <c r="IH17" s="21"/>
      <c r="IJ17" s="21"/>
      <c r="IK17" s="128"/>
      <c r="IL17" s="54"/>
      <c r="IM17" s="64"/>
      <c r="IN17" s="69"/>
      <c r="IP17" s="21"/>
      <c r="IQ17" s="128"/>
      <c r="IR17" s="54"/>
      <c r="IS17" s="64"/>
      <c r="IT17" s="69"/>
      <c r="IV17" s="21"/>
      <c r="IW17" s="128"/>
      <c r="IX17" s="54"/>
      <c r="IY17" s="64"/>
      <c r="IZ17" s="69"/>
      <c r="JB17" s="21"/>
      <c r="JC17" s="128"/>
      <c r="JD17" s="54"/>
      <c r="JE17" s="64"/>
      <c r="JF17" s="69"/>
      <c r="JH17" s="21"/>
      <c r="JI17" s="128"/>
      <c r="JJ17" s="54"/>
      <c r="JK17" s="64"/>
      <c r="JL17" s="69"/>
      <c r="JN17" s="21"/>
      <c r="JO17" s="128"/>
      <c r="JP17" s="54"/>
      <c r="JQ17" s="64"/>
      <c r="JR17" s="69"/>
      <c r="JT17" s="21"/>
      <c r="JU17" s="128"/>
      <c r="JV17" s="54"/>
      <c r="JW17" s="64"/>
      <c r="JX17" s="69"/>
      <c r="JZ17" s="21"/>
      <c r="KA17" s="128">
        <v>1</v>
      </c>
      <c r="KB17" s="54">
        <v>1</v>
      </c>
      <c r="KC17" s="64">
        <v>1</v>
      </c>
      <c r="KD17" s="69">
        <v>1</v>
      </c>
      <c r="KF17" s="38"/>
      <c r="KG17" s="35"/>
      <c r="KI17" s="54"/>
      <c r="KJ17" s="64"/>
      <c r="KK17" s="69"/>
      <c r="KL17" s="126"/>
      <c r="KM17" s="127"/>
      <c r="KO17" s="38"/>
      <c r="KP17" s="83"/>
      <c r="KQ17" s="158"/>
      <c r="KR17" s="174"/>
      <c r="KS17" s="38"/>
      <c r="KT17" s="35">
        <v>1</v>
      </c>
      <c r="KU17" s="4">
        <v>1</v>
      </c>
      <c r="KV17" s="54">
        <v>1</v>
      </c>
      <c r="KW17" s="64">
        <v>1</v>
      </c>
      <c r="KX17" s="69">
        <v>1</v>
      </c>
      <c r="KY17" s="126">
        <v>1</v>
      </c>
      <c r="KZ17" s="127"/>
      <c r="LB17" s="38"/>
      <c r="LC17" s="83"/>
      <c r="LD17" s="158"/>
      <c r="LE17" s="174"/>
      <c r="LF17" s="38"/>
      <c r="LG17" s="35"/>
      <c r="LI17" s="54"/>
      <c r="LJ17" s="64"/>
      <c r="LK17" s="69"/>
      <c r="LL17" s="126"/>
      <c r="LM17" s="127"/>
      <c r="LO17" s="38"/>
      <c r="LP17" s="83"/>
      <c r="LQ17" s="158"/>
      <c r="LR17" s="174"/>
      <c r="LS17" s="38"/>
      <c r="LT17" s="35"/>
      <c r="LV17" s="54"/>
      <c r="LW17" s="64"/>
      <c r="LX17" s="69"/>
      <c r="LY17" s="126"/>
      <c r="LZ17" s="127"/>
      <c r="MB17" s="38"/>
      <c r="MC17" s="83"/>
      <c r="MD17" s="158"/>
      <c r="ME17" s="174"/>
      <c r="MF17" s="38"/>
      <c r="MG17" s="35"/>
      <c r="MI17" s="54"/>
      <c r="MJ17" s="64"/>
      <c r="MK17" s="69"/>
      <c r="ML17" s="126"/>
      <c r="MM17" s="127"/>
      <c r="MO17" s="38"/>
      <c r="MP17" s="83"/>
      <c r="MQ17" s="158"/>
      <c r="MR17" s="174"/>
      <c r="MT17" s="4">
        <f t="shared" si="10"/>
        <v>79</v>
      </c>
      <c r="NC17" s="21"/>
      <c r="ND17" s="128"/>
      <c r="NE17" s="54">
        <v>1</v>
      </c>
    </row>
    <row r="18" spans="1:369" x14ac:dyDescent="0.15">
      <c r="A18" s="2" t="s">
        <v>44</v>
      </c>
      <c r="C18" s="21"/>
      <c r="D18" s="128"/>
      <c r="E18" s="54"/>
      <c r="F18" s="64"/>
      <c r="G18" s="69">
        <v>1</v>
      </c>
      <c r="H18" s="127"/>
      <c r="J18" s="21"/>
      <c r="K18" s="128"/>
      <c r="L18" s="54"/>
      <c r="M18" s="64"/>
      <c r="N18" s="69"/>
      <c r="O18" s="127"/>
      <c r="Q18" s="21"/>
      <c r="R18" s="128"/>
      <c r="S18" s="54"/>
      <c r="T18" s="64"/>
      <c r="U18" s="69"/>
      <c r="V18" s="127"/>
      <c r="X18" s="21"/>
      <c r="Y18" s="128"/>
      <c r="Z18" s="54"/>
      <c r="AA18" s="64">
        <v>1</v>
      </c>
      <c r="AB18" s="69"/>
      <c r="AC18" s="127"/>
      <c r="AE18" s="21"/>
      <c r="AF18" s="128"/>
      <c r="AG18" s="54"/>
      <c r="AH18" s="64"/>
      <c r="AI18" s="69"/>
      <c r="AJ18" s="127"/>
      <c r="AL18" s="21"/>
      <c r="AM18" s="128"/>
      <c r="AN18" s="54"/>
      <c r="AO18" s="64">
        <v>1</v>
      </c>
      <c r="AP18" s="69"/>
      <c r="AQ18" s="127"/>
      <c r="AS18" s="21"/>
      <c r="AT18" s="128"/>
      <c r="AU18" s="54"/>
      <c r="AV18" s="64">
        <v>2</v>
      </c>
      <c r="AW18" s="69">
        <v>1</v>
      </c>
      <c r="AX18" s="127">
        <v>1</v>
      </c>
      <c r="AZ18" s="21"/>
      <c r="BA18" s="128"/>
      <c r="BB18" s="54"/>
      <c r="BC18" s="64"/>
      <c r="BD18" s="69"/>
      <c r="BE18" s="127"/>
      <c r="BG18" s="21"/>
      <c r="BH18" s="128"/>
      <c r="BI18" s="54"/>
      <c r="BJ18" s="64"/>
      <c r="BK18" s="69"/>
      <c r="BL18" s="127"/>
      <c r="BN18" s="21"/>
      <c r="BO18" s="128"/>
      <c r="BP18" s="54"/>
      <c r="BQ18" s="64"/>
      <c r="BR18" s="69"/>
      <c r="BS18" s="127"/>
      <c r="BU18" s="21"/>
      <c r="BV18" s="128"/>
      <c r="BW18" s="54"/>
      <c r="BX18" s="64"/>
      <c r="BY18" s="69"/>
      <c r="BZ18" s="127"/>
      <c r="CB18" s="21"/>
      <c r="CC18" s="128"/>
      <c r="CD18" s="54"/>
      <c r="CE18" s="64"/>
      <c r="CF18" s="69"/>
      <c r="CG18" s="127"/>
      <c r="CI18" s="21"/>
      <c r="CJ18" s="128"/>
      <c r="CK18" s="54"/>
      <c r="CL18" s="64"/>
      <c r="CM18" s="69">
        <v>1</v>
      </c>
      <c r="CN18" s="127">
        <v>1</v>
      </c>
      <c r="CP18" s="21"/>
      <c r="CQ18" s="128"/>
      <c r="CR18" s="54"/>
      <c r="CS18" s="64"/>
      <c r="CT18" s="69"/>
      <c r="CV18" s="21"/>
      <c r="CW18" s="128"/>
      <c r="CX18" s="54"/>
      <c r="CY18" s="64"/>
      <c r="CZ18" s="69"/>
      <c r="DB18" s="21"/>
      <c r="DC18" s="128"/>
      <c r="DD18" s="54"/>
      <c r="DE18" s="64"/>
      <c r="DF18" s="69"/>
      <c r="DH18" s="21"/>
      <c r="DI18" s="128"/>
      <c r="DJ18" s="54">
        <v>1</v>
      </c>
      <c r="DK18" s="64"/>
      <c r="DL18" s="69">
        <v>1</v>
      </c>
      <c r="DN18" s="21"/>
      <c r="DO18" s="128"/>
      <c r="DP18" s="54">
        <v>1</v>
      </c>
      <c r="DQ18" s="64">
        <v>1</v>
      </c>
      <c r="DR18" s="69"/>
      <c r="DT18" s="21"/>
      <c r="DU18" s="128"/>
      <c r="DV18" s="54">
        <v>1</v>
      </c>
      <c r="DW18" s="64">
        <v>1</v>
      </c>
      <c r="DX18" s="69"/>
      <c r="DZ18" s="21">
        <v>2</v>
      </c>
      <c r="EA18" s="128">
        <v>2</v>
      </c>
      <c r="EB18" s="54">
        <v>2</v>
      </c>
      <c r="EC18" s="64">
        <v>3</v>
      </c>
      <c r="ED18" s="69">
        <v>3</v>
      </c>
      <c r="EF18" s="21"/>
      <c r="EG18" s="128"/>
      <c r="EH18" s="54"/>
      <c r="EI18" s="64"/>
      <c r="EJ18" s="69">
        <v>1</v>
      </c>
      <c r="EL18" s="21"/>
      <c r="EM18" s="128"/>
      <c r="EN18" s="54"/>
      <c r="EO18" s="64"/>
      <c r="EP18" s="69"/>
      <c r="ER18" s="21"/>
      <c r="ES18" s="128"/>
      <c r="ET18" s="54"/>
      <c r="EU18" s="64"/>
      <c r="EV18" s="69"/>
      <c r="EX18" s="21"/>
      <c r="EY18" s="128"/>
      <c r="EZ18" s="54"/>
      <c r="FA18" s="64"/>
      <c r="FB18" s="69">
        <v>1</v>
      </c>
      <c r="FD18" s="21"/>
      <c r="FE18" s="128"/>
      <c r="FF18" s="54"/>
      <c r="FG18" s="64">
        <v>1</v>
      </c>
      <c r="FH18" s="69">
        <v>1</v>
      </c>
      <c r="FJ18" s="21">
        <v>1</v>
      </c>
      <c r="FK18" s="128">
        <v>1</v>
      </c>
      <c r="FL18" s="54">
        <v>1</v>
      </c>
      <c r="FM18" s="64">
        <v>1</v>
      </c>
      <c r="FN18" s="69">
        <v>1</v>
      </c>
      <c r="FO18" s="128"/>
      <c r="FP18" s="54"/>
      <c r="FQ18" s="64">
        <v>1</v>
      </c>
      <c r="FR18" s="69">
        <v>1</v>
      </c>
      <c r="FT18" s="21"/>
      <c r="FU18" s="128"/>
      <c r="FV18" s="54"/>
      <c r="FW18" s="64">
        <v>1</v>
      </c>
      <c r="FX18" s="69">
        <v>1</v>
      </c>
      <c r="FZ18" s="21"/>
      <c r="GA18" s="128"/>
      <c r="GB18" s="54">
        <v>1</v>
      </c>
      <c r="GC18" s="64">
        <v>2</v>
      </c>
      <c r="GD18" s="69">
        <v>2</v>
      </c>
      <c r="GF18" s="21"/>
      <c r="GG18" s="128"/>
      <c r="GH18" s="54">
        <v>1</v>
      </c>
      <c r="GI18" s="64"/>
      <c r="GJ18" s="69">
        <v>1</v>
      </c>
      <c r="GL18" s="21">
        <v>1</v>
      </c>
      <c r="GM18" s="128">
        <v>1</v>
      </c>
      <c r="GN18" s="54">
        <v>1</v>
      </c>
      <c r="GO18" s="64">
        <v>1</v>
      </c>
      <c r="GP18" s="69">
        <v>1</v>
      </c>
      <c r="GR18" s="21"/>
      <c r="GS18" s="128"/>
      <c r="GT18" s="54">
        <v>1</v>
      </c>
      <c r="GU18" s="64">
        <v>2</v>
      </c>
      <c r="GV18" s="69">
        <v>3</v>
      </c>
      <c r="GX18" s="21"/>
      <c r="GY18" s="128"/>
      <c r="GZ18" s="54">
        <v>2</v>
      </c>
      <c r="HA18" s="64">
        <v>2</v>
      </c>
      <c r="HB18" s="69">
        <v>1</v>
      </c>
      <c r="HD18" s="21">
        <v>1</v>
      </c>
      <c r="HE18" s="128"/>
      <c r="HF18" s="54">
        <v>3</v>
      </c>
      <c r="HG18" s="64">
        <v>2</v>
      </c>
      <c r="HH18" s="69">
        <v>1</v>
      </c>
      <c r="HJ18" s="21"/>
      <c r="HK18" s="128"/>
      <c r="HL18" s="54"/>
      <c r="HM18" s="64"/>
      <c r="HN18" s="69"/>
      <c r="HP18" s="21"/>
      <c r="HQ18" s="128"/>
      <c r="HR18" s="54"/>
      <c r="HS18" s="64"/>
      <c r="HT18" s="69"/>
      <c r="HV18" s="21"/>
      <c r="HW18" s="128"/>
      <c r="HX18" s="54">
        <v>1</v>
      </c>
      <c r="HY18" s="64"/>
      <c r="HZ18" s="69"/>
      <c r="IB18" s="21">
        <v>1</v>
      </c>
      <c r="IC18" s="128"/>
      <c r="ID18" s="54">
        <v>2</v>
      </c>
      <c r="IE18" s="64">
        <v>1</v>
      </c>
      <c r="IF18" s="69">
        <v>1</v>
      </c>
      <c r="IH18" s="21"/>
      <c r="IJ18" s="21">
        <v>1</v>
      </c>
      <c r="IK18" s="128"/>
      <c r="IL18" s="54"/>
      <c r="IM18" s="64">
        <v>1</v>
      </c>
      <c r="IN18" s="69"/>
      <c r="IP18" s="21">
        <v>1</v>
      </c>
      <c r="IQ18" s="128"/>
      <c r="IR18" s="54"/>
      <c r="IS18" s="64"/>
      <c r="IT18" s="69"/>
      <c r="IV18" s="21">
        <v>1</v>
      </c>
      <c r="IW18" s="128"/>
      <c r="IX18" s="54"/>
      <c r="IY18" s="64">
        <v>1</v>
      </c>
      <c r="IZ18" s="69"/>
      <c r="JB18" s="21"/>
      <c r="JC18" s="128"/>
      <c r="JD18" s="54"/>
      <c r="JE18" s="64"/>
      <c r="JF18" s="69"/>
      <c r="JH18" s="21"/>
      <c r="JI18" s="128"/>
      <c r="JJ18" s="54">
        <v>2</v>
      </c>
      <c r="JK18" s="64">
        <v>2</v>
      </c>
      <c r="JL18" s="69">
        <v>2</v>
      </c>
      <c r="JM18">
        <v>2</v>
      </c>
      <c r="JN18" s="21">
        <v>2</v>
      </c>
      <c r="JO18" s="128">
        <v>2</v>
      </c>
      <c r="JP18" s="54">
        <v>2</v>
      </c>
      <c r="JQ18" s="64">
        <v>2</v>
      </c>
      <c r="JR18" s="69">
        <v>2</v>
      </c>
      <c r="JT18" s="21"/>
      <c r="JU18" s="128">
        <v>1</v>
      </c>
      <c r="JV18" s="54">
        <v>1</v>
      </c>
      <c r="JW18" s="64">
        <v>1</v>
      </c>
      <c r="JX18" s="69">
        <v>1</v>
      </c>
      <c r="JZ18" s="21"/>
      <c r="KA18" s="128"/>
      <c r="KB18" s="54"/>
      <c r="KC18" s="64"/>
      <c r="KD18" s="69"/>
      <c r="KF18" s="38"/>
      <c r="KG18" s="35"/>
      <c r="KI18" s="54"/>
      <c r="KJ18" s="64"/>
      <c r="KK18" s="69"/>
      <c r="KL18" s="126"/>
      <c r="KM18" s="127"/>
      <c r="KO18" s="38"/>
      <c r="KP18" s="83"/>
      <c r="KQ18" s="158"/>
      <c r="KR18" s="174"/>
      <c r="KS18" s="38"/>
      <c r="KT18" s="35"/>
      <c r="KV18" s="54"/>
      <c r="KW18" s="64"/>
      <c r="KX18" s="69"/>
      <c r="KY18" s="126"/>
      <c r="KZ18" s="127"/>
      <c r="LB18" s="38"/>
      <c r="LC18" s="83"/>
      <c r="LD18" s="158"/>
      <c r="LE18" s="174"/>
      <c r="LF18" s="38"/>
      <c r="LG18" s="35"/>
      <c r="LI18" s="54"/>
      <c r="LJ18" s="64"/>
      <c r="LK18" s="69"/>
      <c r="LL18" s="126"/>
      <c r="LM18" s="127"/>
      <c r="LO18" s="38"/>
      <c r="LP18" s="83"/>
      <c r="LQ18" s="158"/>
      <c r="LR18" s="174"/>
      <c r="LS18" s="38"/>
      <c r="LT18" s="35"/>
      <c r="LV18" s="54"/>
      <c r="LW18" s="64"/>
      <c r="LX18" s="69"/>
      <c r="LY18" s="126"/>
      <c r="LZ18" s="127"/>
      <c r="MB18" s="38"/>
      <c r="MC18" s="83"/>
      <c r="MD18" s="158"/>
      <c r="ME18" s="174"/>
      <c r="MF18" s="38"/>
      <c r="MG18" s="35"/>
      <c r="MI18" s="54"/>
      <c r="MJ18" s="64"/>
      <c r="MK18" s="69"/>
      <c r="ML18" s="126"/>
      <c r="MM18" s="127"/>
      <c r="MO18" s="38"/>
      <c r="MP18" s="83"/>
      <c r="MQ18" s="158"/>
      <c r="MR18" s="174"/>
      <c r="MT18" s="4">
        <f t="shared" si="10"/>
        <v>75</v>
      </c>
      <c r="NC18" s="21"/>
      <c r="ND18" s="128"/>
      <c r="NE18" s="54"/>
    </row>
    <row r="19" spans="1:369" x14ac:dyDescent="0.15">
      <c r="A19" s="2" t="s">
        <v>4</v>
      </c>
      <c r="B19">
        <v>2</v>
      </c>
      <c r="C19" s="21">
        <v>4</v>
      </c>
      <c r="D19" s="128">
        <v>2</v>
      </c>
      <c r="E19" s="54">
        <v>2</v>
      </c>
      <c r="F19" s="64">
        <v>2</v>
      </c>
      <c r="G19" s="69">
        <v>2</v>
      </c>
      <c r="H19" s="127">
        <v>1</v>
      </c>
      <c r="I19">
        <v>2</v>
      </c>
      <c r="J19" s="21">
        <v>2</v>
      </c>
      <c r="K19" s="128">
        <v>2</v>
      </c>
      <c r="L19" s="54">
        <v>3</v>
      </c>
      <c r="M19" s="64">
        <v>3</v>
      </c>
      <c r="N19" s="69">
        <v>4</v>
      </c>
      <c r="O19" s="127">
        <v>4</v>
      </c>
      <c r="P19">
        <v>5</v>
      </c>
      <c r="Q19" s="21">
        <v>4</v>
      </c>
      <c r="R19" s="128">
        <v>3</v>
      </c>
      <c r="S19" s="54">
        <v>4</v>
      </c>
      <c r="T19" s="64">
        <v>4</v>
      </c>
      <c r="U19" s="69">
        <v>4</v>
      </c>
      <c r="V19" s="127">
        <v>4</v>
      </c>
      <c r="W19">
        <v>2</v>
      </c>
      <c r="X19" s="21">
        <v>3</v>
      </c>
      <c r="Y19" s="128">
        <v>2</v>
      </c>
      <c r="Z19" s="54">
        <v>3</v>
      </c>
      <c r="AA19" s="64">
        <v>3</v>
      </c>
      <c r="AB19" s="69">
        <v>2</v>
      </c>
      <c r="AC19" s="127">
        <v>2</v>
      </c>
      <c r="AD19">
        <v>1</v>
      </c>
      <c r="AE19" s="21">
        <v>2</v>
      </c>
      <c r="AF19" s="128">
        <v>1</v>
      </c>
      <c r="AG19" s="54">
        <v>1</v>
      </c>
      <c r="AH19" s="64">
        <v>1</v>
      </c>
      <c r="AI19" s="69">
        <v>1</v>
      </c>
      <c r="AJ19" s="127">
        <v>1</v>
      </c>
      <c r="AK19">
        <v>3</v>
      </c>
      <c r="AL19" s="21">
        <v>1</v>
      </c>
      <c r="AM19" s="128">
        <v>1</v>
      </c>
      <c r="AN19" s="54">
        <v>2</v>
      </c>
      <c r="AO19" s="64">
        <v>2</v>
      </c>
      <c r="AP19" s="69">
        <v>1</v>
      </c>
      <c r="AQ19" s="127">
        <v>2</v>
      </c>
      <c r="AS19" s="21"/>
      <c r="AT19" s="128"/>
      <c r="AU19" s="54"/>
      <c r="AV19" s="64"/>
      <c r="AW19" s="69">
        <v>1</v>
      </c>
      <c r="AX19" s="127">
        <v>1</v>
      </c>
      <c r="AY19">
        <v>3</v>
      </c>
      <c r="AZ19" s="21">
        <v>2</v>
      </c>
      <c r="BA19" s="128">
        <v>2</v>
      </c>
      <c r="BB19" s="54">
        <v>2</v>
      </c>
      <c r="BC19" s="64">
        <v>2</v>
      </c>
      <c r="BD19" s="69">
        <v>3</v>
      </c>
      <c r="BE19" s="127">
        <v>2</v>
      </c>
      <c r="BF19">
        <v>2</v>
      </c>
      <c r="BG19" s="21">
        <v>2</v>
      </c>
      <c r="BH19" s="128">
        <v>2</v>
      </c>
      <c r="BI19" s="54">
        <v>2</v>
      </c>
      <c r="BJ19" s="64">
        <v>1</v>
      </c>
      <c r="BK19" s="69">
        <v>1</v>
      </c>
      <c r="BL19" s="127">
        <v>2</v>
      </c>
      <c r="BN19" s="21"/>
      <c r="BO19" s="128"/>
      <c r="BP19" s="54">
        <v>1</v>
      </c>
      <c r="BQ19" s="64">
        <v>1</v>
      </c>
      <c r="BR19" s="69">
        <v>2</v>
      </c>
      <c r="BS19" s="127">
        <v>3</v>
      </c>
      <c r="BT19">
        <v>3</v>
      </c>
      <c r="BU19" s="21">
        <v>3</v>
      </c>
      <c r="BV19" s="128">
        <v>3</v>
      </c>
      <c r="BW19" s="54">
        <v>3</v>
      </c>
      <c r="BX19" s="64">
        <v>3</v>
      </c>
      <c r="BY19" s="69">
        <v>2</v>
      </c>
      <c r="BZ19" s="127">
        <v>3</v>
      </c>
      <c r="CA19">
        <v>2</v>
      </c>
      <c r="CB19" s="21">
        <v>3</v>
      </c>
      <c r="CC19" s="128">
        <v>3</v>
      </c>
      <c r="CD19" s="54">
        <v>3</v>
      </c>
      <c r="CE19" s="64">
        <v>3</v>
      </c>
      <c r="CF19" s="69">
        <v>4</v>
      </c>
      <c r="CG19" s="127">
        <v>3</v>
      </c>
      <c r="CH19">
        <v>2</v>
      </c>
      <c r="CI19" s="21">
        <v>3</v>
      </c>
      <c r="CJ19" s="128">
        <v>2</v>
      </c>
      <c r="CK19" s="54">
        <v>2</v>
      </c>
      <c r="CL19" s="64">
        <v>2</v>
      </c>
      <c r="CM19" s="69">
        <v>3</v>
      </c>
      <c r="CN19" s="127">
        <v>3</v>
      </c>
      <c r="CO19">
        <v>1</v>
      </c>
      <c r="CP19" s="21"/>
      <c r="CQ19" s="128"/>
      <c r="CR19" s="54">
        <v>1</v>
      </c>
      <c r="CS19" s="64">
        <v>1</v>
      </c>
      <c r="CT19" s="69">
        <v>1</v>
      </c>
      <c r="CU19">
        <v>3</v>
      </c>
      <c r="CV19" s="21">
        <v>3</v>
      </c>
      <c r="CW19" s="128">
        <v>2</v>
      </c>
      <c r="CX19" s="54">
        <v>3</v>
      </c>
      <c r="CY19" s="64">
        <v>1</v>
      </c>
      <c r="CZ19" s="69">
        <v>1</v>
      </c>
      <c r="DA19">
        <v>2</v>
      </c>
      <c r="DB19" s="21">
        <v>1</v>
      </c>
      <c r="DC19" s="128">
        <v>1</v>
      </c>
      <c r="DD19" s="54">
        <v>1</v>
      </c>
      <c r="DE19" s="64">
        <v>1</v>
      </c>
      <c r="DF19" s="69">
        <v>1</v>
      </c>
      <c r="DG19">
        <v>1</v>
      </c>
      <c r="DH19" s="21"/>
      <c r="DI19" s="128"/>
      <c r="DJ19" s="54">
        <v>1</v>
      </c>
      <c r="DK19" s="64">
        <v>1</v>
      </c>
      <c r="DL19" s="69">
        <v>1</v>
      </c>
      <c r="DN19" s="21"/>
      <c r="DO19" s="128">
        <v>1</v>
      </c>
      <c r="DP19" s="54">
        <v>1</v>
      </c>
      <c r="DQ19" s="64">
        <v>1</v>
      </c>
      <c r="DR19" s="69">
        <v>1</v>
      </c>
      <c r="DT19" s="21">
        <v>1</v>
      </c>
      <c r="DU19" s="128">
        <v>1</v>
      </c>
      <c r="DV19" s="54"/>
      <c r="DW19" s="64">
        <v>1</v>
      </c>
      <c r="DX19" s="69"/>
      <c r="DY19">
        <v>2</v>
      </c>
      <c r="DZ19" s="21">
        <v>1</v>
      </c>
      <c r="EA19" s="128">
        <v>2</v>
      </c>
      <c r="EB19" s="54">
        <v>1</v>
      </c>
      <c r="EC19" s="64">
        <v>2</v>
      </c>
      <c r="ED19" s="69">
        <v>2</v>
      </c>
      <c r="EF19" s="21"/>
      <c r="EG19" s="128">
        <v>1</v>
      </c>
      <c r="EH19" s="54">
        <v>1</v>
      </c>
      <c r="EI19" s="64">
        <v>1</v>
      </c>
      <c r="EJ19" s="69">
        <v>1</v>
      </c>
      <c r="EL19" s="21"/>
      <c r="EM19" s="128"/>
      <c r="EN19" s="54"/>
      <c r="EO19" s="64"/>
      <c r="EP19" s="69"/>
      <c r="ER19" s="21"/>
      <c r="ES19" s="128"/>
      <c r="ET19" s="54"/>
      <c r="EU19" s="64"/>
      <c r="EV19" s="69"/>
      <c r="EX19" s="21"/>
      <c r="EY19" s="128"/>
      <c r="EZ19" s="54"/>
      <c r="FA19" s="64"/>
      <c r="FB19" s="69"/>
      <c r="FD19" s="21"/>
      <c r="FE19" s="128"/>
      <c r="FF19" s="54"/>
      <c r="FG19" s="64"/>
      <c r="FH19" s="69"/>
      <c r="FJ19" s="21"/>
      <c r="FK19" s="128"/>
      <c r="FL19" s="54"/>
      <c r="FM19" s="64"/>
      <c r="FN19" s="69"/>
      <c r="FO19" s="128"/>
      <c r="FP19" s="54"/>
      <c r="FQ19" s="64"/>
      <c r="FR19" s="69"/>
      <c r="FT19" s="21">
        <v>1</v>
      </c>
      <c r="FU19" s="128"/>
      <c r="FV19" s="54"/>
      <c r="FW19" s="64"/>
      <c r="FX19" s="69"/>
      <c r="FZ19" s="21"/>
      <c r="GA19" s="128"/>
      <c r="GB19" s="54"/>
      <c r="GC19" s="64"/>
      <c r="GD19" s="69"/>
      <c r="GE19">
        <v>3</v>
      </c>
      <c r="GF19" s="21">
        <v>1</v>
      </c>
      <c r="GG19" s="128"/>
      <c r="GH19" s="54"/>
      <c r="GI19" s="64"/>
      <c r="GJ19" s="69"/>
      <c r="GL19" s="21"/>
      <c r="GM19" s="128"/>
      <c r="GN19" s="54"/>
      <c r="GO19" s="64"/>
      <c r="GP19" s="69"/>
      <c r="GR19" s="21"/>
      <c r="GS19" s="128"/>
      <c r="GT19" s="54">
        <v>1</v>
      </c>
      <c r="GU19" s="64">
        <v>1</v>
      </c>
      <c r="GV19" s="69">
        <v>2</v>
      </c>
      <c r="GW19">
        <v>3</v>
      </c>
      <c r="GX19" s="21">
        <v>1</v>
      </c>
      <c r="GY19" s="128"/>
      <c r="GZ19" s="54">
        <v>1</v>
      </c>
      <c r="HA19" s="64"/>
      <c r="HB19" s="69">
        <v>1</v>
      </c>
      <c r="HC19">
        <v>1</v>
      </c>
      <c r="HD19" s="21"/>
      <c r="HE19" s="128">
        <v>1</v>
      </c>
      <c r="HF19" s="54">
        <v>1</v>
      </c>
      <c r="HG19" s="64">
        <v>1</v>
      </c>
      <c r="HH19" s="69">
        <v>1</v>
      </c>
      <c r="HJ19" s="21"/>
      <c r="HK19" s="128"/>
      <c r="HL19" s="54"/>
      <c r="HM19" s="64"/>
      <c r="HN19" s="69"/>
      <c r="HP19" s="21"/>
      <c r="HQ19" s="128"/>
      <c r="HR19" s="54"/>
      <c r="HS19" s="64"/>
      <c r="HT19" s="69"/>
      <c r="HV19" s="21"/>
      <c r="HW19" s="128">
        <v>1</v>
      </c>
      <c r="HX19" s="54">
        <v>1</v>
      </c>
      <c r="HY19" s="64"/>
      <c r="HZ19" s="69"/>
      <c r="IB19" s="21">
        <v>1</v>
      </c>
      <c r="IC19" s="128"/>
      <c r="ID19" s="54">
        <v>1</v>
      </c>
      <c r="IE19" s="64">
        <v>1</v>
      </c>
      <c r="IF19" s="69">
        <v>1</v>
      </c>
      <c r="IH19" s="21"/>
      <c r="IJ19" s="21"/>
      <c r="IK19" s="128"/>
      <c r="IL19" s="54"/>
      <c r="IM19" s="64"/>
      <c r="IN19" s="69"/>
      <c r="IP19" s="21"/>
      <c r="IQ19" s="128"/>
      <c r="IR19" s="54"/>
      <c r="IS19" s="64"/>
      <c r="IT19" s="69"/>
      <c r="IU19">
        <v>1</v>
      </c>
      <c r="IV19" s="21"/>
      <c r="IW19" s="128"/>
      <c r="IX19" s="54"/>
      <c r="IY19" s="64"/>
      <c r="IZ19" s="69"/>
      <c r="JB19" s="21"/>
      <c r="JC19" s="128"/>
      <c r="JD19" s="54"/>
      <c r="JE19" s="64"/>
      <c r="JF19" s="69"/>
      <c r="JH19" s="21"/>
      <c r="JI19" s="128"/>
      <c r="JJ19" s="54"/>
      <c r="JK19" s="64"/>
      <c r="JL19" s="69"/>
      <c r="JM19">
        <v>1</v>
      </c>
      <c r="JN19" s="21"/>
      <c r="JO19" s="128"/>
      <c r="JP19" s="54">
        <v>1</v>
      </c>
      <c r="JQ19" s="64">
        <v>1</v>
      </c>
      <c r="JR19" s="69"/>
      <c r="JS19">
        <v>1</v>
      </c>
      <c r="JT19" s="21"/>
      <c r="JU19" s="128"/>
      <c r="JV19" s="54"/>
      <c r="JW19" s="64">
        <v>1</v>
      </c>
      <c r="JX19" s="69">
        <v>1</v>
      </c>
      <c r="JZ19" s="21"/>
      <c r="KA19" s="128"/>
      <c r="KB19" s="54"/>
      <c r="KC19" s="64"/>
      <c r="KD19" s="69"/>
      <c r="KF19" s="38"/>
      <c r="KG19" s="35"/>
      <c r="KI19" s="54"/>
      <c r="KJ19" s="64"/>
      <c r="KK19" s="69"/>
      <c r="KL19" s="126"/>
      <c r="KM19" s="127"/>
      <c r="KO19" s="38"/>
      <c r="KP19" s="83"/>
      <c r="KQ19" s="158"/>
      <c r="KR19" s="174"/>
      <c r="KS19" s="38"/>
      <c r="KT19" s="35">
        <v>1</v>
      </c>
      <c r="KU19" s="4">
        <v>1</v>
      </c>
      <c r="KV19" s="54">
        <v>1</v>
      </c>
      <c r="KW19" s="64">
        <v>1</v>
      </c>
      <c r="KX19" s="69">
        <v>1</v>
      </c>
      <c r="KY19" s="126">
        <v>1</v>
      </c>
      <c r="KZ19" s="127">
        <v>1</v>
      </c>
      <c r="LA19" s="4">
        <v>1</v>
      </c>
      <c r="LB19" s="38">
        <v>1</v>
      </c>
      <c r="LC19" s="83">
        <v>1</v>
      </c>
      <c r="LD19" s="158">
        <v>1</v>
      </c>
      <c r="LE19" s="174">
        <v>1</v>
      </c>
      <c r="LF19" s="38">
        <v>1</v>
      </c>
      <c r="LG19" s="35">
        <v>1</v>
      </c>
      <c r="LH19" s="4">
        <v>1</v>
      </c>
      <c r="LI19" s="54">
        <v>2</v>
      </c>
      <c r="LJ19" s="64">
        <v>1</v>
      </c>
      <c r="LK19" s="69">
        <v>1</v>
      </c>
      <c r="LL19" s="126">
        <v>1</v>
      </c>
      <c r="LM19" s="127">
        <v>2</v>
      </c>
      <c r="LN19" s="4">
        <v>1</v>
      </c>
      <c r="LO19" s="38">
        <v>1</v>
      </c>
      <c r="LP19" s="83">
        <v>1</v>
      </c>
      <c r="LQ19" s="158">
        <v>1</v>
      </c>
      <c r="LR19" s="174">
        <v>1</v>
      </c>
      <c r="LS19" s="38"/>
      <c r="LT19" s="35"/>
      <c r="LV19" s="54"/>
      <c r="LW19" s="64"/>
      <c r="LX19" s="69"/>
      <c r="LY19" s="126"/>
      <c r="LZ19" s="127"/>
      <c r="MB19" s="38"/>
      <c r="MC19" s="83"/>
      <c r="MD19" s="158"/>
      <c r="ME19" s="174"/>
      <c r="MF19" s="38"/>
      <c r="MG19" s="35"/>
      <c r="MI19" s="54"/>
      <c r="MJ19" s="64"/>
      <c r="MK19" s="69"/>
      <c r="ML19" s="126"/>
      <c r="MM19" s="127"/>
      <c r="MO19" s="38"/>
      <c r="MP19" s="83"/>
      <c r="MQ19" s="158"/>
      <c r="MR19" s="174"/>
      <c r="MT19" s="4">
        <f t="shared" si="10"/>
        <v>173</v>
      </c>
      <c r="NC19" s="21"/>
      <c r="ND19" s="128"/>
      <c r="NE19" s="54"/>
    </row>
    <row r="20" spans="1:369" x14ac:dyDescent="0.15">
      <c r="A20" s="2" t="s">
        <v>232</v>
      </c>
      <c r="C20" s="21"/>
      <c r="D20" s="128"/>
      <c r="E20" s="54"/>
      <c r="F20" s="64"/>
      <c r="G20" s="69"/>
      <c r="H20" s="127"/>
      <c r="J20" s="21"/>
      <c r="K20" s="128"/>
      <c r="L20" s="54"/>
      <c r="M20" s="64"/>
      <c r="N20" s="69"/>
      <c r="O20" s="127"/>
      <c r="Q20" s="21"/>
      <c r="R20" s="128"/>
      <c r="S20" s="54"/>
      <c r="T20" s="64"/>
      <c r="U20" s="69"/>
      <c r="V20" s="127"/>
      <c r="X20" s="21"/>
      <c r="Y20" s="128"/>
      <c r="Z20" s="54"/>
      <c r="AA20" s="64"/>
      <c r="AB20" s="69"/>
      <c r="AC20" s="127"/>
      <c r="AE20" s="21"/>
      <c r="AF20" s="128"/>
      <c r="AG20" s="54"/>
      <c r="AH20" s="64"/>
      <c r="AI20" s="69"/>
      <c r="AJ20" s="127"/>
      <c r="AL20" s="21"/>
      <c r="AM20" s="128"/>
      <c r="AN20" s="54"/>
      <c r="AO20" s="64"/>
      <c r="AP20" s="69"/>
      <c r="AQ20" s="127"/>
      <c r="AS20" s="21"/>
      <c r="AT20" s="128"/>
      <c r="AU20" s="54"/>
      <c r="AV20" s="64"/>
      <c r="AW20" s="69"/>
      <c r="AX20" s="127">
        <v>1</v>
      </c>
      <c r="AZ20" s="21"/>
      <c r="BA20" s="128"/>
      <c r="BB20" s="54"/>
      <c r="BC20" s="64"/>
      <c r="BD20" s="69"/>
      <c r="BE20" s="127"/>
      <c r="BG20" s="21"/>
      <c r="BH20" s="128"/>
      <c r="BI20" s="54"/>
      <c r="BJ20" s="64"/>
      <c r="BK20" s="69"/>
      <c r="BL20" s="127"/>
      <c r="BN20" s="21"/>
      <c r="BO20" s="128"/>
      <c r="BP20" s="54"/>
      <c r="BQ20" s="64"/>
      <c r="BR20" s="69"/>
      <c r="BS20" s="127"/>
      <c r="BU20" s="21"/>
      <c r="BV20" s="128"/>
      <c r="BW20" s="54"/>
      <c r="BX20" s="64"/>
      <c r="BY20" s="69"/>
      <c r="BZ20" s="127"/>
      <c r="CB20" s="21"/>
      <c r="CC20" s="128"/>
      <c r="CD20" s="54"/>
      <c r="CE20" s="64"/>
      <c r="CF20" s="69"/>
      <c r="CG20" s="127"/>
      <c r="CI20" s="21"/>
      <c r="CJ20" s="128"/>
      <c r="CK20" s="54"/>
      <c r="CL20" s="64"/>
      <c r="CM20" s="69"/>
      <c r="CN20" s="127"/>
      <c r="CP20" s="21"/>
      <c r="CQ20" s="128"/>
      <c r="CR20" s="54"/>
      <c r="CS20" s="64"/>
      <c r="CT20" s="69"/>
      <c r="CV20" s="21"/>
      <c r="CW20" s="128"/>
      <c r="CX20" s="54"/>
      <c r="CY20" s="64"/>
      <c r="CZ20" s="69"/>
      <c r="DB20" s="21"/>
      <c r="DC20" s="128"/>
      <c r="DD20" s="54"/>
      <c r="DE20" s="64"/>
      <c r="DF20" s="69"/>
      <c r="DH20" s="21"/>
      <c r="DI20" s="128"/>
      <c r="DJ20" s="54"/>
      <c r="DK20" s="64"/>
      <c r="DL20" s="69"/>
      <c r="DN20" s="21"/>
      <c r="DO20" s="128"/>
      <c r="DP20" s="54"/>
      <c r="DQ20" s="64"/>
      <c r="DR20" s="69"/>
      <c r="DT20" s="21"/>
      <c r="DU20" s="128"/>
      <c r="DV20" s="54"/>
      <c r="DW20" s="64"/>
      <c r="DX20" s="69"/>
      <c r="DZ20" s="21"/>
      <c r="EA20" s="128"/>
      <c r="EB20" s="54"/>
      <c r="EC20" s="64"/>
      <c r="ED20" s="69"/>
      <c r="EF20" s="21"/>
      <c r="EG20" s="128"/>
      <c r="EH20" s="54"/>
      <c r="EI20" s="64"/>
      <c r="EJ20" s="69"/>
      <c r="EL20" s="21"/>
      <c r="EM20" s="128"/>
      <c r="EN20" s="54"/>
      <c r="EO20" s="64"/>
      <c r="EP20" s="69"/>
      <c r="ER20" s="21"/>
      <c r="ES20" s="128"/>
      <c r="ET20" s="54"/>
      <c r="EU20" s="64"/>
      <c r="EV20" s="69"/>
      <c r="EX20" s="21"/>
      <c r="EY20" s="128"/>
      <c r="EZ20" s="54"/>
      <c r="FA20" s="64"/>
      <c r="FB20" s="69"/>
      <c r="FD20" s="21"/>
      <c r="FE20" s="128"/>
      <c r="FF20" s="54"/>
      <c r="FG20" s="64"/>
      <c r="FH20" s="69"/>
      <c r="FJ20" s="21"/>
      <c r="FK20" s="128"/>
      <c r="FL20" s="54"/>
      <c r="FM20" s="64"/>
      <c r="FN20" s="69"/>
      <c r="FO20" s="128"/>
      <c r="FP20" s="54"/>
      <c r="FQ20" s="64"/>
      <c r="FR20" s="69"/>
      <c r="FT20" s="21"/>
      <c r="FU20" s="128"/>
      <c r="FV20" s="54"/>
      <c r="FW20" s="64"/>
      <c r="FX20" s="69"/>
      <c r="FZ20" s="21"/>
      <c r="GA20" s="128"/>
      <c r="GB20" s="54"/>
      <c r="GC20" s="64"/>
      <c r="GD20" s="69"/>
      <c r="GF20" s="21"/>
      <c r="GG20" s="128"/>
      <c r="GH20" s="54"/>
      <c r="GI20" s="64"/>
      <c r="GJ20" s="69"/>
      <c r="GL20" s="21"/>
      <c r="GM20" s="128"/>
      <c r="GN20" s="54"/>
      <c r="GO20" s="64"/>
      <c r="GP20" s="69"/>
      <c r="GR20" s="21"/>
      <c r="GS20" s="128"/>
      <c r="GT20" s="54"/>
      <c r="GU20" s="64"/>
      <c r="GV20" s="69"/>
      <c r="GX20" s="21"/>
      <c r="GY20" s="128"/>
      <c r="GZ20" s="54"/>
      <c r="HA20" s="64"/>
      <c r="HB20" s="69"/>
      <c r="HD20" s="21"/>
      <c r="HE20" s="128"/>
      <c r="HF20" s="54"/>
      <c r="HG20" s="64"/>
      <c r="HH20" s="69"/>
      <c r="HJ20" s="21"/>
      <c r="HK20" s="128"/>
      <c r="HL20" s="54"/>
      <c r="HM20" s="64"/>
      <c r="HN20" s="69"/>
      <c r="HP20" s="21"/>
      <c r="HQ20" s="128"/>
      <c r="HR20" s="54"/>
      <c r="HS20" s="64"/>
      <c r="HT20" s="69"/>
      <c r="HV20" s="21"/>
      <c r="HW20" s="128"/>
      <c r="HX20" s="54"/>
      <c r="HY20" s="64"/>
      <c r="HZ20" s="69"/>
      <c r="IB20" s="21"/>
      <c r="IC20" s="128"/>
      <c r="ID20" s="54"/>
      <c r="IE20" s="64"/>
      <c r="IF20" s="69"/>
      <c r="IH20" s="21"/>
      <c r="IJ20" s="21"/>
      <c r="IK20" s="128"/>
      <c r="IL20" s="54"/>
      <c r="IM20" s="64"/>
      <c r="IN20" s="69"/>
      <c r="IP20" s="21"/>
      <c r="IQ20" s="128"/>
      <c r="IR20" s="54"/>
      <c r="IS20" s="64"/>
      <c r="IT20" s="69"/>
      <c r="IV20" s="21"/>
      <c r="IW20" s="128"/>
      <c r="IX20" s="54"/>
      <c r="IY20" s="64"/>
      <c r="IZ20" s="69"/>
      <c r="JB20" s="21"/>
      <c r="JC20" s="128"/>
      <c r="JD20" s="54"/>
      <c r="JE20" s="64"/>
      <c r="JF20" s="69"/>
      <c r="JH20" s="21"/>
      <c r="JI20" s="128"/>
      <c r="JJ20" s="54"/>
      <c r="JK20" s="64"/>
      <c r="JL20" s="69"/>
      <c r="JN20" s="21"/>
      <c r="JO20" s="128"/>
      <c r="JP20" s="54"/>
      <c r="JQ20" s="64"/>
      <c r="JR20" s="69"/>
      <c r="JT20" s="21"/>
      <c r="JU20" s="128"/>
      <c r="JV20" s="54"/>
      <c r="JW20" s="64"/>
      <c r="JX20" s="69"/>
      <c r="JZ20" s="21"/>
      <c r="KA20" s="128"/>
      <c r="KB20" s="54"/>
      <c r="KC20" s="64"/>
      <c r="KD20" s="69"/>
      <c r="KF20" s="38"/>
      <c r="KG20" s="35"/>
      <c r="KI20" s="54"/>
      <c r="KJ20" s="64"/>
      <c r="KK20" s="69"/>
      <c r="KL20" s="126"/>
      <c r="KM20" s="127"/>
      <c r="KO20" s="38"/>
      <c r="KP20" s="83"/>
      <c r="KQ20" s="158"/>
      <c r="KR20" s="174"/>
      <c r="KS20" s="38"/>
      <c r="KT20" s="35"/>
      <c r="KV20" s="54"/>
      <c r="KW20" s="64"/>
      <c r="KX20" s="69"/>
      <c r="KY20" s="126"/>
      <c r="KZ20" s="127"/>
      <c r="LB20" s="38"/>
      <c r="LC20" s="83"/>
      <c r="LD20" s="158"/>
      <c r="LE20" s="174"/>
      <c r="LF20" s="38"/>
      <c r="LG20" s="35"/>
      <c r="LI20" s="54"/>
      <c r="LJ20" s="64"/>
      <c r="LK20" s="69"/>
      <c r="LL20" s="126"/>
      <c r="LM20" s="127"/>
      <c r="LO20" s="38"/>
      <c r="LP20" s="83"/>
      <c r="LQ20" s="158"/>
      <c r="LR20" s="174"/>
      <c r="LS20" s="38"/>
      <c r="LT20" s="35"/>
      <c r="LV20" s="54"/>
      <c r="LW20" s="64"/>
      <c r="LX20" s="69"/>
      <c r="LY20" s="126"/>
      <c r="LZ20" s="127"/>
      <c r="MB20" s="38"/>
      <c r="MC20" s="83"/>
      <c r="MD20" s="158"/>
      <c r="ME20" s="174"/>
      <c r="MF20" s="38"/>
      <c r="MG20" s="35"/>
      <c r="MI20" s="54"/>
      <c r="MJ20" s="64"/>
      <c r="MK20" s="69"/>
      <c r="ML20" s="126"/>
      <c r="MM20" s="127"/>
      <c r="MO20" s="38"/>
      <c r="MP20" s="83"/>
      <c r="MQ20" s="158"/>
      <c r="MR20" s="174"/>
      <c r="MT20" s="4">
        <f t="shared" si="10"/>
        <v>1</v>
      </c>
      <c r="NC20" s="21"/>
      <c r="ND20" s="128"/>
      <c r="NE20" s="54"/>
    </row>
    <row r="21" spans="1:369" x14ac:dyDescent="0.15">
      <c r="A21" s="2" t="s">
        <v>15</v>
      </c>
      <c r="C21" s="21">
        <v>2</v>
      </c>
      <c r="D21" s="128">
        <v>1</v>
      </c>
      <c r="E21" s="54">
        <v>1</v>
      </c>
      <c r="F21" s="64">
        <v>1</v>
      </c>
      <c r="G21" s="69"/>
      <c r="H21" s="127"/>
      <c r="J21" s="21">
        <v>1</v>
      </c>
      <c r="K21" s="128">
        <v>1</v>
      </c>
      <c r="L21" s="54">
        <v>1</v>
      </c>
      <c r="M21" s="64"/>
      <c r="N21" s="69"/>
      <c r="O21" s="127"/>
      <c r="Q21" s="21"/>
      <c r="R21" s="128"/>
      <c r="S21" s="54"/>
      <c r="T21" s="64"/>
      <c r="U21" s="69"/>
      <c r="V21" s="127"/>
      <c r="W21">
        <v>1</v>
      </c>
      <c r="X21" s="21">
        <v>1</v>
      </c>
      <c r="Y21" s="128">
        <v>1</v>
      </c>
      <c r="Z21" s="54">
        <v>1</v>
      </c>
      <c r="AA21" s="64"/>
      <c r="AB21" s="69"/>
      <c r="AC21" s="127">
        <v>1</v>
      </c>
      <c r="AE21" s="21">
        <v>2</v>
      </c>
      <c r="AF21" s="128">
        <v>1</v>
      </c>
      <c r="AG21" s="54">
        <v>1</v>
      </c>
      <c r="AH21" s="64"/>
      <c r="AI21" s="69">
        <v>1</v>
      </c>
      <c r="AJ21" s="127">
        <v>1</v>
      </c>
      <c r="AL21" s="21">
        <v>2</v>
      </c>
      <c r="AM21" s="128"/>
      <c r="AN21" s="54"/>
      <c r="AO21" s="64"/>
      <c r="AP21" s="69">
        <v>1</v>
      </c>
      <c r="AQ21" s="127"/>
      <c r="AS21" s="21"/>
      <c r="AT21" s="128"/>
      <c r="AU21" s="54"/>
      <c r="AV21" s="64"/>
      <c r="AW21" s="69"/>
      <c r="AX21" s="127"/>
      <c r="AZ21" s="21">
        <v>2</v>
      </c>
      <c r="BA21" s="128"/>
      <c r="BB21" s="54"/>
      <c r="BC21" s="64"/>
      <c r="BD21" s="69"/>
      <c r="BE21" s="127"/>
      <c r="BG21" s="21"/>
      <c r="BH21" s="128"/>
      <c r="BI21" s="54"/>
      <c r="BJ21" s="64"/>
      <c r="BK21" s="69"/>
      <c r="BL21" s="127"/>
      <c r="BN21" s="21">
        <v>1</v>
      </c>
      <c r="BO21" s="128"/>
      <c r="BP21" s="54"/>
      <c r="BQ21" s="64"/>
      <c r="BR21" s="69"/>
      <c r="BS21" s="127"/>
      <c r="BU21" s="21">
        <v>1</v>
      </c>
      <c r="BV21" s="128"/>
      <c r="BW21" s="54"/>
      <c r="BX21" s="64"/>
      <c r="BY21" s="69"/>
      <c r="BZ21" s="127"/>
      <c r="CB21" s="21">
        <v>2</v>
      </c>
      <c r="CC21" s="128"/>
      <c r="CD21" s="54"/>
      <c r="CE21" s="64"/>
      <c r="CF21" s="69"/>
      <c r="CG21" s="127"/>
      <c r="CI21" s="21">
        <v>2</v>
      </c>
      <c r="CJ21" s="128"/>
      <c r="CK21" s="54"/>
      <c r="CL21" s="64"/>
      <c r="CM21" s="69"/>
      <c r="CN21" s="127"/>
      <c r="CP21" s="21">
        <v>1</v>
      </c>
      <c r="CQ21" s="128"/>
      <c r="CR21" s="54"/>
      <c r="CS21" s="64"/>
      <c r="CT21" s="69"/>
      <c r="CV21" s="21"/>
      <c r="CW21" s="128"/>
      <c r="CX21" s="54"/>
      <c r="CY21" s="64"/>
      <c r="CZ21" s="69"/>
      <c r="DB21" s="21"/>
      <c r="DC21" s="128"/>
      <c r="DD21" s="54"/>
      <c r="DE21" s="64"/>
      <c r="DF21" s="69"/>
      <c r="DH21" s="21"/>
      <c r="DI21" s="128"/>
      <c r="DJ21" s="54"/>
      <c r="DK21" s="64"/>
      <c r="DL21" s="69"/>
      <c r="DN21" s="21"/>
      <c r="DO21" s="128"/>
      <c r="DP21" s="54"/>
      <c r="DQ21" s="64"/>
      <c r="DR21" s="69"/>
      <c r="DT21" s="21"/>
      <c r="DU21" s="128"/>
      <c r="DV21" s="54"/>
      <c r="DW21" s="64"/>
      <c r="DX21" s="69"/>
      <c r="DZ21" s="21"/>
      <c r="EA21" s="128"/>
      <c r="EB21" s="54"/>
      <c r="EC21" s="64"/>
      <c r="ED21" s="69"/>
      <c r="EF21" s="21"/>
      <c r="EG21" s="128"/>
      <c r="EH21" s="54"/>
      <c r="EI21" s="64"/>
      <c r="EJ21" s="69"/>
      <c r="EL21" s="21"/>
      <c r="EM21" s="128"/>
      <c r="EN21" s="54"/>
      <c r="EO21" s="64"/>
      <c r="EP21" s="69"/>
      <c r="ER21" s="21"/>
      <c r="ES21" s="128"/>
      <c r="ET21" s="54"/>
      <c r="EU21" s="64"/>
      <c r="EV21" s="69"/>
      <c r="EX21" s="21"/>
      <c r="EY21" s="128"/>
      <c r="EZ21" s="54"/>
      <c r="FA21" s="64"/>
      <c r="FB21" s="69"/>
      <c r="FD21" s="21"/>
      <c r="FE21" s="128"/>
      <c r="FF21" s="54"/>
      <c r="FG21" s="64"/>
      <c r="FH21" s="69"/>
      <c r="FJ21" s="21"/>
      <c r="FK21" s="128"/>
      <c r="FL21" s="54"/>
      <c r="FM21" s="64"/>
      <c r="FN21" s="69"/>
      <c r="FO21" s="128"/>
      <c r="FP21" s="54"/>
      <c r="FQ21" s="64"/>
      <c r="FR21" s="69"/>
      <c r="FT21" s="21"/>
      <c r="FU21" s="128"/>
      <c r="FV21" s="54"/>
      <c r="FW21" s="64"/>
      <c r="FX21" s="69"/>
      <c r="FZ21" s="21"/>
      <c r="GA21" s="128"/>
      <c r="GB21" s="54"/>
      <c r="GC21" s="64"/>
      <c r="GD21" s="69"/>
      <c r="GF21" s="21">
        <v>1</v>
      </c>
      <c r="GG21" s="128"/>
      <c r="GH21" s="54"/>
      <c r="GI21" s="64"/>
      <c r="GJ21" s="69"/>
      <c r="GL21" s="21"/>
      <c r="GM21" s="128"/>
      <c r="GN21" s="54"/>
      <c r="GO21" s="64"/>
      <c r="GP21" s="69"/>
      <c r="GR21" s="21"/>
      <c r="GS21" s="128"/>
      <c r="GT21" s="54"/>
      <c r="GU21" s="64"/>
      <c r="GV21" s="69"/>
      <c r="GX21" s="21"/>
      <c r="GY21" s="128"/>
      <c r="GZ21" s="54"/>
      <c r="HA21" s="64"/>
      <c r="HB21" s="69"/>
      <c r="HD21" s="21"/>
      <c r="HE21" s="128"/>
      <c r="HF21" s="54"/>
      <c r="HG21" s="64"/>
      <c r="HH21" s="69"/>
      <c r="HJ21" s="21"/>
      <c r="HK21" s="128"/>
      <c r="HL21" s="54"/>
      <c r="HM21" s="64"/>
      <c r="HN21" s="69"/>
      <c r="HP21" s="21"/>
      <c r="HQ21" s="128"/>
      <c r="HR21" s="54"/>
      <c r="HS21" s="64"/>
      <c r="HT21" s="69"/>
      <c r="HV21" s="21"/>
      <c r="HW21" s="128"/>
      <c r="HX21" s="54"/>
      <c r="HY21" s="64"/>
      <c r="HZ21" s="69"/>
      <c r="IB21" s="21"/>
      <c r="IC21" s="128"/>
      <c r="ID21" s="54"/>
      <c r="IE21" s="64"/>
      <c r="IF21" s="69"/>
      <c r="IH21" s="21"/>
      <c r="IJ21" s="21"/>
      <c r="IK21" s="128"/>
      <c r="IL21" s="54"/>
      <c r="IM21" s="64"/>
      <c r="IN21" s="69"/>
      <c r="IP21" s="21"/>
      <c r="IQ21" s="128"/>
      <c r="IR21" s="54"/>
      <c r="IS21" s="64"/>
      <c r="IT21" s="69"/>
      <c r="IV21" s="21"/>
      <c r="IW21" s="128"/>
      <c r="IX21" s="54"/>
      <c r="IY21" s="64"/>
      <c r="IZ21" s="69"/>
      <c r="JB21" s="21"/>
      <c r="JC21" s="128"/>
      <c r="JD21" s="54"/>
      <c r="JE21" s="64"/>
      <c r="JF21" s="69"/>
      <c r="JH21" s="21"/>
      <c r="JI21" s="128"/>
      <c r="JJ21" s="54"/>
      <c r="JK21" s="64"/>
      <c r="JL21" s="69"/>
      <c r="JN21" s="21"/>
      <c r="JO21" s="128"/>
      <c r="JP21" s="54"/>
      <c r="JQ21" s="64"/>
      <c r="JR21" s="69"/>
      <c r="JT21" s="21"/>
      <c r="JU21" s="128"/>
      <c r="JV21" s="54"/>
      <c r="JW21" s="64"/>
      <c r="JX21" s="69"/>
      <c r="JZ21" s="21"/>
      <c r="KA21" s="128"/>
      <c r="KB21" s="54"/>
      <c r="KC21" s="64"/>
      <c r="KD21" s="69"/>
      <c r="KF21" s="38"/>
      <c r="KG21" s="35"/>
      <c r="KI21" s="54"/>
      <c r="KJ21" s="64"/>
      <c r="KK21" s="69"/>
      <c r="KL21" s="126"/>
      <c r="KM21" s="127"/>
      <c r="KO21" s="38"/>
      <c r="KP21" s="83"/>
      <c r="KQ21" s="158"/>
      <c r="KR21" s="174"/>
      <c r="KS21" s="38"/>
      <c r="KT21" s="35"/>
      <c r="KV21" s="54"/>
      <c r="KW21" s="64"/>
      <c r="KX21" s="69"/>
      <c r="KY21" s="126"/>
      <c r="KZ21" s="127"/>
      <c r="LB21" s="38"/>
      <c r="LC21" s="83"/>
      <c r="LD21" s="158"/>
      <c r="LE21" s="174"/>
      <c r="LF21" s="38"/>
      <c r="LG21" s="35"/>
      <c r="LI21" s="54"/>
      <c r="LJ21" s="64"/>
      <c r="LK21" s="69"/>
      <c r="LL21" s="126"/>
      <c r="LM21" s="127"/>
      <c r="LO21" s="38"/>
      <c r="LP21" s="83"/>
      <c r="LQ21" s="158"/>
      <c r="LR21" s="174"/>
      <c r="LS21" s="38"/>
      <c r="LT21" s="35"/>
      <c r="LV21" s="54"/>
      <c r="LW21" s="64"/>
      <c r="LX21" s="69"/>
      <c r="LY21" s="126"/>
      <c r="LZ21" s="127"/>
      <c r="MB21" s="38"/>
      <c r="MC21" s="83"/>
      <c r="MD21" s="158"/>
      <c r="ME21" s="174"/>
      <c r="MF21" s="38"/>
      <c r="MG21" s="35"/>
      <c r="MI21" s="54"/>
      <c r="MJ21" s="64"/>
      <c r="MK21" s="69"/>
      <c r="ML21" s="126"/>
      <c r="MM21" s="127"/>
      <c r="MO21" s="38"/>
      <c r="MP21" s="83"/>
      <c r="MQ21" s="158"/>
      <c r="MR21" s="174"/>
      <c r="MT21" s="4">
        <f t="shared" si="10"/>
        <v>26</v>
      </c>
      <c r="NC21" s="21"/>
      <c r="ND21" s="128"/>
      <c r="NE21" s="54"/>
    </row>
    <row r="22" spans="1:369" x14ac:dyDescent="0.15">
      <c r="A22" s="2" t="s">
        <v>5</v>
      </c>
      <c r="B22">
        <v>2</v>
      </c>
      <c r="C22" s="21">
        <v>2</v>
      </c>
      <c r="D22" s="128">
        <v>2</v>
      </c>
      <c r="E22" s="54">
        <v>1</v>
      </c>
      <c r="F22" s="64"/>
      <c r="G22" s="69">
        <v>1</v>
      </c>
      <c r="H22" s="127">
        <v>1</v>
      </c>
      <c r="J22" s="21">
        <v>1</v>
      </c>
      <c r="K22" s="128">
        <v>1</v>
      </c>
      <c r="L22" s="54">
        <v>1</v>
      </c>
      <c r="M22" s="64">
        <v>1</v>
      </c>
      <c r="N22" s="69"/>
      <c r="O22" s="127"/>
      <c r="P22">
        <v>3</v>
      </c>
      <c r="Q22" s="21">
        <v>1</v>
      </c>
      <c r="R22" s="128">
        <v>1</v>
      </c>
      <c r="S22" s="54">
        <v>1</v>
      </c>
      <c r="T22" s="64">
        <v>1</v>
      </c>
      <c r="U22" s="69">
        <v>1</v>
      </c>
      <c r="V22" s="127">
        <v>1</v>
      </c>
      <c r="X22" s="21">
        <v>1</v>
      </c>
      <c r="Y22" s="128">
        <v>1</v>
      </c>
      <c r="Z22" s="54">
        <v>2</v>
      </c>
      <c r="AA22" s="64">
        <v>1</v>
      </c>
      <c r="AB22" s="69"/>
      <c r="AC22" s="127">
        <v>1</v>
      </c>
      <c r="AE22" s="21">
        <v>1</v>
      </c>
      <c r="AF22" s="128">
        <v>2</v>
      </c>
      <c r="AG22" s="54">
        <v>1</v>
      </c>
      <c r="AH22" s="64">
        <v>1</v>
      </c>
      <c r="AI22" s="69">
        <v>1</v>
      </c>
      <c r="AJ22" s="127">
        <v>1</v>
      </c>
      <c r="AL22" s="21">
        <v>3</v>
      </c>
      <c r="AM22" s="128">
        <v>3</v>
      </c>
      <c r="AN22" s="54">
        <v>1</v>
      </c>
      <c r="AO22" s="64">
        <v>1</v>
      </c>
      <c r="AP22" s="69">
        <v>1</v>
      </c>
      <c r="AQ22" s="127">
        <v>1</v>
      </c>
      <c r="AS22" s="21">
        <v>4</v>
      </c>
      <c r="AT22" s="128">
        <v>4</v>
      </c>
      <c r="AU22" s="54">
        <v>2</v>
      </c>
      <c r="AV22" s="64">
        <v>1</v>
      </c>
      <c r="AW22" s="69">
        <v>1</v>
      </c>
      <c r="AX22" s="127">
        <v>1</v>
      </c>
      <c r="AY22">
        <v>3</v>
      </c>
      <c r="AZ22" s="21">
        <v>2</v>
      </c>
      <c r="BA22" s="128">
        <v>2</v>
      </c>
      <c r="BB22" s="54">
        <v>2</v>
      </c>
      <c r="BC22" s="64">
        <v>2</v>
      </c>
      <c r="BD22" s="69">
        <v>2</v>
      </c>
      <c r="BE22" s="127">
        <v>1</v>
      </c>
      <c r="BF22">
        <v>2</v>
      </c>
      <c r="BG22" s="21">
        <v>2</v>
      </c>
      <c r="BH22" s="128">
        <v>1</v>
      </c>
      <c r="BI22" s="54">
        <v>1</v>
      </c>
      <c r="BJ22" s="64">
        <v>1</v>
      </c>
      <c r="BK22" s="69">
        <v>1</v>
      </c>
      <c r="BL22" s="127">
        <v>1</v>
      </c>
      <c r="BN22" s="21"/>
      <c r="BO22" s="128">
        <v>1</v>
      </c>
      <c r="BP22" s="54"/>
      <c r="BQ22" s="64"/>
      <c r="BR22" s="69">
        <v>1</v>
      </c>
      <c r="BS22" s="127"/>
      <c r="BT22">
        <v>2</v>
      </c>
      <c r="BU22" s="21">
        <v>1</v>
      </c>
      <c r="BV22" s="128"/>
      <c r="BW22" s="54">
        <v>2</v>
      </c>
      <c r="BX22" s="64">
        <v>2</v>
      </c>
      <c r="BY22" s="69">
        <v>1</v>
      </c>
      <c r="BZ22" s="127">
        <v>1</v>
      </c>
      <c r="CA22">
        <v>1</v>
      </c>
      <c r="CB22" s="21">
        <v>1</v>
      </c>
      <c r="CC22" s="128">
        <v>1</v>
      </c>
      <c r="CD22" s="54">
        <v>1</v>
      </c>
      <c r="CE22" s="64">
        <v>1</v>
      </c>
      <c r="CF22" s="69">
        <v>1</v>
      </c>
      <c r="CG22" s="127">
        <v>1</v>
      </c>
      <c r="CH22">
        <v>1</v>
      </c>
      <c r="CI22" s="21">
        <v>1</v>
      </c>
      <c r="CJ22" s="128">
        <v>1</v>
      </c>
      <c r="CK22" s="54">
        <v>1</v>
      </c>
      <c r="CL22" s="64">
        <v>1</v>
      </c>
      <c r="CM22" s="69"/>
      <c r="CN22" s="127"/>
      <c r="CO22">
        <v>2</v>
      </c>
      <c r="CP22" s="21">
        <v>1</v>
      </c>
      <c r="CQ22" s="128">
        <v>1</v>
      </c>
      <c r="CR22" s="54">
        <v>1</v>
      </c>
      <c r="CS22" s="64">
        <v>1</v>
      </c>
      <c r="CT22" s="69"/>
      <c r="CU22">
        <v>3</v>
      </c>
      <c r="CV22" s="21">
        <v>2</v>
      </c>
      <c r="CW22" s="128">
        <v>1</v>
      </c>
      <c r="CX22" s="54">
        <v>1</v>
      </c>
      <c r="CY22" s="64">
        <v>1</v>
      </c>
      <c r="CZ22" s="69">
        <v>1</v>
      </c>
      <c r="DB22" s="21">
        <v>2</v>
      </c>
      <c r="DC22" s="128">
        <v>1</v>
      </c>
      <c r="DD22" s="54">
        <v>1</v>
      </c>
      <c r="DE22" s="64">
        <v>2</v>
      </c>
      <c r="DF22" s="69">
        <v>1</v>
      </c>
      <c r="DH22" s="21"/>
      <c r="DI22" s="128"/>
      <c r="DJ22" s="54">
        <v>1</v>
      </c>
      <c r="DK22" s="64">
        <v>1</v>
      </c>
      <c r="DL22" s="69">
        <v>1</v>
      </c>
      <c r="DM22">
        <v>1</v>
      </c>
      <c r="DN22" s="21">
        <v>1</v>
      </c>
      <c r="DO22" s="128">
        <v>1</v>
      </c>
      <c r="DP22" s="54">
        <v>1</v>
      </c>
      <c r="DQ22" s="64"/>
      <c r="DR22" s="69">
        <v>1</v>
      </c>
      <c r="DT22" s="21"/>
      <c r="DU22" s="128"/>
      <c r="DV22" s="54"/>
      <c r="DW22" s="64"/>
      <c r="DX22" s="69"/>
      <c r="DY22">
        <v>1</v>
      </c>
      <c r="DZ22" s="21"/>
      <c r="EA22" s="128">
        <v>1</v>
      </c>
      <c r="EB22" s="54">
        <v>1</v>
      </c>
      <c r="EC22" s="64"/>
      <c r="ED22" s="69">
        <v>1</v>
      </c>
      <c r="EF22" s="21"/>
      <c r="EG22" s="128">
        <v>1</v>
      </c>
      <c r="EH22" s="54">
        <v>1</v>
      </c>
      <c r="EI22" s="64">
        <v>1</v>
      </c>
      <c r="EJ22" s="69">
        <v>1</v>
      </c>
      <c r="EK22">
        <v>1</v>
      </c>
      <c r="EL22" s="21"/>
      <c r="EM22" s="128"/>
      <c r="EN22" s="54">
        <v>1</v>
      </c>
      <c r="EO22" s="64">
        <v>1</v>
      </c>
      <c r="EP22" s="69">
        <v>1</v>
      </c>
      <c r="ER22" s="21"/>
      <c r="ES22" s="128"/>
      <c r="ET22" s="54"/>
      <c r="EU22" s="64"/>
      <c r="EV22" s="69"/>
      <c r="EW22">
        <v>1</v>
      </c>
      <c r="EX22" s="21">
        <v>1</v>
      </c>
      <c r="EY22" s="128">
        <v>1</v>
      </c>
      <c r="EZ22" s="54">
        <v>1</v>
      </c>
      <c r="FA22" s="64">
        <v>1</v>
      </c>
      <c r="FB22" s="69">
        <v>1</v>
      </c>
      <c r="FD22" s="21"/>
      <c r="FE22" s="128"/>
      <c r="FF22" s="54">
        <v>1</v>
      </c>
      <c r="FG22" s="64">
        <v>1</v>
      </c>
      <c r="FH22" s="69">
        <v>1</v>
      </c>
      <c r="FJ22" s="21"/>
      <c r="FK22" s="128"/>
      <c r="FL22" s="54"/>
      <c r="FM22" s="64"/>
      <c r="FN22" s="69"/>
      <c r="FO22" s="128"/>
      <c r="FP22" s="54"/>
      <c r="FQ22" s="64"/>
      <c r="FR22" s="69"/>
      <c r="FS22">
        <v>1</v>
      </c>
      <c r="FT22" s="21"/>
      <c r="FU22" s="128"/>
      <c r="FV22" s="54"/>
      <c r="FW22" s="64"/>
      <c r="FX22" s="69">
        <v>1</v>
      </c>
      <c r="FY22">
        <v>1</v>
      </c>
      <c r="FZ22" s="21">
        <v>1</v>
      </c>
      <c r="GA22" s="128">
        <v>1</v>
      </c>
      <c r="GB22" s="54"/>
      <c r="GC22" s="64">
        <v>1</v>
      </c>
      <c r="GD22" s="69">
        <v>1</v>
      </c>
      <c r="GE22">
        <v>1</v>
      </c>
      <c r="GF22" s="21"/>
      <c r="GG22" s="128">
        <v>1</v>
      </c>
      <c r="GH22" s="54">
        <v>1</v>
      </c>
      <c r="GI22" s="64">
        <v>1</v>
      </c>
      <c r="GJ22" s="69"/>
      <c r="GK22">
        <v>2</v>
      </c>
      <c r="GL22" s="21">
        <v>2</v>
      </c>
      <c r="GM22" s="128"/>
      <c r="GN22" s="54">
        <v>1</v>
      </c>
      <c r="GO22" s="64"/>
      <c r="GP22" s="69"/>
      <c r="GQ22">
        <v>1</v>
      </c>
      <c r="GR22" s="21"/>
      <c r="GS22" s="128"/>
      <c r="GT22" s="54"/>
      <c r="GU22" s="64"/>
      <c r="GV22" s="69">
        <v>1</v>
      </c>
      <c r="GX22" s="21">
        <v>1</v>
      </c>
      <c r="GY22" s="128"/>
      <c r="GZ22" s="54"/>
      <c r="HA22" s="64"/>
      <c r="HB22" s="69"/>
      <c r="HC22">
        <v>2</v>
      </c>
      <c r="HD22" s="21">
        <v>1</v>
      </c>
      <c r="HE22" s="128"/>
      <c r="HF22" s="54"/>
      <c r="HG22" s="64"/>
      <c r="HH22" s="69"/>
      <c r="HJ22" s="21"/>
      <c r="HK22" s="128"/>
      <c r="HL22" s="54"/>
      <c r="HM22" s="64"/>
      <c r="HN22" s="69"/>
      <c r="HP22" s="21"/>
      <c r="HQ22" s="128"/>
      <c r="HR22" s="54"/>
      <c r="HS22" s="64"/>
      <c r="HT22" s="69"/>
      <c r="HU22">
        <v>1</v>
      </c>
      <c r="HV22" s="21"/>
      <c r="HW22" s="128"/>
      <c r="HX22" s="54"/>
      <c r="HY22" s="64"/>
      <c r="HZ22" s="69"/>
      <c r="IB22" s="21"/>
      <c r="IC22" s="128"/>
      <c r="ID22" s="54"/>
      <c r="IE22" s="64"/>
      <c r="IF22" s="69"/>
      <c r="IH22" s="21"/>
      <c r="IJ22" s="21"/>
      <c r="IK22" s="128"/>
      <c r="IL22" s="54"/>
      <c r="IM22" s="64"/>
      <c r="IN22" s="69"/>
      <c r="IO22">
        <v>1</v>
      </c>
      <c r="IP22" s="21"/>
      <c r="IQ22" s="128"/>
      <c r="IR22" s="54">
        <v>1</v>
      </c>
      <c r="IS22" s="64"/>
      <c r="IT22" s="69"/>
      <c r="IV22" s="21"/>
      <c r="IW22" s="128"/>
      <c r="IX22" s="54"/>
      <c r="IY22" s="64"/>
      <c r="IZ22" s="69"/>
      <c r="JB22" s="21"/>
      <c r="JC22" s="128"/>
      <c r="JD22" s="54"/>
      <c r="JE22" s="64"/>
      <c r="JF22" s="69"/>
      <c r="JH22" s="21"/>
      <c r="JI22" s="128"/>
      <c r="JJ22" s="54"/>
      <c r="JK22" s="64"/>
      <c r="JL22" s="69"/>
      <c r="JM22">
        <v>3</v>
      </c>
      <c r="JN22" s="21">
        <v>3</v>
      </c>
      <c r="JO22" s="128">
        <v>3</v>
      </c>
      <c r="JP22" s="54">
        <v>2</v>
      </c>
      <c r="JQ22" s="64">
        <v>1</v>
      </c>
      <c r="JR22" s="69"/>
      <c r="JS22">
        <v>1</v>
      </c>
      <c r="JT22" s="21"/>
      <c r="JU22" s="128"/>
      <c r="JV22" s="54">
        <v>1</v>
      </c>
      <c r="JW22" s="64">
        <v>1</v>
      </c>
      <c r="JX22" s="69">
        <v>1</v>
      </c>
      <c r="JY22">
        <v>1</v>
      </c>
      <c r="JZ22" s="21">
        <v>1</v>
      </c>
      <c r="KA22" s="128">
        <v>1</v>
      </c>
      <c r="KB22" s="54">
        <v>1</v>
      </c>
      <c r="KC22" s="64">
        <v>1</v>
      </c>
      <c r="KD22" s="69">
        <v>1</v>
      </c>
      <c r="KF22" s="38"/>
      <c r="KG22" s="35"/>
      <c r="KI22" s="54"/>
      <c r="KJ22" s="64"/>
      <c r="KK22" s="69"/>
      <c r="KL22" s="126"/>
      <c r="KM22" s="127"/>
      <c r="KO22" s="38"/>
      <c r="KP22" s="83"/>
      <c r="KQ22" s="158"/>
      <c r="KR22" s="174"/>
      <c r="KS22" s="38"/>
      <c r="KT22" s="35"/>
      <c r="KV22" s="54"/>
      <c r="KW22" s="64"/>
      <c r="KX22" s="69"/>
      <c r="KY22" s="126"/>
      <c r="KZ22" s="127">
        <v>1</v>
      </c>
      <c r="LB22" s="38">
        <v>1</v>
      </c>
      <c r="LC22" s="83">
        <v>1</v>
      </c>
      <c r="LD22" s="158">
        <v>1</v>
      </c>
      <c r="LE22" s="174">
        <v>1</v>
      </c>
      <c r="LF22" s="38"/>
      <c r="LG22" s="35"/>
      <c r="LI22" s="54">
        <v>1</v>
      </c>
      <c r="LJ22" s="64">
        <v>1</v>
      </c>
      <c r="LK22" s="69">
        <v>1</v>
      </c>
      <c r="LL22" s="126">
        <v>1</v>
      </c>
      <c r="LM22" s="127">
        <v>2</v>
      </c>
      <c r="LN22" s="4">
        <v>1</v>
      </c>
      <c r="LO22" s="38">
        <v>1</v>
      </c>
      <c r="LP22" s="83">
        <v>1</v>
      </c>
      <c r="LQ22" s="158">
        <v>1</v>
      </c>
      <c r="LR22" s="174">
        <v>1</v>
      </c>
      <c r="LS22" s="38"/>
      <c r="LT22" s="35"/>
      <c r="LV22" s="54"/>
      <c r="LW22" s="64"/>
      <c r="LX22" s="69"/>
      <c r="LY22" s="126"/>
      <c r="LZ22" s="127"/>
      <c r="MB22" s="38"/>
      <c r="MC22" s="83"/>
      <c r="MD22" s="158"/>
      <c r="ME22" s="174"/>
      <c r="MF22" s="38"/>
      <c r="MG22" s="35"/>
      <c r="MI22" s="54"/>
      <c r="MJ22" s="64"/>
      <c r="MK22" s="69"/>
      <c r="ML22" s="126"/>
      <c r="MM22" s="127"/>
      <c r="MO22" s="38"/>
      <c r="MP22" s="83"/>
      <c r="MQ22" s="158"/>
      <c r="MR22" s="174"/>
      <c r="MT22" s="4">
        <f t="shared" si="10"/>
        <v>171</v>
      </c>
      <c r="NC22" s="21"/>
      <c r="ND22" s="128"/>
      <c r="NE22" s="54"/>
    </row>
    <row r="23" spans="1:369" x14ac:dyDescent="0.15">
      <c r="A23" s="2" t="s">
        <v>46</v>
      </c>
      <c r="C23" s="21"/>
      <c r="D23" s="128"/>
      <c r="E23" s="54"/>
      <c r="F23" s="64">
        <v>1</v>
      </c>
      <c r="G23" s="69">
        <v>1</v>
      </c>
      <c r="H23" s="127"/>
      <c r="J23" s="21"/>
      <c r="K23" s="128">
        <v>1</v>
      </c>
      <c r="L23" s="54">
        <v>1</v>
      </c>
      <c r="M23" s="64">
        <v>1</v>
      </c>
      <c r="N23" s="69">
        <v>1</v>
      </c>
      <c r="O23" s="127"/>
      <c r="Q23" s="21"/>
      <c r="R23" s="128"/>
      <c r="S23" s="54"/>
      <c r="T23" s="64"/>
      <c r="U23" s="69"/>
      <c r="V23" s="127"/>
      <c r="X23" s="21">
        <v>1</v>
      </c>
      <c r="Y23" s="128">
        <v>1</v>
      </c>
      <c r="Z23" s="54">
        <v>1</v>
      </c>
      <c r="AA23" s="64">
        <v>1</v>
      </c>
      <c r="AB23" s="69"/>
      <c r="AC23" s="127">
        <v>1</v>
      </c>
      <c r="AE23" s="21"/>
      <c r="AF23" s="128"/>
      <c r="AG23" s="54"/>
      <c r="AH23" s="64"/>
      <c r="AI23" s="69"/>
      <c r="AJ23" s="127"/>
      <c r="AK23">
        <v>1</v>
      </c>
      <c r="AL23" s="21">
        <v>1</v>
      </c>
      <c r="AM23" s="128"/>
      <c r="AN23" s="54">
        <v>1</v>
      </c>
      <c r="AO23" s="64">
        <v>1</v>
      </c>
      <c r="AP23" s="69">
        <v>2</v>
      </c>
      <c r="AQ23" s="127">
        <v>1</v>
      </c>
      <c r="AR23">
        <v>1</v>
      </c>
      <c r="AS23" s="21">
        <v>1</v>
      </c>
      <c r="AT23" s="128"/>
      <c r="AU23" s="54">
        <v>2</v>
      </c>
      <c r="AV23" s="64">
        <v>1</v>
      </c>
      <c r="AW23" s="69">
        <v>1</v>
      </c>
      <c r="AX23" s="127">
        <v>1</v>
      </c>
      <c r="AZ23" s="21"/>
      <c r="BA23" s="128"/>
      <c r="BB23" s="54"/>
      <c r="BC23" s="64"/>
      <c r="BD23" s="69">
        <v>1</v>
      </c>
      <c r="BE23" s="127"/>
      <c r="BF23">
        <v>1</v>
      </c>
      <c r="BG23" s="21"/>
      <c r="BH23" s="128"/>
      <c r="BI23" s="54"/>
      <c r="BJ23" s="64">
        <v>1</v>
      </c>
      <c r="BK23" s="69">
        <v>1</v>
      </c>
      <c r="BL23" s="127">
        <v>1</v>
      </c>
      <c r="BN23" s="21"/>
      <c r="BO23" s="128"/>
      <c r="BP23" s="54"/>
      <c r="BQ23" s="64">
        <v>1</v>
      </c>
      <c r="BR23" s="69">
        <v>1</v>
      </c>
      <c r="BS23" s="127">
        <v>1</v>
      </c>
      <c r="BT23">
        <v>2</v>
      </c>
      <c r="BU23" s="21"/>
      <c r="BV23" s="128"/>
      <c r="BW23" s="54">
        <v>1</v>
      </c>
      <c r="BX23" s="64">
        <v>1</v>
      </c>
      <c r="BY23" s="69">
        <v>1</v>
      </c>
      <c r="BZ23" s="127">
        <v>1</v>
      </c>
      <c r="CB23" s="21">
        <v>1</v>
      </c>
      <c r="CC23" s="128">
        <v>1</v>
      </c>
      <c r="CD23" s="54">
        <v>2</v>
      </c>
      <c r="CE23" s="64">
        <v>2</v>
      </c>
      <c r="CF23" s="69">
        <v>2</v>
      </c>
      <c r="CG23" s="127">
        <v>1</v>
      </c>
      <c r="CI23" s="21"/>
      <c r="CJ23" s="128"/>
      <c r="CK23" s="54"/>
      <c r="CL23" s="64"/>
      <c r="CM23" s="69"/>
      <c r="CN23" s="127"/>
      <c r="CP23" s="21"/>
      <c r="CQ23" s="128"/>
      <c r="CR23" s="54"/>
      <c r="CS23" s="64"/>
      <c r="CT23" s="69"/>
      <c r="CV23" s="21"/>
      <c r="CW23" s="128"/>
      <c r="CX23" s="54"/>
      <c r="CY23" s="64"/>
      <c r="CZ23" s="69"/>
      <c r="DB23" s="21"/>
      <c r="DC23" s="128"/>
      <c r="DD23" s="54"/>
      <c r="DE23" s="64"/>
      <c r="DF23" s="69"/>
      <c r="DG23">
        <v>3</v>
      </c>
      <c r="DH23" s="21">
        <v>1</v>
      </c>
      <c r="DI23" s="128">
        <v>1</v>
      </c>
      <c r="DJ23" s="54">
        <v>1</v>
      </c>
      <c r="DK23" s="64">
        <v>2</v>
      </c>
      <c r="DL23" s="69">
        <v>1</v>
      </c>
      <c r="DN23" s="21">
        <v>1</v>
      </c>
      <c r="DO23" s="128">
        <v>2</v>
      </c>
      <c r="DP23" s="54">
        <v>2</v>
      </c>
      <c r="DQ23" s="64">
        <v>3</v>
      </c>
      <c r="DR23" s="69">
        <v>2</v>
      </c>
      <c r="DT23" s="21"/>
      <c r="DU23" s="128"/>
      <c r="DV23" s="54"/>
      <c r="DW23" s="64"/>
      <c r="DX23" s="69"/>
      <c r="DZ23" s="21"/>
      <c r="EA23" s="128"/>
      <c r="EB23" s="54"/>
      <c r="EC23" s="64"/>
      <c r="ED23" s="69"/>
      <c r="EF23" s="21"/>
      <c r="EG23" s="128"/>
      <c r="EH23" s="54"/>
      <c r="EI23" s="64"/>
      <c r="EJ23" s="69"/>
      <c r="EL23" s="21"/>
      <c r="EM23" s="128"/>
      <c r="EN23" s="54"/>
      <c r="EO23" s="64"/>
      <c r="EP23" s="69"/>
      <c r="ER23" s="21"/>
      <c r="ES23" s="128"/>
      <c r="ET23" s="54"/>
      <c r="EU23" s="64"/>
      <c r="EV23" s="69"/>
      <c r="EX23" s="21"/>
      <c r="EY23" s="128"/>
      <c r="EZ23" s="54"/>
      <c r="FA23" s="64"/>
      <c r="FB23" s="69"/>
      <c r="FD23" s="21"/>
      <c r="FE23" s="128"/>
      <c r="FF23" s="54"/>
      <c r="FG23" s="64"/>
      <c r="FH23" s="69"/>
      <c r="FJ23" s="21"/>
      <c r="FK23" s="128"/>
      <c r="FL23" s="54"/>
      <c r="FM23" s="64"/>
      <c r="FN23" s="69"/>
      <c r="FO23" s="128"/>
      <c r="FP23" s="54"/>
      <c r="FQ23" s="64"/>
      <c r="FR23" s="69"/>
      <c r="FT23" s="21"/>
      <c r="FU23" s="128"/>
      <c r="FV23" s="54"/>
      <c r="FW23" s="64"/>
      <c r="FX23" s="69"/>
      <c r="FZ23" s="21"/>
      <c r="GA23" s="128"/>
      <c r="GB23" s="54"/>
      <c r="GC23" s="64"/>
      <c r="GD23" s="69"/>
      <c r="GF23" s="21">
        <v>1</v>
      </c>
      <c r="GG23" s="128"/>
      <c r="GH23" s="54"/>
      <c r="GI23" s="64"/>
      <c r="GJ23" s="69"/>
      <c r="GL23" s="21"/>
      <c r="GM23" s="128"/>
      <c r="GN23" s="54"/>
      <c r="GO23" s="64"/>
      <c r="GP23" s="69">
        <v>1</v>
      </c>
      <c r="GR23" s="21">
        <v>1</v>
      </c>
      <c r="GS23" s="128">
        <v>2</v>
      </c>
      <c r="GT23" s="54">
        <v>1</v>
      </c>
      <c r="GU23" s="64">
        <v>1</v>
      </c>
      <c r="GV23" s="69">
        <v>1</v>
      </c>
      <c r="GX23" s="21"/>
      <c r="GY23" s="128"/>
      <c r="GZ23" s="54"/>
      <c r="HA23" s="64"/>
      <c r="HB23" s="69"/>
      <c r="HD23" s="21"/>
      <c r="HE23" s="128"/>
      <c r="HF23" s="54"/>
      <c r="HG23" s="64"/>
      <c r="HH23" s="69"/>
      <c r="HJ23" s="21"/>
      <c r="HK23" s="128"/>
      <c r="HL23" s="54"/>
      <c r="HM23" s="64"/>
      <c r="HN23" s="69"/>
      <c r="HP23" s="21"/>
      <c r="HQ23" s="128"/>
      <c r="HR23" s="54"/>
      <c r="HS23" s="64"/>
      <c r="HT23" s="69"/>
      <c r="HV23" s="21"/>
      <c r="HW23" s="128"/>
      <c r="HX23" s="54"/>
      <c r="HY23" s="64"/>
      <c r="HZ23" s="69"/>
      <c r="IA23">
        <v>1</v>
      </c>
      <c r="IB23" s="21">
        <v>1</v>
      </c>
      <c r="IC23" s="128">
        <v>1</v>
      </c>
      <c r="ID23" s="54"/>
      <c r="IE23" s="64">
        <v>1</v>
      </c>
      <c r="IF23" s="69">
        <v>1</v>
      </c>
      <c r="IH23" s="21"/>
      <c r="IJ23" s="21"/>
      <c r="IK23" s="128"/>
      <c r="IL23" s="54"/>
      <c r="IM23" s="64"/>
      <c r="IN23" s="69"/>
      <c r="IP23" s="21"/>
      <c r="IQ23" s="128"/>
      <c r="IR23" s="54"/>
      <c r="IS23" s="64"/>
      <c r="IT23" s="69"/>
      <c r="IV23" s="21"/>
      <c r="IW23" s="128"/>
      <c r="IX23" s="54"/>
      <c r="IY23" s="64">
        <v>1</v>
      </c>
      <c r="IZ23" s="69"/>
      <c r="JB23" s="21"/>
      <c r="JC23" s="128"/>
      <c r="JD23" s="54"/>
      <c r="JE23" s="64"/>
      <c r="JF23" s="69"/>
      <c r="JG23">
        <v>2</v>
      </c>
      <c r="JH23" s="21"/>
      <c r="JI23" s="128"/>
      <c r="JJ23" s="54"/>
      <c r="JK23" s="64"/>
      <c r="JL23" s="69"/>
      <c r="JM23">
        <v>2</v>
      </c>
      <c r="JN23" s="21">
        <v>1</v>
      </c>
      <c r="JO23" s="128">
        <v>1</v>
      </c>
      <c r="JP23" s="54"/>
      <c r="JQ23" s="64"/>
      <c r="JR23" s="69"/>
      <c r="JT23" s="21">
        <v>1</v>
      </c>
      <c r="JU23" s="128">
        <v>1</v>
      </c>
      <c r="JV23" s="54">
        <v>1</v>
      </c>
      <c r="JW23" s="64">
        <v>1</v>
      </c>
      <c r="JX23" s="69">
        <v>1</v>
      </c>
      <c r="JZ23" s="21"/>
      <c r="KA23" s="128"/>
      <c r="KB23" s="54"/>
      <c r="KC23" s="64"/>
      <c r="KD23" s="69"/>
      <c r="KF23" s="38"/>
      <c r="KG23" s="35"/>
      <c r="KI23" s="54"/>
      <c r="KJ23" s="64"/>
      <c r="KK23" s="69"/>
      <c r="KL23" s="126"/>
      <c r="KM23" s="127"/>
      <c r="KO23" s="38"/>
      <c r="KP23" s="83"/>
      <c r="KQ23" s="158"/>
      <c r="KR23" s="174"/>
      <c r="KS23" s="38"/>
      <c r="KT23" s="35"/>
      <c r="KV23" s="54"/>
      <c r="KW23" s="64"/>
      <c r="KX23" s="69"/>
      <c r="KY23" s="126"/>
      <c r="KZ23" s="127">
        <v>2</v>
      </c>
      <c r="LA23" s="4">
        <v>1</v>
      </c>
      <c r="LB23" s="38">
        <v>1</v>
      </c>
      <c r="LC23" s="83"/>
      <c r="LD23" s="158">
        <v>1</v>
      </c>
      <c r="LE23" s="174"/>
      <c r="LF23" s="38"/>
      <c r="LG23" s="35"/>
      <c r="LI23" s="54">
        <v>3</v>
      </c>
      <c r="LJ23" s="64">
        <v>2</v>
      </c>
      <c r="LK23" s="69">
        <v>2</v>
      </c>
      <c r="LL23" s="126">
        <v>1</v>
      </c>
      <c r="LM23" s="127">
        <v>1</v>
      </c>
      <c r="LN23" s="4">
        <v>1</v>
      </c>
      <c r="LO23" s="38">
        <v>1</v>
      </c>
      <c r="LP23" s="83">
        <v>1</v>
      </c>
      <c r="LQ23" s="158">
        <v>2</v>
      </c>
      <c r="LR23" s="174">
        <v>1</v>
      </c>
      <c r="LS23" s="38"/>
      <c r="LT23" s="35"/>
      <c r="LV23" s="54"/>
      <c r="LW23" s="64"/>
      <c r="LX23" s="69"/>
      <c r="LY23" s="126"/>
      <c r="LZ23" s="127"/>
      <c r="MB23" s="38"/>
      <c r="MC23" s="83"/>
      <c r="MD23" s="158"/>
      <c r="ME23" s="174"/>
      <c r="MF23" s="38"/>
      <c r="MG23" s="35"/>
      <c r="MI23" s="54"/>
      <c r="MJ23" s="64"/>
      <c r="MK23" s="69"/>
      <c r="ML23" s="126"/>
      <c r="MM23" s="127"/>
      <c r="MO23" s="38"/>
      <c r="MP23" s="83"/>
      <c r="MQ23" s="158"/>
      <c r="MR23" s="174"/>
      <c r="MT23" s="4">
        <f t="shared" si="10"/>
        <v>89</v>
      </c>
      <c r="NC23" s="21"/>
      <c r="ND23" s="128"/>
      <c r="NE23" s="54"/>
    </row>
    <row r="24" spans="1:369" x14ac:dyDescent="0.15">
      <c r="A24" s="2" t="s">
        <v>228</v>
      </c>
      <c r="C24" s="21"/>
      <c r="D24" s="128"/>
      <c r="E24" s="54"/>
      <c r="F24" s="64"/>
      <c r="G24" s="69"/>
      <c r="H24" s="127">
        <v>1</v>
      </c>
      <c r="J24" s="21"/>
      <c r="K24" s="128"/>
      <c r="L24" s="54"/>
      <c r="M24" s="64"/>
      <c r="N24" s="69"/>
      <c r="O24" s="127"/>
      <c r="Q24" s="21"/>
      <c r="R24" s="128"/>
      <c r="S24" s="54"/>
      <c r="T24" s="64"/>
      <c r="U24" s="69"/>
      <c r="V24" s="127"/>
      <c r="X24" s="21"/>
      <c r="Y24" s="128"/>
      <c r="Z24" s="54"/>
      <c r="AA24" s="64"/>
      <c r="AB24" s="69"/>
      <c r="AC24" s="127"/>
      <c r="AE24" s="21"/>
      <c r="AF24" s="128"/>
      <c r="AG24" s="54"/>
      <c r="AH24" s="64"/>
      <c r="AI24" s="69"/>
      <c r="AJ24" s="127"/>
      <c r="AL24" s="21"/>
      <c r="AM24" s="128"/>
      <c r="AN24" s="54"/>
      <c r="AO24" s="64"/>
      <c r="AP24" s="69"/>
      <c r="AQ24" s="127">
        <v>1</v>
      </c>
      <c r="AS24" s="21"/>
      <c r="AT24" s="128"/>
      <c r="AU24" s="54"/>
      <c r="AV24" s="64"/>
      <c r="AW24" s="69"/>
      <c r="AX24" s="127"/>
      <c r="AZ24" s="21"/>
      <c r="BA24" s="128"/>
      <c r="BB24" s="54"/>
      <c r="BC24" s="64"/>
      <c r="BD24" s="69"/>
      <c r="BE24" s="127"/>
      <c r="BG24" s="21"/>
      <c r="BH24" s="128"/>
      <c r="BI24" s="54"/>
      <c r="BJ24" s="64"/>
      <c r="BK24" s="69"/>
      <c r="BL24" s="127"/>
      <c r="BN24" s="21"/>
      <c r="BO24" s="128"/>
      <c r="BP24" s="54"/>
      <c r="BQ24" s="64"/>
      <c r="BR24" s="69"/>
      <c r="BS24" s="127"/>
      <c r="BU24" s="21"/>
      <c r="BV24" s="128"/>
      <c r="BW24" s="54"/>
      <c r="BX24" s="64"/>
      <c r="BY24" s="69"/>
      <c r="BZ24" s="127"/>
      <c r="CB24" s="21"/>
      <c r="CC24" s="128"/>
      <c r="CD24" s="54">
        <v>1</v>
      </c>
      <c r="CE24" s="64"/>
      <c r="CF24" s="69"/>
      <c r="CG24" s="127">
        <v>1</v>
      </c>
      <c r="CI24" s="21"/>
      <c r="CJ24" s="128"/>
      <c r="CK24" s="54"/>
      <c r="CL24" s="64"/>
      <c r="CM24" s="69"/>
      <c r="CN24" s="127"/>
      <c r="CP24" s="21"/>
      <c r="CQ24" s="128"/>
      <c r="CR24" s="54"/>
      <c r="CS24" s="64"/>
      <c r="CT24" s="69"/>
      <c r="CV24" s="21"/>
      <c r="CW24" s="128"/>
      <c r="CX24" s="54"/>
      <c r="CY24" s="64"/>
      <c r="CZ24" s="69"/>
      <c r="DB24" s="21"/>
      <c r="DC24" s="128"/>
      <c r="DD24" s="54"/>
      <c r="DE24" s="64"/>
      <c r="DF24" s="69"/>
      <c r="DH24" s="21"/>
      <c r="DI24" s="128"/>
      <c r="DJ24" s="54"/>
      <c r="DK24" s="64"/>
      <c r="DL24" s="69"/>
      <c r="DN24" s="21"/>
      <c r="DO24" s="128"/>
      <c r="DP24" s="54"/>
      <c r="DQ24" s="64"/>
      <c r="DR24" s="69"/>
      <c r="DT24" s="21"/>
      <c r="DU24" s="128"/>
      <c r="DV24" s="54"/>
      <c r="DW24" s="64"/>
      <c r="DX24" s="69"/>
      <c r="DZ24" s="21"/>
      <c r="EA24" s="128"/>
      <c r="EB24" s="54"/>
      <c r="EC24" s="64"/>
      <c r="ED24" s="69"/>
      <c r="EF24" s="21"/>
      <c r="EG24" s="128"/>
      <c r="EH24" s="54"/>
      <c r="EI24" s="64"/>
      <c r="EJ24" s="69"/>
      <c r="EL24" s="21"/>
      <c r="EM24" s="128"/>
      <c r="EN24" s="54"/>
      <c r="EO24" s="64"/>
      <c r="EP24" s="69"/>
      <c r="ER24" s="21"/>
      <c r="ES24" s="128"/>
      <c r="ET24" s="54"/>
      <c r="EU24" s="64"/>
      <c r="EV24" s="69"/>
      <c r="EX24" s="21"/>
      <c r="EY24" s="128"/>
      <c r="EZ24" s="54"/>
      <c r="FA24" s="64"/>
      <c r="FB24" s="69"/>
      <c r="FD24" s="21"/>
      <c r="FE24" s="128"/>
      <c r="FF24" s="54"/>
      <c r="FG24" s="64"/>
      <c r="FH24" s="69"/>
      <c r="FJ24" s="21"/>
      <c r="FK24" s="128"/>
      <c r="FL24" s="54"/>
      <c r="FM24" s="64"/>
      <c r="FN24" s="69"/>
      <c r="FO24" s="128"/>
      <c r="FP24" s="54"/>
      <c r="FQ24" s="64"/>
      <c r="FR24" s="69"/>
      <c r="FT24" s="21"/>
      <c r="FU24" s="128"/>
      <c r="FV24" s="54"/>
      <c r="FW24" s="64"/>
      <c r="FX24" s="69"/>
      <c r="FZ24" s="21"/>
      <c r="GA24" s="128"/>
      <c r="GB24" s="54"/>
      <c r="GC24" s="64">
        <v>1</v>
      </c>
      <c r="GD24" s="69"/>
      <c r="GF24" s="21"/>
      <c r="GG24" s="128"/>
      <c r="GH24" s="54"/>
      <c r="GI24" s="64"/>
      <c r="GJ24" s="69"/>
      <c r="GL24" s="21"/>
      <c r="GM24" s="128"/>
      <c r="GN24" s="54"/>
      <c r="GO24" s="64"/>
      <c r="GP24" s="69"/>
      <c r="GR24" s="21"/>
      <c r="GS24" s="128"/>
      <c r="GT24" s="54"/>
      <c r="GU24" s="64"/>
      <c r="GV24" s="69"/>
      <c r="GX24" s="21"/>
      <c r="GY24" s="128"/>
      <c r="GZ24" s="54"/>
      <c r="HA24" s="64"/>
      <c r="HB24" s="69"/>
      <c r="HD24" s="21"/>
      <c r="HE24" s="128"/>
      <c r="HF24" s="54"/>
      <c r="HG24" s="64"/>
      <c r="HH24" s="69"/>
      <c r="HJ24" s="21"/>
      <c r="HK24" s="128"/>
      <c r="HL24" s="54"/>
      <c r="HM24" s="64"/>
      <c r="HN24" s="69"/>
      <c r="HP24" s="21"/>
      <c r="HQ24" s="128"/>
      <c r="HR24" s="54"/>
      <c r="HS24" s="64"/>
      <c r="HT24" s="69"/>
      <c r="HV24" s="21"/>
      <c r="HW24" s="128"/>
      <c r="HX24" s="54"/>
      <c r="HY24" s="64"/>
      <c r="HZ24" s="69"/>
      <c r="IB24" s="21"/>
      <c r="IC24" s="128"/>
      <c r="ID24" s="54"/>
      <c r="IE24" s="64"/>
      <c r="IF24" s="69"/>
      <c r="IH24" s="21"/>
      <c r="IJ24" s="21"/>
      <c r="IK24" s="128"/>
      <c r="IL24" s="54"/>
      <c r="IM24" s="64"/>
      <c r="IN24" s="69"/>
      <c r="IP24" s="21"/>
      <c r="IQ24" s="128"/>
      <c r="IR24" s="54"/>
      <c r="IS24" s="64"/>
      <c r="IT24" s="69"/>
      <c r="IV24" s="21"/>
      <c r="IW24" s="128"/>
      <c r="IX24" s="54"/>
      <c r="IY24" s="64"/>
      <c r="IZ24" s="69"/>
      <c r="JB24" s="21"/>
      <c r="JC24" s="128"/>
      <c r="JD24" s="54"/>
      <c r="JE24" s="64"/>
      <c r="JF24" s="69"/>
      <c r="JG24">
        <v>1</v>
      </c>
      <c r="JH24" s="21">
        <v>1</v>
      </c>
      <c r="JI24" s="128">
        <v>1</v>
      </c>
      <c r="JJ24" s="54">
        <v>1</v>
      </c>
      <c r="JK24" s="64"/>
      <c r="JL24" s="69"/>
      <c r="JN24" s="21"/>
      <c r="JO24" s="128"/>
      <c r="JP24" s="54"/>
      <c r="JQ24" s="64"/>
      <c r="JR24" s="69"/>
      <c r="JT24" s="21"/>
      <c r="JU24" s="128"/>
      <c r="JV24" s="54"/>
      <c r="JW24" s="64"/>
      <c r="JX24" s="69"/>
      <c r="JZ24" s="21"/>
      <c r="KA24" s="128"/>
      <c r="KB24" s="54"/>
      <c r="KC24" s="64"/>
      <c r="KD24" s="69"/>
      <c r="KF24" s="38"/>
      <c r="KG24" s="35"/>
      <c r="KI24" s="54"/>
      <c r="KJ24" s="64"/>
      <c r="KK24" s="69"/>
      <c r="KL24" s="126"/>
      <c r="KM24" s="127"/>
      <c r="KO24" s="38"/>
      <c r="KP24" s="83"/>
      <c r="KQ24" s="158"/>
      <c r="KR24" s="174"/>
      <c r="KS24" s="38"/>
      <c r="KT24" s="35"/>
      <c r="KV24" s="54"/>
      <c r="KW24" s="64"/>
      <c r="KX24" s="69"/>
      <c r="KY24" s="126"/>
      <c r="KZ24" s="127"/>
      <c r="LB24" s="38"/>
      <c r="LC24" s="83"/>
      <c r="LD24" s="158"/>
      <c r="LE24" s="174"/>
      <c r="LF24" s="38"/>
      <c r="LG24" s="35"/>
      <c r="LI24" s="54"/>
      <c r="LJ24" s="64"/>
      <c r="LK24" s="69"/>
      <c r="LL24" s="126"/>
      <c r="LM24" s="127"/>
      <c r="LO24" s="38"/>
      <c r="LP24" s="83"/>
      <c r="LQ24" s="158"/>
      <c r="LR24" s="174"/>
      <c r="LS24" s="38"/>
      <c r="LT24" s="35"/>
      <c r="LV24" s="54"/>
      <c r="LW24" s="64"/>
      <c r="LX24" s="69"/>
      <c r="LY24" s="126"/>
      <c r="LZ24" s="127"/>
      <c r="MB24" s="38"/>
      <c r="MC24" s="83"/>
      <c r="MD24" s="158"/>
      <c r="ME24" s="174"/>
      <c r="MF24" s="38"/>
      <c r="MG24" s="35"/>
      <c r="MI24" s="54"/>
      <c r="MJ24" s="64"/>
      <c r="MK24" s="69"/>
      <c r="ML24" s="126"/>
      <c r="MM24" s="127"/>
      <c r="MO24" s="38"/>
      <c r="MP24" s="83"/>
      <c r="MQ24" s="158"/>
      <c r="MR24" s="174"/>
      <c r="MT24" s="4">
        <f t="shared" si="10"/>
        <v>9</v>
      </c>
      <c r="NC24" s="21"/>
      <c r="ND24" s="128"/>
      <c r="NE24" s="54"/>
    </row>
    <row r="25" spans="1:369" x14ac:dyDescent="0.15">
      <c r="A25" s="5" t="s">
        <v>133</v>
      </c>
      <c r="C25" s="21"/>
      <c r="D25" s="128"/>
      <c r="E25" s="54"/>
      <c r="F25" s="64"/>
      <c r="G25" s="69"/>
      <c r="H25" s="127"/>
      <c r="J25" s="21"/>
      <c r="K25" s="128"/>
      <c r="L25" s="54"/>
      <c r="M25" s="64"/>
      <c r="N25" s="69"/>
      <c r="O25" s="127"/>
      <c r="Q25" s="21"/>
      <c r="R25" s="128"/>
      <c r="S25" s="54"/>
      <c r="T25" s="64"/>
      <c r="U25" s="69"/>
      <c r="V25" s="127"/>
      <c r="X25" s="21"/>
      <c r="Y25" s="128"/>
      <c r="Z25" s="54"/>
      <c r="AA25" s="64"/>
      <c r="AB25" s="69"/>
      <c r="AC25" s="127"/>
      <c r="AE25" s="21"/>
      <c r="AF25" s="128"/>
      <c r="AG25" s="54"/>
      <c r="AH25" s="64"/>
      <c r="AI25" s="69"/>
      <c r="AJ25" s="127"/>
      <c r="AL25" s="21"/>
      <c r="AM25" s="128"/>
      <c r="AN25" s="54"/>
      <c r="AO25" s="64"/>
      <c r="AP25" s="69"/>
      <c r="AQ25" s="127"/>
      <c r="AS25" s="21"/>
      <c r="AT25" s="128"/>
      <c r="AU25" s="54"/>
      <c r="AV25" s="64"/>
      <c r="AW25" s="69"/>
      <c r="AX25" s="127"/>
      <c r="AZ25" s="21"/>
      <c r="BA25" s="128"/>
      <c r="BB25" s="54"/>
      <c r="BC25" s="64"/>
      <c r="BD25" s="69"/>
      <c r="BE25" s="127"/>
      <c r="BG25" s="21"/>
      <c r="BH25" s="128"/>
      <c r="BI25" s="54"/>
      <c r="BJ25" s="64"/>
      <c r="BK25" s="69"/>
      <c r="BL25" s="127"/>
      <c r="BN25" s="21"/>
      <c r="BO25" s="128"/>
      <c r="BP25" s="54"/>
      <c r="BQ25" s="64">
        <v>1</v>
      </c>
      <c r="BR25" s="69"/>
      <c r="BS25" s="127"/>
      <c r="BU25" s="21"/>
      <c r="BV25" s="128"/>
      <c r="BW25" s="54"/>
      <c r="BX25" s="64"/>
      <c r="BY25" s="69"/>
      <c r="BZ25" s="127"/>
      <c r="CB25" s="21"/>
      <c r="CC25" s="128"/>
      <c r="CD25" s="54"/>
      <c r="CE25" s="64"/>
      <c r="CF25" s="69"/>
      <c r="CG25" s="127"/>
      <c r="CI25" s="21"/>
      <c r="CJ25" s="128"/>
      <c r="CK25" s="54"/>
      <c r="CL25" s="64"/>
      <c r="CM25" s="69"/>
      <c r="CN25" s="127"/>
      <c r="CP25" s="21"/>
      <c r="CQ25" s="128"/>
      <c r="CR25" s="54"/>
      <c r="CS25" s="64"/>
      <c r="CT25" s="69"/>
      <c r="CV25" s="21"/>
      <c r="CW25" s="128"/>
      <c r="CX25" s="54"/>
      <c r="CY25" s="64"/>
      <c r="CZ25" s="69"/>
      <c r="DB25" s="21"/>
      <c r="DC25" s="128"/>
      <c r="DD25" s="54"/>
      <c r="DE25" s="64"/>
      <c r="DF25" s="69"/>
      <c r="DH25" s="21"/>
      <c r="DI25" s="128"/>
      <c r="DJ25" s="54"/>
      <c r="DK25" s="64"/>
      <c r="DL25" s="69"/>
      <c r="DN25" s="21"/>
      <c r="DO25" s="128"/>
      <c r="DP25" s="54"/>
      <c r="DQ25" s="64"/>
      <c r="DR25" s="69"/>
      <c r="DT25" s="21"/>
      <c r="DU25" s="128"/>
      <c r="DV25" s="54"/>
      <c r="DW25" s="64"/>
      <c r="DX25" s="69"/>
      <c r="DZ25" s="21"/>
      <c r="EA25" s="128"/>
      <c r="EB25" s="54"/>
      <c r="EC25" s="64"/>
      <c r="ED25" s="69"/>
      <c r="EF25" s="21"/>
      <c r="EG25" s="128"/>
      <c r="EH25" s="54"/>
      <c r="EI25" s="64"/>
      <c r="EJ25" s="69"/>
      <c r="EL25" s="21"/>
      <c r="EM25" s="128"/>
      <c r="EN25" s="54"/>
      <c r="EO25" s="64"/>
      <c r="EP25" s="69"/>
      <c r="ER25" s="21"/>
      <c r="ES25" s="128"/>
      <c r="ET25" s="54"/>
      <c r="EU25" s="64"/>
      <c r="EV25" s="69"/>
      <c r="EX25" s="21"/>
      <c r="EY25" s="128"/>
      <c r="EZ25" s="54"/>
      <c r="FA25" s="64"/>
      <c r="FB25" s="69"/>
      <c r="FD25" s="21"/>
      <c r="FE25" s="128"/>
      <c r="FF25" s="54"/>
      <c r="FG25" s="64"/>
      <c r="FH25" s="69"/>
      <c r="FJ25" s="21"/>
      <c r="FK25" s="128"/>
      <c r="FL25" s="54"/>
      <c r="FM25" s="64"/>
      <c r="FN25" s="69"/>
      <c r="FO25" s="128"/>
      <c r="FP25" s="54"/>
      <c r="FQ25" s="64"/>
      <c r="FR25" s="69"/>
      <c r="FT25" s="21"/>
      <c r="FU25" s="128"/>
      <c r="FV25" s="54"/>
      <c r="FW25" s="64"/>
      <c r="FX25" s="69"/>
      <c r="FZ25" s="21"/>
      <c r="GA25" s="128"/>
      <c r="GB25" s="54"/>
      <c r="GC25" s="64"/>
      <c r="GD25" s="69"/>
      <c r="GF25" s="21"/>
      <c r="GG25" s="128"/>
      <c r="GH25" s="54"/>
      <c r="GI25" s="64"/>
      <c r="GJ25" s="69"/>
      <c r="GL25" s="21"/>
      <c r="GM25" s="128"/>
      <c r="GN25" s="54"/>
      <c r="GO25" s="64"/>
      <c r="GP25" s="69"/>
      <c r="GR25" s="21"/>
      <c r="GS25" s="128"/>
      <c r="GT25" s="54"/>
      <c r="GU25" s="64"/>
      <c r="GV25" s="69"/>
      <c r="GX25" s="21"/>
      <c r="GY25" s="128"/>
      <c r="GZ25" s="54"/>
      <c r="HA25" s="64"/>
      <c r="HB25" s="69"/>
      <c r="HD25" s="21"/>
      <c r="HE25" s="128"/>
      <c r="HF25" s="54"/>
      <c r="HG25" s="64"/>
      <c r="HH25" s="69"/>
      <c r="HJ25" s="21"/>
      <c r="HK25" s="128"/>
      <c r="HL25" s="54"/>
      <c r="HM25" s="64"/>
      <c r="HN25" s="69"/>
      <c r="HP25" s="21"/>
      <c r="HQ25" s="128"/>
      <c r="HR25" s="54"/>
      <c r="HS25" s="64"/>
      <c r="HT25" s="69"/>
      <c r="HV25" s="21"/>
      <c r="HW25" s="128"/>
      <c r="HX25" s="54"/>
      <c r="HY25" s="64"/>
      <c r="HZ25" s="69"/>
      <c r="IB25" s="21"/>
      <c r="IC25" s="128"/>
      <c r="ID25" s="54"/>
      <c r="IE25" s="64"/>
      <c r="IF25" s="69"/>
      <c r="IH25" s="21"/>
      <c r="IJ25" s="21"/>
      <c r="IK25" s="128"/>
      <c r="IL25" s="54"/>
      <c r="IM25" s="64"/>
      <c r="IN25" s="69"/>
      <c r="IP25" s="21"/>
      <c r="IQ25" s="128"/>
      <c r="IR25" s="54"/>
      <c r="IS25" s="64"/>
      <c r="IT25" s="69"/>
      <c r="IV25" s="21"/>
      <c r="IW25" s="128"/>
      <c r="IX25" s="54"/>
      <c r="IY25" s="64"/>
      <c r="IZ25" s="69"/>
      <c r="JB25" s="21"/>
      <c r="JC25" s="128"/>
      <c r="JD25" s="54"/>
      <c r="JE25" s="64"/>
      <c r="JF25" s="69"/>
      <c r="JH25" s="21"/>
      <c r="JI25" s="128"/>
      <c r="JJ25" s="54"/>
      <c r="JK25" s="64"/>
      <c r="JL25" s="69"/>
      <c r="JN25" s="21"/>
      <c r="JO25" s="128"/>
      <c r="JP25" s="54"/>
      <c r="JQ25" s="64"/>
      <c r="JR25" s="69"/>
      <c r="JT25" s="21"/>
      <c r="JU25" s="128"/>
      <c r="JV25" s="54"/>
      <c r="JW25" s="64"/>
      <c r="JX25" s="69"/>
      <c r="JZ25" s="21"/>
      <c r="KA25" s="128"/>
      <c r="KB25" s="54"/>
      <c r="KC25" s="64"/>
      <c r="KD25" s="69"/>
      <c r="KF25" s="38"/>
      <c r="KG25" s="35"/>
      <c r="KI25" s="54"/>
      <c r="KJ25" s="64"/>
      <c r="KK25" s="69"/>
      <c r="KL25" s="126"/>
      <c r="KM25" s="127"/>
      <c r="KO25" s="38"/>
      <c r="KP25" s="83"/>
      <c r="KQ25" s="158"/>
      <c r="KR25" s="174"/>
      <c r="KS25" s="38"/>
      <c r="KT25" s="35"/>
      <c r="KV25" s="54"/>
      <c r="KW25" s="64"/>
      <c r="KX25" s="69"/>
      <c r="KY25" s="126"/>
      <c r="KZ25" s="127"/>
      <c r="LB25" s="38"/>
      <c r="LC25" s="83"/>
      <c r="LD25" s="158"/>
      <c r="LE25" s="174"/>
      <c r="LF25" s="38"/>
      <c r="LG25" s="35"/>
      <c r="LI25" s="54"/>
      <c r="LJ25" s="64"/>
      <c r="LK25" s="69"/>
      <c r="LL25" s="126"/>
      <c r="LM25" s="127"/>
      <c r="LO25" s="38"/>
      <c r="LP25" s="83"/>
      <c r="LQ25" s="158"/>
      <c r="LR25" s="174"/>
      <c r="LS25" s="38"/>
      <c r="LT25" s="35"/>
      <c r="LV25" s="54"/>
      <c r="LW25" s="64"/>
      <c r="LX25" s="69"/>
      <c r="LY25" s="126"/>
      <c r="LZ25" s="127"/>
      <c r="MB25" s="38"/>
      <c r="MC25" s="83"/>
      <c r="MD25" s="158"/>
      <c r="ME25" s="174"/>
      <c r="MF25" s="38"/>
      <c r="MG25" s="35"/>
      <c r="MI25" s="54"/>
      <c r="MJ25" s="64"/>
      <c r="MK25" s="69"/>
      <c r="ML25" s="126"/>
      <c r="MM25" s="127"/>
      <c r="MO25" s="38"/>
      <c r="MP25" s="83"/>
      <c r="MQ25" s="158"/>
      <c r="MR25" s="174"/>
      <c r="MT25" s="4">
        <f t="shared" si="10"/>
        <v>1</v>
      </c>
      <c r="NC25" s="21"/>
      <c r="ND25" s="128"/>
      <c r="NE25" s="54"/>
    </row>
    <row r="26" spans="1:369" x14ac:dyDescent="0.15">
      <c r="A26" s="5" t="s">
        <v>212</v>
      </c>
      <c r="C26" s="21"/>
      <c r="D26" s="128"/>
      <c r="E26" s="54"/>
      <c r="F26" s="64"/>
      <c r="G26" s="69"/>
      <c r="H26" s="127"/>
      <c r="J26" s="21"/>
      <c r="K26" s="128"/>
      <c r="L26" s="54"/>
      <c r="M26" s="64"/>
      <c r="N26" s="69"/>
      <c r="O26" s="127"/>
      <c r="Q26" s="21"/>
      <c r="R26" s="128"/>
      <c r="S26" s="54"/>
      <c r="T26" s="64"/>
      <c r="U26" s="69"/>
      <c r="V26" s="127"/>
      <c r="X26" s="21"/>
      <c r="Y26" s="128"/>
      <c r="Z26" s="54"/>
      <c r="AA26" s="64"/>
      <c r="AB26" s="69"/>
      <c r="AC26" s="127"/>
      <c r="AE26" s="21"/>
      <c r="AF26" s="128"/>
      <c r="AG26" s="54"/>
      <c r="AH26" s="64"/>
      <c r="AI26" s="69"/>
      <c r="AJ26" s="127"/>
      <c r="AL26" s="21"/>
      <c r="AM26" s="128"/>
      <c r="AN26" s="54"/>
      <c r="AO26" s="64"/>
      <c r="AP26" s="69"/>
      <c r="AQ26" s="127"/>
      <c r="AS26" s="21"/>
      <c r="AT26" s="128"/>
      <c r="AU26" s="54"/>
      <c r="AV26" s="64"/>
      <c r="AW26" s="69"/>
      <c r="AX26" s="127"/>
      <c r="AZ26" s="21"/>
      <c r="BA26" s="128"/>
      <c r="BB26" s="54"/>
      <c r="BC26" s="64"/>
      <c r="BD26" s="69"/>
      <c r="BE26" s="127"/>
      <c r="BG26" s="21"/>
      <c r="BH26" s="128"/>
      <c r="BI26" s="54"/>
      <c r="BJ26" s="64"/>
      <c r="BK26" s="69"/>
      <c r="BL26" s="127"/>
      <c r="BN26" s="21"/>
      <c r="BO26" s="128"/>
      <c r="BP26" s="54"/>
      <c r="BQ26" s="64"/>
      <c r="BR26" s="69"/>
      <c r="BS26" s="127"/>
      <c r="BU26" s="21"/>
      <c r="BV26" s="128"/>
      <c r="BW26" s="54"/>
      <c r="BX26" s="64"/>
      <c r="BY26" s="69"/>
      <c r="BZ26" s="127"/>
      <c r="CB26" s="21"/>
      <c r="CC26" s="128"/>
      <c r="CD26" s="54"/>
      <c r="CE26" s="64"/>
      <c r="CF26" s="69"/>
      <c r="CG26" s="127"/>
      <c r="CI26" s="21"/>
      <c r="CJ26" s="128"/>
      <c r="CK26" s="54"/>
      <c r="CL26" s="64"/>
      <c r="CM26" s="69"/>
      <c r="CN26" s="127"/>
      <c r="CP26" s="21"/>
      <c r="CQ26" s="128"/>
      <c r="CR26" s="54"/>
      <c r="CS26" s="64"/>
      <c r="CT26" s="69"/>
      <c r="CV26" s="21"/>
      <c r="CW26" s="128"/>
      <c r="CX26" s="54"/>
      <c r="CY26" s="64"/>
      <c r="CZ26" s="69"/>
      <c r="DB26" s="21"/>
      <c r="DC26" s="128"/>
      <c r="DD26" s="54"/>
      <c r="DE26" s="64"/>
      <c r="DF26" s="69"/>
      <c r="DH26" s="21"/>
      <c r="DI26" s="128"/>
      <c r="DJ26" s="54"/>
      <c r="DK26" s="64"/>
      <c r="DL26" s="69"/>
      <c r="DN26" s="21"/>
      <c r="DO26" s="128"/>
      <c r="DP26" s="54"/>
      <c r="DQ26" s="64"/>
      <c r="DR26" s="69"/>
      <c r="DT26" s="21"/>
      <c r="DU26" s="128"/>
      <c r="DV26" s="54"/>
      <c r="DW26" s="64"/>
      <c r="DX26" s="69"/>
      <c r="DZ26" s="21"/>
      <c r="EA26" s="128"/>
      <c r="EB26" s="54"/>
      <c r="EC26" s="64"/>
      <c r="ED26" s="69"/>
      <c r="EF26" s="21"/>
      <c r="EG26" s="128"/>
      <c r="EH26" s="54"/>
      <c r="EI26" s="64"/>
      <c r="EJ26" s="69"/>
      <c r="EL26" s="21"/>
      <c r="EM26" s="128"/>
      <c r="EN26" s="54"/>
      <c r="EO26" s="64"/>
      <c r="EP26" s="69"/>
      <c r="ER26" s="21"/>
      <c r="ES26" s="128"/>
      <c r="ET26" s="54"/>
      <c r="EU26" s="64"/>
      <c r="EV26" s="69"/>
      <c r="EX26" s="21"/>
      <c r="EY26" s="128"/>
      <c r="EZ26" s="54"/>
      <c r="FA26" s="64"/>
      <c r="FB26" s="69"/>
      <c r="FD26" s="21"/>
      <c r="FE26" s="128"/>
      <c r="FF26" s="54"/>
      <c r="FG26" s="64"/>
      <c r="FH26" s="69"/>
      <c r="FJ26" s="21"/>
      <c r="FK26" s="128"/>
      <c r="FL26" s="54"/>
      <c r="FM26" s="64"/>
      <c r="FN26" s="69"/>
      <c r="FO26" s="128"/>
      <c r="FP26" s="54"/>
      <c r="FQ26" s="64"/>
      <c r="FR26" s="69"/>
      <c r="FT26" s="21"/>
      <c r="FU26" s="128"/>
      <c r="FV26" s="54"/>
      <c r="FW26" s="64"/>
      <c r="FX26" s="69"/>
      <c r="FZ26" s="21"/>
      <c r="GA26" s="128"/>
      <c r="GB26" s="54"/>
      <c r="GC26" s="64"/>
      <c r="GD26" s="69"/>
      <c r="GF26" s="21"/>
      <c r="GG26" s="128"/>
      <c r="GH26" s="54"/>
      <c r="GI26" s="64"/>
      <c r="GJ26" s="69"/>
      <c r="GL26" s="21"/>
      <c r="GM26" s="128"/>
      <c r="GN26" s="54"/>
      <c r="GO26" s="64"/>
      <c r="GP26" s="69"/>
      <c r="GR26" s="21"/>
      <c r="GS26" s="128"/>
      <c r="GT26" s="54"/>
      <c r="GU26" s="64"/>
      <c r="GV26" s="69"/>
      <c r="GX26" s="21"/>
      <c r="GY26" s="128"/>
      <c r="GZ26" s="54"/>
      <c r="HA26" s="64"/>
      <c r="HB26" s="69"/>
      <c r="HD26" s="21"/>
      <c r="HE26" s="128"/>
      <c r="HF26" s="54"/>
      <c r="HG26" s="64"/>
      <c r="HH26" s="69"/>
      <c r="HJ26" s="21"/>
      <c r="HK26" s="128"/>
      <c r="HL26" s="54"/>
      <c r="HM26" s="64"/>
      <c r="HN26" s="69"/>
      <c r="HP26" s="21"/>
      <c r="HQ26" s="128"/>
      <c r="HR26" s="54"/>
      <c r="HS26" s="64"/>
      <c r="HT26" s="69"/>
      <c r="HV26" s="21"/>
      <c r="HW26" s="128"/>
      <c r="HX26" s="54"/>
      <c r="HY26" s="64"/>
      <c r="HZ26" s="69"/>
      <c r="IB26" s="21"/>
      <c r="IC26" s="128"/>
      <c r="ID26" s="54"/>
      <c r="IE26" s="64"/>
      <c r="IF26" s="69">
        <v>1</v>
      </c>
      <c r="IH26" s="21"/>
      <c r="IJ26" s="21"/>
      <c r="IK26" s="128"/>
      <c r="IL26" s="54"/>
      <c r="IM26" s="64"/>
      <c r="IN26" s="69"/>
      <c r="IP26" s="21"/>
      <c r="IQ26" s="128"/>
      <c r="IR26" s="54"/>
      <c r="IS26" s="64"/>
      <c r="IT26" s="69"/>
      <c r="IV26" s="21"/>
      <c r="IW26" s="128"/>
      <c r="IX26" s="54"/>
      <c r="IY26" s="64"/>
      <c r="IZ26" s="69"/>
      <c r="JB26" s="21"/>
      <c r="JC26" s="128"/>
      <c r="JD26" s="54"/>
      <c r="JE26" s="64"/>
      <c r="JF26" s="69"/>
      <c r="JH26" s="21"/>
      <c r="JI26" s="128"/>
      <c r="JJ26" s="54"/>
      <c r="JK26" s="64"/>
      <c r="JL26" s="69"/>
      <c r="JN26" s="21"/>
      <c r="JO26" s="128"/>
      <c r="JP26" s="54"/>
      <c r="JQ26" s="64"/>
      <c r="JR26" s="69"/>
      <c r="JT26" s="21"/>
      <c r="JU26" s="128"/>
      <c r="JV26" s="54"/>
      <c r="JW26" s="64"/>
      <c r="JX26" s="69"/>
      <c r="JZ26" s="21"/>
      <c r="KA26" s="128"/>
      <c r="KB26" s="54"/>
      <c r="KC26" s="64"/>
      <c r="KD26" s="69">
        <v>1</v>
      </c>
      <c r="KF26" s="38"/>
      <c r="KG26" s="35"/>
      <c r="KI26" s="54"/>
      <c r="KJ26" s="64"/>
      <c r="KK26" s="69"/>
      <c r="KL26" s="126"/>
      <c r="KM26" s="127"/>
      <c r="KO26" s="38"/>
      <c r="KP26" s="83"/>
      <c r="KQ26" s="158"/>
      <c r="KR26" s="174"/>
      <c r="KS26" s="38"/>
      <c r="KT26" s="35"/>
      <c r="KV26" s="54"/>
      <c r="KW26" s="64"/>
      <c r="KX26" s="69"/>
      <c r="KY26" s="126"/>
      <c r="KZ26" s="127"/>
      <c r="LB26" s="38"/>
      <c r="LC26" s="83"/>
      <c r="LD26" s="158"/>
      <c r="LE26" s="174"/>
      <c r="LF26" s="38"/>
      <c r="LG26" s="35"/>
      <c r="LI26" s="54"/>
      <c r="LJ26" s="64"/>
      <c r="LK26" s="69"/>
      <c r="LL26" s="126"/>
      <c r="LM26" s="127"/>
      <c r="LO26" s="38"/>
      <c r="LP26" s="83"/>
      <c r="LQ26" s="158"/>
      <c r="LR26" s="174"/>
      <c r="LS26" s="38"/>
      <c r="LT26" s="35"/>
      <c r="LV26" s="54"/>
      <c r="LW26" s="64"/>
      <c r="LX26" s="69"/>
      <c r="LY26" s="126"/>
      <c r="LZ26" s="127"/>
      <c r="MB26" s="38"/>
      <c r="MC26" s="83"/>
      <c r="MD26" s="158"/>
      <c r="ME26" s="174"/>
      <c r="MF26" s="38"/>
      <c r="MG26" s="35"/>
      <c r="MI26" s="54"/>
      <c r="MJ26" s="64"/>
      <c r="MK26" s="69"/>
      <c r="ML26" s="126"/>
      <c r="MM26" s="127"/>
      <c r="MO26" s="38"/>
      <c r="MP26" s="83"/>
      <c r="MQ26" s="158"/>
      <c r="MR26" s="174"/>
      <c r="MT26" s="4">
        <f t="shared" si="10"/>
        <v>2</v>
      </c>
      <c r="NC26" s="21"/>
      <c r="ND26" s="128"/>
      <c r="NE26" s="54"/>
    </row>
    <row r="27" spans="1:369" x14ac:dyDescent="0.15">
      <c r="A27" s="2" t="s">
        <v>45</v>
      </c>
      <c r="B27" s="17"/>
      <c r="C27" s="21"/>
      <c r="D27" s="128"/>
      <c r="E27" s="54"/>
      <c r="F27" s="64"/>
      <c r="G27" s="69"/>
      <c r="H27" s="127"/>
      <c r="J27" s="21"/>
      <c r="K27" s="128"/>
      <c r="L27" s="54"/>
      <c r="M27" s="64"/>
      <c r="N27" s="69"/>
      <c r="O27" s="127"/>
      <c r="Q27" s="21"/>
      <c r="R27" s="128"/>
      <c r="S27" s="54"/>
      <c r="T27" s="64"/>
      <c r="U27" s="69"/>
      <c r="V27" s="127"/>
      <c r="X27" s="21"/>
      <c r="Y27" s="128"/>
      <c r="Z27" s="54"/>
      <c r="AA27" s="64"/>
      <c r="AB27" s="69"/>
      <c r="AC27" s="127"/>
      <c r="AE27" s="21"/>
      <c r="AF27" s="128"/>
      <c r="AG27" s="54">
        <v>1</v>
      </c>
      <c r="AH27" s="64">
        <v>1</v>
      </c>
      <c r="AI27" s="69"/>
      <c r="AJ27" s="127">
        <v>1</v>
      </c>
      <c r="AL27" s="21"/>
      <c r="AM27" s="128"/>
      <c r="AN27" s="54"/>
      <c r="AO27" s="64"/>
      <c r="AP27" s="69"/>
      <c r="AQ27" s="127">
        <v>1</v>
      </c>
      <c r="AS27" s="21"/>
      <c r="AT27" s="128">
        <v>1</v>
      </c>
      <c r="AU27" s="54"/>
      <c r="AV27" s="64">
        <v>1</v>
      </c>
      <c r="AW27" s="69"/>
      <c r="AX27" s="127"/>
      <c r="AZ27" s="21"/>
      <c r="BA27" s="128"/>
      <c r="BB27" s="54">
        <v>1</v>
      </c>
      <c r="BC27" s="64">
        <v>1</v>
      </c>
      <c r="BD27" s="69"/>
      <c r="BE27" s="127"/>
      <c r="BG27" s="21"/>
      <c r="BH27" s="128"/>
      <c r="BI27" s="54"/>
      <c r="BJ27" s="64"/>
      <c r="BK27" s="69"/>
      <c r="BL27" s="127"/>
      <c r="BN27" s="21"/>
      <c r="BO27" s="128"/>
      <c r="BP27" s="54"/>
      <c r="BQ27" s="64"/>
      <c r="BR27" s="69"/>
      <c r="BS27" s="127"/>
      <c r="BU27" s="21"/>
      <c r="BV27" s="128"/>
      <c r="BW27" s="54"/>
      <c r="BX27" s="64"/>
      <c r="BY27" s="69"/>
      <c r="BZ27" s="127"/>
      <c r="CB27" s="21"/>
      <c r="CC27" s="128"/>
      <c r="CD27" s="54"/>
      <c r="CE27" s="64">
        <v>1</v>
      </c>
      <c r="CF27" s="69"/>
      <c r="CG27" s="127"/>
      <c r="CI27" s="21"/>
      <c r="CJ27" s="128"/>
      <c r="CK27" s="54"/>
      <c r="CL27" s="64"/>
      <c r="CM27" s="69"/>
      <c r="CN27" s="127"/>
      <c r="CP27" s="21"/>
      <c r="CQ27" s="128"/>
      <c r="CR27" s="54"/>
      <c r="CS27" s="64"/>
      <c r="CT27" s="69"/>
      <c r="CV27" s="21"/>
      <c r="CW27" s="128"/>
      <c r="CX27" s="54"/>
      <c r="CY27" s="64"/>
      <c r="CZ27" s="69"/>
      <c r="DB27" s="21"/>
      <c r="DC27" s="128">
        <v>1</v>
      </c>
      <c r="DD27" s="54">
        <v>1</v>
      </c>
      <c r="DE27" s="64">
        <v>2</v>
      </c>
      <c r="DF27" s="69">
        <v>1</v>
      </c>
      <c r="DH27" s="21"/>
      <c r="DI27" s="128"/>
      <c r="DJ27" s="54"/>
      <c r="DK27" s="64"/>
      <c r="DL27" s="69"/>
      <c r="DN27" s="21"/>
      <c r="DO27" s="128"/>
      <c r="DP27" s="54"/>
      <c r="DQ27" s="64"/>
      <c r="DR27" s="69"/>
      <c r="DT27" s="21"/>
      <c r="DU27" s="128"/>
      <c r="DV27" s="54"/>
      <c r="DW27" s="64"/>
      <c r="DX27" s="69"/>
      <c r="DZ27" s="21"/>
      <c r="EA27" s="128"/>
      <c r="EB27" s="54"/>
      <c r="EC27" s="64"/>
      <c r="ED27" s="69"/>
      <c r="EF27" s="21"/>
      <c r="EG27" s="128"/>
      <c r="EH27" s="54"/>
      <c r="EI27" s="64"/>
      <c r="EJ27" s="69"/>
      <c r="EL27" s="21"/>
      <c r="EM27" s="128"/>
      <c r="EN27" s="54"/>
      <c r="EO27" s="64"/>
      <c r="EP27" s="69"/>
      <c r="ER27" s="21"/>
      <c r="ES27" s="128"/>
      <c r="ET27" s="54"/>
      <c r="EU27" s="64"/>
      <c r="EV27" s="69"/>
      <c r="EX27" s="21"/>
      <c r="EY27" s="128"/>
      <c r="EZ27" s="54"/>
      <c r="FA27" s="64"/>
      <c r="FB27" s="69"/>
      <c r="FD27" s="21"/>
      <c r="FE27" s="128"/>
      <c r="FF27" s="54"/>
      <c r="FG27" s="64">
        <v>1</v>
      </c>
      <c r="FH27" s="69"/>
      <c r="FJ27" s="21"/>
      <c r="FK27" s="128"/>
      <c r="FL27" s="54"/>
      <c r="FM27" s="64"/>
      <c r="FN27" s="69"/>
      <c r="FO27" s="128"/>
      <c r="FP27" s="54"/>
      <c r="FQ27" s="64"/>
      <c r="FR27" s="69"/>
      <c r="FT27" s="21"/>
      <c r="FU27" s="128"/>
      <c r="FV27" s="54"/>
      <c r="FW27" s="64"/>
      <c r="FX27" s="69"/>
      <c r="FZ27" s="21"/>
      <c r="GA27" s="128"/>
      <c r="GB27" s="54"/>
      <c r="GC27" s="64"/>
      <c r="GD27" s="69">
        <v>1</v>
      </c>
      <c r="GF27" s="21">
        <v>1</v>
      </c>
      <c r="GG27" s="128">
        <v>1</v>
      </c>
      <c r="GH27" s="54"/>
      <c r="GI27" s="64"/>
      <c r="GJ27" s="69"/>
      <c r="GL27" s="21"/>
      <c r="GM27" s="128"/>
      <c r="GN27" s="54"/>
      <c r="GO27" s="64"/>
      <c r="GP27" s="69"/>
      <c r="GR27" s="21"/>
      <c r="GS27" s="128"/>
      <c r="GT27" s="54"/>
      <c r="GU27" s="64"/>
      <c r="GV27" s="69"/>
      <c r="GX27" s="21"/>
      <c r="GY27" s="128"/>
      <c r="GZ27" s="54"/>
      <c r="HA27" s="64"/>
      <c r="HB27" s="69"/>
      <c r="HD27" s="21"/>
      <c r="HE27" s="128"/>
      <c r="HF27" s="54"/>
      <c r="HG27" s="64"/>
      <c r="HH27" s="69"/>
      <c r="HJ27" s="21"/>
      <c r="HK27" s="128"/>
      <c r="HL27" s="54"/>
      <c r="HM27" s="64"/>
      <c r="HN27" s="69"/>
      <c r="HP27" s="21"/>
      <c r="HQ27" s="128"/>
      <c r="HR27" s="54"/>
      <c r="HS27" s="64"/>
      <c r="HT27" s="69"/>
      <c r="HV27" s="21"/>
      <c r="HW27" s="128"/>
      <c r="HX27" s="54"/>
      <c r="HY27" s="64"/>
      <c r="HZ27" s="69"/>
      <c r="IB27" s="21"/>
      <c r="IC27" s="128"/>
      <c r="ID27" s="54"/>
      <c r="IE27" s="64"/>
      <c r="IF27" s="69"/>
      <c r="IH27" s="21"/>
      <c r="IJ27" s="21"/>
      <c r="IK27" s="128"/>
      <c r="IL27" s="54"/>
      <c r="IM27" s="64"/>
      <c r="IN27" s="69"/>
      <c r="IP27" s="21"/>
      <c r="IQ27" s="128"/>
      <c r="IR27" s="54"/>
      <c r="IS27" s="64"/>
      <c r="IT27" s="69"/>
      <c r="IV27" s="21"/>
      <c r="IW27" s="128"/>
      <c r="IX27" s="54"/>
      <c r="IY27" s="64"/>
      <c r="IZ27" s="69"/>
      <c r="JB27" s="21"/>
      <c r="JC27" s="128"/>
      <c r="JD27" s="54"/>
      <c r="JE27" s="64"/>
      <c r="JF27" s="69"/>
      <c r="JH27" s="21"/>
      <c r="JI27" s="128"/>
      <c r="JJ27" s="54"/>
      <c r="JK27" s="64"/>
      <c r="JL27" s="69"/>
      <c r="JN27" s="21"/>
      <c r="JO27" s="128"/>
      <c r="JP27" s="54"/>
      <c r="JQ27" s="64"/>
      <c r="JR27" s="69"/>
      <c r="JT27" s="21"/>
      <c r="JU27" s="128"/>
      <c r="JV27" s="54"/>
      <c r="JW27" s="64"/>
      <c r="JX27" s="69"/>
      <c r="JZ27" s="21"/>
      <c r="KA27" s="128"/>
      <c r="KB27" s="54"/>
      <c r="KC27" s="64"/>
      <c r="KD27" s="69"/>
      <c r="KF27" s="38"/>
      <c r="KG27" s="35"/>
      <c r="KI27" s="54"/>
      <c r="KJ27" s="64"/>
      <c r="KK27" s="69"/>
      <c r="KL27" s="126"/>
      <c r="KM27" s="127"/>
      <c r="KO27" s="38"/>
      <c r="KP27" s="83"/>
      <c r="KQ27" s="158"/>
      <c r="KR27" s="174"/>
      <c r="KS27" s="38"/>
      <c r="KT27" s="35"/>
      <c r="KV27" s="54"/>
      <c r="KW27" s="64"/>
      <c r="KX27" s="69"/>
      <c r="KY27" s="126"/>
      <c r="KZ27" s="127"/>
      <c r="LB27" s="38"/>
      <c r="LC27" s="83"/>
      <c r="LD27" s="158"/>
      <c r="LE27" s="174"/>
      <c r="LF27" s="38"/>
      <c r="LG27" s="35"/>
      <c r="LI27" s="54"/>
      <c r="LJ27" s="64"/>
      <c r="LK27" s="69"/>
      <c r="LL27" s="126"/>
      <c r="LM27" s="127">
        <v>1</v>
      </c>
      <c r="LN27" s="4">
        <v>1</v>
      </c>
      <c r="LO27" s="38">
        <v>1</v>
      </c>
      <c r="LP27" s="83">
        <v>1</v>
      </c>
      <c r="LQ27" s="158">
        <v>1</v>
      </c>
      <c r="LR27" s="174">
        <v>1</v>
      </c>
      <c r="LS27" s="38"/>
      <c r="LT27" s="35"/>
      <c r="LV27" s="54"/>
      <c r="LW27" s="64"/>
      <c r="LX27" s="69"/>
      <c r="LY27" s="126"/>
      <c r="LZ27" s="127"/>
      <c r="MB27" s="38"/>
      <c r="MC27" s="83"/>
      <c r="MD27" s="158"/>
      <c r="ME27" s="174"/>
      <c r="MF27" s="38"/>
      <c r="MG27" s="35"/>
      <c r="MI27" s="54"/>
      <c r="MJ27" s="64"/>
      <c r="MK27" s="69"/>
      <c r="ML27" s="126"/>
      <c r="MM27" s="127"/>
      <c r="MO27" s="38"/>
      <c r="MP27" s="83"/>
      <c r="MQ27" s="158"/>
      <c r="MR27" s="174"/>
      <c r="MT27" s="4">
        <f t="shared" si="10"/>
        <v>23</v>
      </c>
      <c r="NC27" s="21"/>
      <c r="ND27" s="128"/>
      <c r="NE27" s="54"/>
    </row>
    <row r="28" spans="1:369" x14ac:dyDescent="0.15">
      <c r="A28" s="2" t="s">
        <v>16</v>
      </c>
      <c r="C28" s="21"/>
      <c r="D28" s="128"/>
      <c r="E28" s="54"/>
      <c r="F28" s="64"/>
      <c r="G28" s="69">
        <v>1</v>
      </c>
      <c r="H28" s="127">
        <v>1</v>
      </c>
      <c r="J28" s="21">
        <v>1</v>
      </c>
      <c r="K28" s="128">
        <v>1</v>
      </c>
      <c r="L28" s="54">
        <v>1</v>
      </c>
      <c r="M28" s="64">
        <v>2</v>
      </c>
      <c r="N28" s="69">
        <v>2</v>
      </c>
      <c r="O28" s="127">
        <v>2</v>
      </c>
      <c r="P28">
        <v>2</v>
      </c>
      <c r="Q28" s="21">
        <v>3</v>
      </c>
      <c r="R28" s="128">
        <v>1</v>
      </c>
      <c r="S28" s="54">
        <v>2</v>
      </c>
      <c r="T28" s="64">
        <v>2</v>
      </c>
      <c r="U28" s="69">
        <v>2</v>
      </c>
      <c r="V28" s="127">
        <v>3</v>
      </c>
      <c r="X28" s="21">
        <v>1</v>
      </c>
      <c r="Y28" s="128"/>
      <c r="Z28" s="54"/>
      <c r="AA28" s="64">
        <v>1</v>
      </c>
      <c r="AB28" s="69">
        <v>1</v>
      </c>
      <c r="AC28" s="127">
        <v>2</v>
      </c>
      <c r="AE28" s="21"/>
      <c r="AF28" s="128">
        <v>1</v>
      </c>
      <c r="AG28" s="54">
        <v>1</v>
      </c>
      <c r="AH28" s="64">
        <v>1</v>
      </c>
      <c r="AI28" s="69">
        <v>1</v>
      </c>
      <c r="AJ28" s="127">
        <v>1</v>
      </c>
      <c r="AL28" s="21">
        <v>1</v>
      </c>
      <c r="AM28" s="128"/>
      <c r="AN28" s="54">
        <v>1</v>
      </c>
      <c r="AO28" s="64">
        <v>1</v>
      </c>
      <c r="AP28" s="69">
        <v>1</v>
      </c>
      <c r="AQ28" s="127">
        <v>2</v>
      </c>
      <c r="AS28" s="21"/>
      <c r="AT28" s="128"/>
      <c r="AU28" s="54"/>
      <c r="AV28" s="64"/>
      <c r="AW28" s="69"/>
      <c r="AX28" s="127"/>
      <c r="AZ28" s="21"/>
      <c r="BA28" s="128"/>
      <c r="BB28" s="54"/>
      <c r="BC28" s="64">
        <v>1</v>
      </c>
      <c r="BD28" s="69">
        <v>1</v>
      </c>
      <c r="BE28" s="127">
        <v>1</v>
      </c>
      <c r="BF28">
        <v>1</v>
      </c>
      <c r="BG28" s="21"/>
      <c r="BH28" s="128">
        <v>1</v>
      </c>
      <c r="BI28" s="54"/>
      <c r="BJ28" s="64"/>
      <c r="BK28" s="69"/>
      <c r="BL28" s="127"/>
      <c r="BN28" s="21"/>
      <c r="BO28" s="128"/>
      <c r="BP28" s="54"/>
      <c r="BQ28" s="64"/>
      <c r="BR28" s="69"/>
      <c r="BS28" s="127"/>
      <c r="BU28" s="21">
        <v>1</v>
      </c>
      <c r="BV28" s="128"/>
      <c r="BW28" s="54">
        <v>1</v>
      </c>
      <c r="BX28" s="64">
        <v>1</v>
      </c>
      <c r="BY28" s="69">
        <v>1</v>
      </c>
      <c r="BZ28" s="127">
        <v>2</v>
      </c>
      <c r="CB28" s="21">
        <v>2</v>
      </c>
      <c r="CC28" s="128">
        <v>1</v>
      </c>
      <c r="CD28" s="54">
        <v>1</v>
      </c>
      <c r="CE28" s="64">
        <v>2</v>
      </c>
      <c r="CF28" s="69">
        <v>1</v>
      </c>
      <c r="CG28" s="127">
        <v>2</v>
      </c>
      <c r="CI28" s="21">
        <v>1</v>
      </c>
      <c r="CJ28" s="128"/>
      <c r="CK28" s="54">
        <v>1</v>
      </c>
      <c r="CL28" s="64">
        <v>1</v>
      </c>
      <c r="CM28" s="69">
        <v>2</v>
      </c>
      <c r="CN28" s="127"/>
      <c r="CP28" s="21">
        <v>1</v>
      </c>
      <c r="CQ28" s="128"/>
      <c r="CR28" s="54">
        <v>1</v>
      </c>
      <c r="CS28" s="64">
        <v>1</v>
      </c>
      <c r="CT28" s="69">
        <v>1</v>
      </c>
      <c r="CV28" s="21"/>
      <c r="CW28" s="128"/>
      <c r="CX28" s="54"/>
      <c r="CY28" s="64"/>
      <c r="CZ28" s="69"/>
      <c r="DB28" s="21">
        <v>1</v>
      </c>
      <c r="DC28" s="128">
        <v>1</v>
      </c>
      <c r="DD28" s="54">
        <v>1</v>
      </c>
      <c r="DE28" s="64">
        <v>2</v>
      </c>
      <c r="DF28" s="69">
        <v>2</v>
      </c>
      <c r="DG28">
        <v>1</v>
      </c>
      <c r="DH28" s="21">
        <v>1</v>
      </c>
      <c r="DI28" s="128">
        <v>1</v>
      </c>
      <c r="DJ28" s="54">
        <v>2</v>
      </c>
      <c r="DK28" s="64">
        <v>2</v>
      </c>
      <c r="DL28" s="69">
        <v>3</v>
      </c>
      <c r="DN28" s="21"/>
      <c r="DO28" s="128"/>
      <c r="DP28" s="54"/>
      <c r="DQ28" s="64"/>
      <c r="DR28" s="69"/>
      <c r="DT28" s="21"/>
      <c r="DU28" s="128"/>
      <c r="DV28" s="54"/>
      <c r="DW28" s="64"/>
      <c r="DX28" s="69"/>
      <c r="DZ28" s="21"/>
      <c r="EA28" s="128"/>
      <c r="EB28" s="54"/>
      <c r="EC28" s="64"/>
      <c r="ED28" s="69"/>
      <c r="EE28">
        <v>1</v>
      </c>
      <c r="EF28" s="21">
        <v>1</v>
      </c>
      <c r="EG28" s="128">
        <v>1</v>
      </c>
      <c r="EH28" s="54">
        <v>1</v>
      </c>
      <c r="EI28" s="64">
        <v>1</v>
      </c>
      <c r="EJ28" s="69">
        <v>1</v>
      </c>
      <c r="EK28">
        <v>1</v>
      </c>
      <c r="EL28" s="21"/>
      <c r="EM28" s="128"/>
      <c r="EN28" s="54"/>
      <c r="EO28" s="64"/>
      <c r="EP28" s="69"/>
      <c r="ER28" s="21"/>
      <c r="ES28" s="128"/>
      <c r="ET28" s="54"/>
      <c r="EU28" s="64"/>
      <c r="EV28" s="69"/>
      <c r="EX28" s="21"/>
      <c r="EY28" s="128"/>
      <c r="EZ28" s="54"/>
      <c r="FA28" s="64"/>
      <c r="FB28" s="69"/>
      <c r="FC28">
        <v>1</v>
      </c>
      <c r="FD28" s="21">
        <v>1</v>
      </c>
      <c r="FE28" s="128">
        <v>1</v>
      </c>
      <c r="FF28" s="54">
        <v>1</v>
      </c>
      <c r="FG28" s="64"/>
      <c r="FH28" s="69">
        <v>1</v>
      </c>
      <c r="FJ28" s="21"/>
      <c r="FK28" s="128"/>
      <c r="FL28" s="54"/>
      <c r="FM28" s="64"/>
      <c r="FN28" s="69"/>
      <c r="FO28" s="128"/>
      <c r="FP28" s="54"/>
      <c r="FQ28" s="64"/>
      <c r="FR28" s="69"/>
      <c r="FT28" s="21"/>
      <c r="FU28" s="128"/>
      <c r="FV28" s="54"/>
      <c r="FW28" s="64"/>
      <c r="FX28" s="69"/>
      <c r="FZ28" s="21"/>
      <c r="GA28" s="128"/>
      <c r="GB28" s="54"/>
      <c r="GC28" s="64"/>
      <c r="GD28" s="69"/>
      <c r="GF28" s="21"/>
      <c r="GG28" s="128"/>
      <c r="GH28" s="54"/>
      <c r="GI28" s="64"/>
      <c r="GJ28" s="69"/>
      <c r="GL28" s="21"/>
      <c r="GM28" s="128"/>
      <c r="GN28" s="54"/>
      <c r="GO28" s="64"/>
      <c r="GP28" s="69"/>
      <c r="GR28" s="21"/>
      <c r="GS28" s="128">
        <v>1</v>
      </c>
      <c r="GT28" s="54"/>
      <c r="GU28" s="64"/>
      <c r="GV28" s="69"/>
      <c r="GX28" s="21"/>
      <c r="GY28" s="128"/>
      <c r="GZ28" s="54"/>
      <c r="HA28" s="64"/>
      <c r="HB28" s="69"/>
      <c r="HD28" s="21"/>
      <c r="HE28" s="128"/>
      <c r="HF28" s="54"/>
      <c r="HG28" s="64"/>
      <c r="HH28" s="69"/>
      <c r="HJ28" s="21"/>
      <c r="HK28" s="128"/>
      <c r="HL28" s="54"/>
      <c r="HM28" s="64"/>
      <c r="HN28" s="69"/>
      <c r="HP28" s="21"/>
      <c r="HQ28" s="128"/>
      <c r="HR28" s="54"/>
      <c r="HS28" s="64"/>
      <c r="HT28" s="69"/>
      <c r="HV28" s="21"/>
      <c r="HW28" s="128"/>
      <c r="HX28" s="54"/>
      <c r="HY28" s="64"/>
      <c r="HZ28" s="69"/>
      <c r="IB28" s="21"/>
      <c r="IC28" s="128"/>
      <c r="ID28" s="54"/>
      <c r="IE28" s="64"/>
      <c r="IF28" s="69"/>
      <c r="IH28" s="21"/>
      <c r="IJ28" s="21"/>
      <c r="IK28" s="128"/>
      <c r="IL28" s="54"/>
      <c r="IM28" s="64"/>
      <c r="IN28" s="69"/>
      <c r="IP28" s="21"/>
      <c r="IQ28" s="128"/>
      <c r="IR28" s="54"/>
      <c r="IS28" s="64"/>
      <c r="IT28" s="69"/>
      <c r="IV28" s="21"/>
      <c r="IW28" s="128"/>
      <c r="IX28" s="54"/>
      <c r="IY28" s="64"/>
      <c r="IZ28" s="69"/>
      <c r="JB28" s="21"/>
      <c r="JC28" s="128"/>
      <c r="JD28" s="54"/>
      <c r="JE28" s="64"/>
      <c r="JF28" s="69"/>
      <c r="JH28" s="21"/>
      <c r="JI28" s="128"/>
      <c r="JJ28" s="54"/>
      <c r="JK28" s="64"/>
      <c r="JL28" s="69"/>
      <c r="JN28" s="21"/>
      <c r="JO28" s="128"/>
      <c r="JP28" s="54"/>
      <c r="JQ28" s="64"/>
      <c r="JR28" s="69"/>
      <c r="JT28" s="21"/>
      <c r="JU28" s="128">
        <v>1</v>
      </c>
      <c r="JV28" s="54"/>
      <c r="JW28" s="64"/>
      <c r="JX28" s="69"/>
      <c r="JZ28" s="21"/>
      <c r="KA28" s="128"/>
      <c r="KB28" s="54"/>
      <c r="KC28" s="64"/>
      <c r="KD28" s="69"/>
      <c r="KF28" s="38"/>
      <c r="KG28" s="35"/>
      <c r="KI28" s="54"/>
      <c r="KJ28" s="64"/>
      <c r="KK28" s="69"/>
      <c r="KL28" s="126"/>
      <c r="KM28" s="127"/>
      <c r="KO28" s="38"/>
      <c r="KP28" s="83"/>
      <c r="KQ28" s="158"/>
      <c r="KR28" s="174"/>
      <c r="KS28" s="38"/>
      <c r="KT28" s="35"/>
      <c r="KV28" s="54"/>
      <c r="KW28" s="64"/>
      <c r="KX28" s="69"/>
      <c r="KY28" s="126"/>
      <c r="KZ28" s="127"/>
      <c r="LB28" s="38"/>
      <c r="LC28" s="83"/>
      <c r="LD28" s="158">
        <v>1</v>
      </c>
      <c r="LE28" s="174">
        <v>1</v>
      </c>
      <c r="LF28" s="38"/>
      <c r="LG28" s="35"/>
      <c r="LI28" s="54"/>
      <c r="LJ28" s="64"/>
      <c r="LK28" s="69"/>
      <c r="LL28" s="126"/>
      <c r="LM28" s="127">
        <v>1</v>
      </c>
      <c r="LO28" s="38"/>
      <c r="LP28" s="83"/>
      <c r="LQ28" s="158"/>
      <c r="LR28" s="174"/>
      <c r="LS28" s="38"/>
      <c r="LT28" s="35"/>
      <c r="LV28" s="54"/>
      <c r="LW28" s="64"/>
      <c r="LX28" s="69"/>
      <c r="LY28" s="126"/>
      <c r="LZ28" s="127"/>
      <c r="MB28" s="38"/>
      <c r="MC28" s="83"/>
      <c r="MD28" s="158"/>
      <c r="ME28" s="174"/>
      <c r="MF28" s="38"/>
      <c r="MG28" s="35"/>
      <c r="MI28" s="54"/>
      <c r="MJ28" s="64"/>
      <c r="MK28" s="69"/>
      <c r="ML28" s="126"/>
      <c r="MM28" s="127"/>
      <c r="MO28" s="38"/>
      <c r="MP28" s="83"/>
      <c r="MQ28" s="158"/>
      <c r="MR28" s="174"/>
      <c r="MT28" s="4">
        <f t="shared" si="10"/>
        <v>81</v>
      </c>
      <c r="NC28" s="21"/>
      <c r="ND28" s="128"/>
      <c r="NE28" s="54"/>
    </row>
    <row r="29" spans="1:369" x14ac:dyDescent="0.15">
      <c r="A29" s="2" t="s">
        <v>219</v>
      </c>
      <c r="C29" s="21"/>
      <c r="D29" s="128"/>
      <c r="E29" s="54"/>
      <c r="F29" s="64"/>
      <c r="G29" s="69"/>
      <c r="H29" s="127"/>
      <c r="J29" s="21"/>
      <c r="K29" s="128"/>
      <c r="L29" s="54"/>
      <c r="M29" s="64"/>
      <c r="N29" s="69"/>
      <c r="O29" s="127"/>
      <c r="Q29" s="21"/>
      <c r="R29" s="128"/>
      <c r="S29" s="54"/>
      <c r="T29" s="64"/>
      <c r="U29" s="69"/>
      <c r="V29" s="127"/>
      <c r="X29" s="21"/>
      <c r="Y29" s="128"/>
      <c r="Z29" s="54"/>
      <c r="AA29" s="64"/>
      <c r="AB29" s="69"/>
      <c r="AC29" s="127"/>
      <c r="AE29" s="21"/>
      <c r="AF29" s="128"/>
      <c r="AG29" s="54"/>
      <c r="AH29" s="64"/>
      <c r="AI29" s="69"/>
      <c r="AJ29" s="127"/>
      <c r="AL29" s="21"/>
      <c r="AM29" s="128"/>
      <c r="AN29" s="54"/>
      <c r="AO29" s="64"/>
      <c r="AP29" s="69"/>
      <c r="AQ29" s="127"/>
      <c r="AS29" s="21"/>
      <c r="AT29" s="128"/>
      <c r="AU29" s="54"/>
      <c r="AV29" s="64"/>
      <c r="AW29" s="69"/>
      <c r="AX29" s="127"/>
      <c r="AZ29" s="21"/>
      <c r="BA29" s="128"/>
      <c r="BB29" s="54"/>
      <c r="BC29" s="64"/>
      <c r="BD29" s="69"/>
      <c r="BE29" s="127"/>
      <c r="BG29" s="21"/>
      <c r="BH29" s="128"/>
      <c r="BI29" s="54"/>
      <c r="BJ29" s="64"/>
      <c r="BK29" s="69"/>
      <c r="BL29" s="127"/>
      <c r="BN29" s="21"/>
      <c r="BO29" s="128"/>
      <c r="BP29" s="54"/>
      <c r="BQ29" s="64"/>
      <c r="BR29" s="69"/>
      <c r="BS29" s="127"/>
      <c r="BU29" s="21"/>
      <c r="BV29" s="128"/>
      <c r="BW29" s="54"/>
      <c r="BX29" s="64"/>
      <c r="BY29" s="69"/>
      <c r="BZ29" s="127"/>
      <c r="CB29" s="21"/>
      <c r="CC29" s="128"/>
      <c r="CD29" s="54"/>
      <c r="CE29" s="64"/>
      <c r="CF29" s="69"/>
      <c r="CG29" s="127"/>
      <c r="CI29" s="21"/>
      <c r="CJ29" s="128"/>
      <c r="CK29" s="54"/>
      <c r="CL29" s="64"/>
      <c r="CM29" s="69"/>
      <c r="CN29" s="127"/>
      <c r="CP29" s="21"/>
      <c r="CQ29" s="128"/>
      <c r="CR29" s="54"/>
      <c r="CS29" s="64"/>
      <c r="CT29" s="69"/>
      <c r="CV29" s="21"/>
      <c r="CW29" s="128"/>
      <c r="CX29" s="54"/>
      <c r="CY29" s="64"/>
      <c r="CZ29" s="69"/>
      <c r="DB29" s="21"/>
      <c r="DC29" s="128"/>
      <c r="DD29" s="54"/>
      <c r="DE29" s="64"/>
      <c r="DF29" s="69"/>
      <c r="DH29" s="21"/>
      <c r="DI29" s="128"/>
      <c r="DJ29" s="54"/>
      <c r="DK29" s="64"/>
      <c r="DL29" s="69"/>
      <c r="DN29" s="21"/>
      <c r="DO29" s="128"/>
      <c r="DP29" s="54"/>
      <c r="DQ29" s="64"/>
      <c r="DR29" s="69"/>
      <c r="DT29" s="21"/>
      <c r="DU29" s="128"/>
      <c r="DV29" s="54"/>
      <c r="DW29" s="64"/>
      <c r="DX29" s="69"/>
      <c r="DZ29" s="21"/>
      <c r="EA29" s="128"/>
      <c r="EB29" s="54"/>
      <c r="EC29" s="64"/>
      <c r="ED29" s="69"/>
      <c r="EF29" s="21"/>
      <c r="EG29" s="128"/>
      <c r="EH29" s="54"/>
      <c r="EI29" s="64"/>
      <c r="EJ29" s="69"/>
      <c r="EL29" s="21"/>
      <c r="EM29" s="128"/>
      <c r="EN29" s="54"/>
      <c r="EO29" s="64"/>
      <c r="EP29" s="69"/>
      <c r="ER29" s="21"/>
      <c r="ES29" s="128"/>
      <c r="ET29" s="54"/>
      <c r="EU29" s="64"/>
      <c r="EV29" s="69"/>
      <c r="EX29" s="21"/>
      <c r="EY29" s="128"/>
      <c r="EZ29" s="54"/>
      <c r="FA29" s="64"/>
      <c r="FB29" s="69"/>
      <c r="FD29" s="21"/>
      <c r="FE29" s="128"/>
      <c r="FF29" s="54"/>
      <c r="FG29" s="64"/>
      <c r="FH29" s="69"/>
      <c r="FJ29" s="21"/>
      <c r="FK29" s="128"/>
      <c r="FL29" s="54"/>
      <c r="FM29" s="64"/>
      <c r="FN29" s="69"/>
      <c r="FO29" s="128"/>
      <c r="FP29" s="54"/>
      <c r="FQ29" s="64"/>
      <c r="FR29" s="69"/>
      <c r="FT29" s="21"/>
      <c r="FU29" s="128"/>
      <c r="FV29" s="54"/>
      <c r="FW29" s="64"/>
      <c r="FX29" s="69"/>
      <c r="FZ29" s="21"/>
      <c r="GA29" s="128"/>
      <c r="GB29" s="54"/>
      <c r="GC29" s="64"/>
      <c r="GD29" s="69"/>
      <c r="GF29" s="21"/>
      <c r="GG29" s="128"/>
      <c r="GH29" s="54"/>
      <c r="GI29" s="64"/>
      <c r="GJ29" s="69"/>
      <c r="GL29" s="21"/>
      <c r="GM29" s="128"/>
      <c r="GN29" s="54"/>
      <c r="GO29" s="64"/>
      <c r="GP29" s="69"/>
      <c r="GR29" s="21"/>
      <c r="GS29" s="128"/>
      <c r="GT29" s="54"/>
      <c r="GU29" s="64"/>
      <c r="GV29" s="69"/>
      <c r="GX29" s="21"/>
      <c r="GY29" s="128">
        <v>1</v>
      </c>
      <c r="GZ29" s="54">
        <v>1</v>
      </c>
      <c r="HA29" s="64">
        <v>1</v>
      </c>
      <c r="HB29" s="69"/>
      <c r="HD29" s="21"/>
      <c r="HE29" s="128"/>
      <c r="HF29" s="54"/>
      <c r="HG29" s="64"/>
      <c r="HH29" s="69"/>
      <c r="HJ29" s="21"/>
      <c r="HK29" s="128"/>
      <c r="HL29" s="54"/>
      <c r="HM29" s="64"/>
      <c r="HN29" s="69"/>
      <c r="HP29" s="21"/>
      <c r="HQ29" s="128"/>
      <c r="HR29" s="54"/>
      <c r="HS29" s="64"/>
      <c r="HT29" s="69"/>
      <c r="HV29" s="21"/>
      <c r="HW29" s="128"/>
      <c r="HX29" s="54"/>
      <c r="HY29" s="64"/>
      <c r="HZ29" s="69"/>
      <c r="IB29" s="21"/>
      <c r="IC29" s="128"/>
      <c r="ID29" s="54"/>
      <c r="IE29" s="64"/>
      <c r="IF29" s="69"/>
      <c r="IH29" s="21"/>
      <c r="IJ29" s="21"/>
      <c r="IK29" s="128"/>
      <c r="IL29" s="54"/>
      <c r="IM29" s="64"/>
      <c r="IN29" s="69"/>
      <c r="IP29" s="21"/>
      <c r="IQ29" s="128"/>
      <c r="IR29" s="54"/>
      <c r="IS29" s="64"/>
      <c r="IT29" s="69"/>
      <c r="IV29" s="21"/>
      <c r="IW29" s="128"/>
      <c r="IX29" s="54"/>
      <c r="IY29" s="64"/>
      <c r="IZ29" s="69"/>
      <c r="JB29" s="21"/>
      <c r="JC29" s="128"/>
      <c r="JD29" s="54"/>
      <c r="JE29" s="64"/>
      <c r="JF29" s="69"/>
      <c r="JH29" s="21"/>
      <c r="JI29" s="128"/>
      <c r="JJ29" s="54"/>
      <c r="JK29" s="64"/>
      <c r="JL29" s="69"/>
      <c r="JN29" s="21"/>
      <c r="JO29" s="128"/>
      <c r="JP29" s="54"/>
      <c r="JQ29" s="64"/>
      <c r="JR29" s="69"/>
      <c r="JT29" s="21"/>
      <c r="JU29" s="128"/>
      <c r="JV29" s="54"/>
      <c r="JW29" s="64"/>
      <c r="JX29" s="69"/>
      <c r="JZ29" s="21"/>
      <c r="KA29" s="128"/>
      <c r="KB29" s="54"/>
      <c r="KC29" s="64"/>
      <c r="KD29" s="69"/>
      <c r="KF29" s="38"/>
      <c r="KG29" s="35"/>
      <c r="KI29" s="54"/>
      <c r="KJ29" s="64"/>
      <c r="KK29" s="69"/>
      <c r="KL29" s="126"/>
      <c r="KM29" s="127"/>
      <c r="KO29" s="38"/>
      <c r="KP29" s="83"/>
      <c r="KQ29" s="158"/>
      <c r="KR29" s="174"/>
      <c r="KS29" s="38"/>
      <c r="KT29" s="35"/>
      <c r="KV29" s="54"/>
      <c r="KW29" s="64"/>
      <c r="KX29" s="69"/>
      <c r="KY29" s="126"/>
      <c r="KZ29" s="127"/>
      <c r="LB29" s="38"/>
      <c r="LC29" s="83"/>
      <c r="LD29" s="158"/>
      <c r="LE29" s="174"/>
      <c r="LF29" s="38"/>
      <c r="LG29" s="35"/>
      <c r="LI29" s="54"/>
      <c r="LJ29" s="64"/>
      <c r="LK29" s="69"/>
      <c r="LL29" s="126"/>
      <c r="LM29" s="127"/>
      <c r="LO29" s="38"/>
      <c r="LP29" s="83"/>
      <c r="LQ29" s="158"/>
      <c r="LR29" s="174"/>
      <c r="LS29" s="38"/>
      <c r="LT29" s="35"/>
      <c r="LV29" s="54"/>
      <c r="LW29" s="64"/>
      <c r="LX29" s="69"/>
      <c r="LY29" s="126"/>
      <c r="LZ29" s="127"/>
      <c r="MB29" s="38"/>
      <c r="MC29" s="83"/>
      <c r="MD29" s="158"/>
      <c r="ME29" s="174"/>
      <c r="MF29" s="38"/>
      <c r="MG29" s="35"/>
      <c r="MI29" s="54"/>
      <c r="MJ29" s="64"/>
      <c r="MK29" s="69"/>
      <c r="ML29" s="126"/>
      <c r="MM29" s="127"/>
      <c r="MO29" s="38"/>
      <c r="MP29" s="83"/>
      <c r="MQ29" s="158"/>
      <c r="MR29" s="174"/>
      <c r="MT29" s="4">
        <f t="shared" si="10"/>
        <v>3</v>
      </c>
      <c r="NC29" s="21"/>
      <c r="ND29" s="128"/>
      <c r="NE29" s="54"/>
    </row>
    <row r="30" spans="1:369" s="4" customFormat="1" x14ac:dyDescent="0.15">
      <c r="A30" s="5" t="s">
        <v>70</v>
      </c>
      <c r="B30"/>
      <c r="C30" s="21"/>
      <c r="D30" s="128"/>
      <c r="E30" s="54"/>
      <c r="F30" s="64"/>
      <c r="G30" s="69"/>
      <c r="H30" s="127"/>
      <c r="I30"/>
      <c r="J30" s="21"/>
      <c r="K30" s="128"/>
      <c r="L30" s="54"/>
      <c r="M30" s="64"/>
      <c r="N30" s="69"/>
      <c r="O30" s="127"/>
      <c r="P30"/>
      <c r="Q30" s="21"/>
      <c r="R30" s="128"/>
      <c r="S30" s="54"/>
      <c r="T30" s="64"/>
      <c r="U30" s="69"/>
      <c r="V30" s="127"/>
      <c r="W30"/>
      <c r="X30" s="21"/>
      <c r="Y30" s="128"/>
      <c r="Z30" s="54"/>
      <c r="AA30" s="64"/>
      <c r="AB30" s="69"/>
      <c r="AC30" s="127"/>
      <c r="AD30"/>
      <c r="AE30" s="21"/>
      <c r="AF30" s="128"/>
      <c r="AG30" s="54"/>
      <c r="AH30" s="64"/>
      <c r="AI30" s="69"/>
      <c r="AJ30" s="127"/>
      <c r="AK30"/>
      <c r="AL30" s="21"/>
      <c r="AM30" s="128"/>
      <c r="AN30" s="54"/>
      <c r="AO30" s="64"/>
      <c r="AP30" s="69"/>
      <c r="AQ30" s="127"/>
      <c r="AR30"/>
      <c r="AS30" s="21"/>
      <c r="AT30" s="128"/>
      <c r="AU30" s="54"/>
      <c r="AV30" s="64"/>
      <c r="AW30" s="69"/>
      <c r="AX30" s="127"/>
      <c r="AY30"/>
      <c r="AZ30" s="21"/>
      <c r="BA30" s="128">
        <v>1</v>
      </c>
      <c r="BB30" s="54"/>
      <c r="BC30" s="64"/>
      <c r="BD30" s="69"/>
      <c r="BE30" s="127"/>
      <c r="BF30"/>
      <c r="BG30" s="21"/>
      <c r="BH30" s="128"/>
      <c r="BI30" s="54"/>
      <c r="BJ30" s="64"/>
      <c r="BK30" s="69"/>
      <c r="BL30" s="127"/>
      <c r="BM30"/>
      <c r="BN30" s="21"/>
      <c r="BO30" s="128"/>
      <c r="BP30" s="54"/>
      <c r="BQ30" s="64"/>
      <c r="BR30" s="69"/>
      <c r="BS30" s="127"/>
      <c r="BT30"/>
      <c r="BU30" s="21"/>
      <c r="BV30" s="128"/>
      <c r="BW30" s="54"/>
      <c r="BX30" s="64"/>
      <c r="BY30" s="69"/>
      <c r="BZ30" s="127"/>
      <c r="CA30"/>
      <c r="CB30" s="21"/>
      <c r="CC30" s="128"/>
      <c r="CD30" s="54"/>
      <c r="CE30" s="64"/>
      <c r="CF30" s="69"/>
      <c r="CG30" s="127"/>
      <c r="CH30"/>
      <c r="CI30" s="21"/>
      <c r="CJ30" s="128"/>
      <c r="CK30" s="54"/>
      <c r="CL30" s="64"/>
      <c r="CM30" s="69"/>
      <c r="CN30" s="127"/>
      <c r="CO30"/>
      <c r="CP30" s="21"/>
      <c r="CQ30" s="128"/>
      <c r="CR30" s="54"/>
      <c r="CS30" s="64"/>
      <c r="CT30" s="69"/>
      <c r="CU30"/>
      <c r="CV30" s="21"/>
      <c r="CW30" s="128"/>
      <c r="CX30" s="54"/>
      <c r="CY30" s="64"/>
      <c r="CZ30" s="69"/>
      <c r="DA30"/>
      <c r="DB30" s="21"/>
      <c r="DC30" s="128"/>
      <c r="DD30" s="54"/>
      <c r="DE30" s="64"/>
      <c r="DF30" s="69"/>
      <c r="DG30"/>
      <c r="DH30" s="21"/>
      <c r="DI30" s="128"/>
      <c r="DJ30" s="54"/>
      <c r="DK30" s="64"/>
      <c r="DL30" s="69"/>
      <c r="DM30"/>
      <c r="DN30" s="21"/>
      <c r="DO30" s="128"/>
      <c r="DP30" s="54"/>
      <c r="DQ30" s="64"/>
      <c r="DR30" s="69"/>
      <c r="DS30"/>
      <c r="DT30" s="21"/>
      <c r="DU30" s="128"/>
      <c r="DV30" s="54"/>
      <c r="DW30" s="64"/>
      <c r="DX30" s="69"/>
      <c r="DY30"/>
      <c r="DZ30" s="21"/>
      <c r="EA30" s="128"/>
      <c r="EB30" s="54"/>
      <c r="EC30" s="64"/>
      <c r="ED30" s="69"/>
      <c r="EE30"/>
      <c r="EF30" s="21"/>
      <c r="EG30" s="128"/>
      <c r="EH30" s="54"/>
      <c r="EI30" s="64"/>
      <c r="EJ30" s="69"/>
      <c r="EK30"/>
      <c r="EL30" s="21"/>
      <c r="EM30" s="128"/>
      <c r="EN30" s="54"/>
      <c r="EO30" s="64"/>
      <c r="EP30" s="69"/>
      <c r="EQ30"/>
      <c r="ER30" s="21"/>
      <c r="ES30" s="128"/>
      <c r="ET30" s="54"/>
      <c r="EU30" s="64"/>
      <c r="EV30" s="69"/>
      <c r="EW30"/>
      <c r="EX30" s="21"/>
      <c r="EY30" s="128"/>
      <c r="EZ30" s="54"/>
      <c r="FA30" s="64"/>
      <c r="FB30" s="69"/>
      <c r="FC30"/>
      <c r="FD30" s="21"/>
      <c r="FE30" s="128"/>
      <c r="FF30" s="54"/>
      <c r="FG30" s="64"/>
      <c r="FH30" s="69"/>
      <c r="FI30"/>
      <c r="FJ30" s="21"/>
      <c r="FK30" s="128"/>
      <c r="FL30" s="54"/>
      <c r="FM30" s="64"/>
      <c r="FN30" s="69"/>
      <c r="FO30" s="128"/>
      <c r="FP30" s="54"/>
      <c r="FQ30" s="64"/>
      <c r="FR30" s="69"/>
      <c r="FS30"/>
      <c r="FT30" s="21"/>
      <c r="FU30" s="128"/>
      <c r="FV30" s="54"/>
      <c r="FW30" s="64"/>
      <c r="FX30" s="69"/>
      <c r="FY30"/>
      <c r="FZ30" s="21"/>
      <c r="GA30" s="128"/>
      <c r="GB30" s="54"/>
      <c r="GC30" s="64"/>
      <c r="GD30" s="69"/>
      <c r="GE30"/>
      <c r="GF30" s="21"/>
      <c r="GG30" s="128"/>
      <c r="GH30" s="54"/>
      <c r="GI30" s="64"/>
      <c r="GJ30" s="69"/>
      <c r="GK30"/>
      <c r="GL30" s="21"/>
      <c r="GM30" s="128"/>
      <c r="GN30" s="54"/>
      <c r="GO30" s="64"/>
      <c r="GP30" s="69"/>
      <c r="GQ30"/>
      <c r="GR30" s="21"/>
      <c r="GS30" s="128"/>
      <c r="GT30" s="54"/>
      <c r="GU30" s="64"/>
      <c r="GV30" s="69"/>
      <c r="GW30"/>
      <c r="GX30" s="21"/>
      <c r="GY30" s="128"/>
      <c r="GZ30" s="54"/>
      <c r="HA30" s="64"/>
      <c r="HB30" s="69"/>
      <c r="HC30"/>
      <c r="HD30" s="21"/>
      <c r="HE30" s="128"/>
      <c r="HF30" s="54"/>
      <c r="HG30" s="64"/>
      <c r="HH30" s="69"/>
      <c r="HI30"/>
      <c r="HJ30" s="21"/>
      <c r="HK30" s="128"/>
      <c r="HL30" s="54"/>
      <c r="HM30" s="64"/>
      <c r="HN30" s="69"/>
      <c r="HO30"/>
      <c r="HP30" s="21"/>
      <c r="HQ30" s="128"/>
      <c r="HR30" s="54"/>
      <c r="HS30" s="64"/>
      <c r="HT30" s="69"/>
      <c r="HU30"/>
      <c r="HV30" s="21"/>
      <c r="HW30" s="128"/>
      <c r="HX30" s="54"/>
      <c r="HY30" s="64"/>
      <c r="HZ30" s="69"/>
      <c r="IA30"/>
      <c r="IB30" s="21"/>
      <c r="IC30" s="128"/>
      <c r="ID30" s="54"/>
      <c r="IE30" s="64"/>
      <c r="IF30" s="69"/>
      <c r="IG30"/>
      <c r="IH30" s="21"/>
      <c r="II30"/>
      <c r="IJ30" s="21"/>
      <c r="IK30" s="128"/>
      <c r="IL30" s="54"/>
      <c r="IM30" s="64"/>
      <c r="IN30" s="69"/>
      <c r="IO30"/>
      <c r="IP30" s="21"/>
      <c r="IQ30" s="128"/>
      <c r="IR30" s="54"/>
      <c r="IS30" s="64"/>
      <c r="IT30" s="69"/>
      <c r="IU30"/>
      <c r="IV30" s="21"/>
      <c r="IW30" s="128"/>
      <c r="IX30" s="54"/>
      <c r="IY30" s="64"/>
      <c r="IZ30" s="69"/>
      <c r="JA30"/>
      <c r="JB30" s="21"/>
      <c r="JC30" s="128"/>
      <c r="JD30" s="54"/>
      <c r="JE30" s="64"/>
      <c r="JF30" s="69"/>
      <c r="JG30"/>
      <c r="JH30" s="21"/>
      <c r="JI30" s="128"/>
      <c r="JJ30" s="54"/>
      <c r="JK30" s="64"/>
      <c r="JL30" s="69"/>
      <c r="JM30"/>
      <c r="JN30" s="21"/>
      <c r="JO30" s="128"/>
      <c r="JP30" s="54"/>
      <c r="JQ30" s="64"/>
      <c r="JR30" s="69"/>
      <c r="JS30"/>
      <c r="JT30" s="21"/>
      <c r="JU30" s="128"/>
      <c r="JV30" s="54"/>
      <c r="JW30" s="64"/>
      <c r="JX30" s="69"/>
      <c r="JY30"/>
      <c r="JZ30" s="21"/>
      <c r="KA30" s="128"/>
      <c r="KB30" s="54"/>
      <c r="KC30" s="64"/>
      <c r="KD30" s="69"/>
      <c r="KF30" s="38"/>
      <c r="KG30" s="35"/>
      <c r="KI30" s="54"/>
      <c r="KJ30" s="64"/>
      <c r="KK30" s="69"/>
      <c r="KL30" s="126"/>
      <c r="KM30" s="127"/>
      <c r="KO30" s="38"/>
      <c r="KP30" s="83"/>
      <c r="KQ30" s="158"/>
      <c r="KR30" s="174"/>
      <c r="KS30" s="38"/>
      <c r="KT30" s="35"/>
      <c r="KV30" s="54"/>
      <c r="KW30" s="64"/>
      <c r="KX30" s="69"/>
      <c r="KY30" s="126"/>
      <c r="KZ30" s="127"/>
      <c r="LB30" s="38"/>
      <c r="LC30" s="83"/>
      <c r="LD30" s="158"/>
      <c r="LE30" s="174"/>
      <c r="LF30" s="38"/>
      <c r="LG30" s="35"/>
      <c r="LI30" s="54"/>
      <c r="LJ30" s="64"/>
      <c r="LK30" s="69"/>
      <c r="LL30" s="126"/>
      <c r="LM30" s="127"/>
      <c r="LO30" s="38"/>
      <c r="LP30" s="83"/>
      <c r="LQ30" s="158"/>
      <c r="LR30" s="174"/>
      <c r="LS30" s="38"/>
      <c r="LT30" s="35"/>
      <c r="LV30" s="54"/>
      <c r="LW30" s="64"/>
      <c r="LX30" s="69"/>
      <c r="LY30" s="126"/>
      <c r="LZ30" s="127"/>
      <c r="MB30" s="38"/>
      <c r="MC30" s="83"/>
      <c r="MD30" s="158"/>
      <c r="ME30" s="174"/>
      <c r="MF30" s="38"/>
      <c r="MG30" s="35"/>
      <c r="MI30" s="54"/>
      <c r="MJ30" s="64"/>
      <c r="MK30" s="69"/>
      <c r="ML30" s="126"/>
      <c r="MM30" s="127"/>
      <c r="MO30" s="38"/>
      <c r="MP30" s="83"/>
      <c r="MQ30" s="158"/>
      <c r="MR30" s="174"/>
      <c r="MT30" s="4">
        <f t="shared" si="10"/>
        <v>1</v>
      </c>
      <c r="NB30"/>
      <c r="NC30" s="21"/>
      <c r="ND30" s="128"/>
      <c r="NE30" s="54"/>
    </row>
    <row r="31" spans="1:369" s="4" customFormat="1" x14ac:dyDescent="0.15">
      <c r="A31" s="5" t="s">
        <v>221</v>
      </c>
      <c r="B31"/>
      <c r="C31" s="21"/>
      <c r="D31" s="128"/>
      <c r="E31" s="54"/>
      <c r="F31" s="64"/>
      <c r="G31" s="69"/>
      <c r="H31" s="127">
        <v>1</v>
      </c>
      <c r="I31"/>
      <c r="J31" s="21"/>
      <c r="K31" s="128"/>
      <c r="L31" s="54"/>
      <c r="M31" s="64"/>
      <c r="N31" s="69"/>
      <c r="O31" s="127"/>
      <c r="P31"/>
      <c r="Q31" s="21"/>
      <c r="R31" s="128"/>
      <c r="S31" s="54"/>
      <c r="T31" s="64"/>
      <c r="U31" s="69"/>
      <c r="V31" s="127"/>
      <c r="W31"/>
      <c r="X31" s="21"/>
      <c r="Y31" s="128"/>
      <c r="Z31" s="54"/>
      <c r="AA31" s="64"/>
      <c r="AB31" s="69"/>
      <c r="AC31" s="127"/>
      <c r="AD31"/>
      <c r="AE31" s="21"/>
      <c r="AF31" s="128"/>
      <c r="AG31" s="54"/>
      <c r="AH31" s="64"/>
      <c r="AI31" s="69"/>
      <c r="AJ31" s="127"/>
      <c r="AK31"/>
      <c r="AL31" s="21"/>
      <c r="AM31" s="128"/>
      <c r="AN31" s="54"/>
      <c r="AO31" s="64"/>
      <c r="AP31" s="69"/>
      <c r="AQ31" s="127"/>
      <c r="AR31"/>
      <c r="AS31" s="21"/>
      <c r="AT31" s="128"/>
      <c r="AU31" s="54"/>
      <c r="AV31" s="64"/>
      <c r="AW31" s="69"/>
      <c r="AX31" s="127"/>
      <c r="AY31"/>
      <c r="AZ31" s="21"/>
      <c r="BA31" s="128"/>
      <c r="BB31" s="54"/>
      <c r="BC31" s="64"/>
      <c r="BD31" s="69"/>
      <c r="BE31" s="127"/>
      <c r="BF31"/>
      <c r="BG31" s="21"/>
      <c r="BH31" s="128"/>
      <c r="BI31" s="54"/>
      <c r="BJ31" s="64"/>
      <c r="BK31" s="69"/>
      <c r="BL31" s="127"/>
      <c r="BM31"/>
      <c r="BN31" s="21"/>
      <c r="BO31" s="128"/>
      <c r="BP31" s="54"/>
      <c r="BQ31" s="64"/>
      <c r="BR31" s="69"/>
      <c r="BS31" s="127"/>
      <c r="BT31"/>
      <c r="BU31" s="21"/>
      <c r="BV31" s="128"/>
      <c r="BW31" s="54"/>
      <c r="BX31" s="64"/>
      <c r="BY31" s="69"/>
      <c r="BZ31" s="127"/>
      <c r="CA31"/>
      <c r="CB31" s="21"/>
      <c r="CC31" s="128"/>
      <c r="CD31" s="54"/>
      <c r="CE31" s="64"/>
      <c r="CF31" s="69"/>
      <c r="CG31" s="127"/>
      <c r="CH31"/>
      <c r="CI31" s="21"/>
      <c r="CJ31" s="128"/>
      <c r="CK31" s="54"/>
      <c r="CL31" s="64"/>
      <c r="CM31" s="69"/>
      <c r="CN31" s="127"/>
      <c r="CO31"/>
      <c r="CP31" s="21"/>
      <c r="CQ31" s="128"/>
      <c r="CR31" s="54"/>
      <c r="CS31" s="64"/>
      <c r="CT31" s="69"/>
      <c r="CU31"/>
      <c r="CV31" s="21"/>
      <c r="CW31" s="128"/>
      <c r="CX31" s="54"/>
      <c r="CY31" s="64"/>
      <c r="CZ31" s="69"/>
      <c r="DA31"/>
      <c r="DB31" s="21"/>
      <c r="DC31" s="128"/>
      <c r="DD31" s="54"/>
      <c r="DE31" s="64"/>
      <c r="DF31" s="69"/>
      <c r="DG31"/>
      <c r="DH31" s="21"/>
      <c r="DI31" s="128"/>
      <c r="DJ31" s="54"/>
      <c r="DK31" s="64"/>
      <c r="DL31" s="69"/>
      <c r="DM31"/>
      <c r="DN31" s="21"/>
      <c r="DO31" s="128"/>
      <c r="DP31" s="54"/>
      <c r="DQ31" s="64"/>
      <c r="DR31" s="69"/>
      <c r="DS31"/>
      <c r="DT31" s="21"/>
      <c r="DU31" s="128"/>
      <c r="DV31" s="54"/>
      <c r="DW31" s="64"/>
      <c r="DX31" s="69"/>
      <c r="DY31"/>
      <c r="DZ31" s="21"/>
      <c r="EA31" s="128"/>
      <c r="EB31" s="54"/>
      <c r="EC31" s="64"/>
      <c r="ED31" s="69"/>
      <c r="EE31"/>
      <c r="EF31" s="21"/>
      <c r="EG31" s="128"/>
      <c r="EH31" s="54"/>
      <c r="EI31" s="64"/>
      <c r="EJ31" s="69"/>
      <c r="EK31"/>
      <c r="EL31" s="21"/>
      <c r="EM31" s="128"/>
      <c r="EN31" s="54"/>
      <c r="EO31" s="64"/>
      <c r="EP31" s="69"/>
      <c r="EQ31"/>
      <c r="ER31" s="21"/>
      <c r="ES31" s="128"/>
      <c r="ET31" s="54"/>
      <c r="EU31" s="64"/>
      <c r="EV31" s="69"/>
      <c r="EW31"/>
      <c r="EX31" s="21"/>
      <c r="EY31" s="128"/>
      <c r="EZ31" s="54"/>
      <c r="FA31" s="64"/>
      <c r="FB31" s="69"/>
      <c r="FC31"/>
      <c r="FD31" s="21"/>
      <c r="FE31" s="128"/>
      <c r="FF31" s="54"/>
      <c r="FG31" s="64"/>
      <c r="FH31" s="69"/>
      <c r="FI31"/>
      <c r="FJ31" s="21"/>
      <c r="FK31" s="128"/>
      <c r="FL31" s="54"/>
      <c r="FM31" s="64"/>
      <c r="FN31" s="69"/>
      <c r="FO31" s="128"/>
      <c r="FP31" s="54"/>
      <c r="FQ31" s="64"/>
      <c r="FR31" s="69"/>
      <c r="FS31"/>
      <c r="FT31" s="21"/>
      <c r="FU31" s="128"/>
      <c r="FV31" s="54"/>
      <c r="FW31" s="64"/>
      <c r="FX31" s="69"/>
      <c r="FY31"/>
      <c r="FZ31" s="21"/>
      <c r="GA31" s="128"/>
      <c r="GB31" s="54"/>
      <c r="GC31" s="64"/>
      <c r="GD31" s="69"/>
      <c r="GE31"/>
      <c r="GF31" s="21"/>
      <c r="GG31" s="128"/>
      <c r="GH31" s="54"/>
      <c r="GI31" s="64"/>
      <c r="GJ31" s="69"/>
      <c r="GK31"/>
      <c r="GL31" s="21"/>
      <c r="GM31" s="128"/>
      <c r="GN31" s="54"/>
      <c r="GO31" s="64"/>
      <c r="GP31" s="69"/>
      <c r="GQ31"/>
      <c r="GR31" s="21"/>
      <c r="GS31" s="128"/>
      <c r="GT31" s="54"/>
      <c r="GU31" s="64"/>
      <c r="GV31" s="69"/>
      <c r="GW31"/>
      <c r="GX31" s="21"/>
      <c r="GY31" s="128"/>
      <c r="GZ31" s="54"/>
      <c r="HA31" s="64"/>
      <c r="HB31" s="69"/>
      <c r="HC31"/>
      <c r="HD31" s="21"/>
      <c r="HE31" s="128"/>
      <c r="HF31" s="54"/>
      <c r="HG31" s="64"/>
      <c r="HH31" s="69"/>
      <c r="HI31"/>
      <c r="HJ31" s="21"/>
      <c r="HK31" s="128"/>
      <c r="HL31" s="54"/>
      <c r="HM31" s="64"/>
      <c r="HN31" s="69"/>
      <c r="HO31"/>
      <c r="HP31" s="21"/>
      <c r="HQ31" s="128"/>
      <c r="HR31" s="54"/>
      <c r="HS31" s="64"/>
      <c r="HT31" s="69"/>
      <c r="HU31"/>
      <c r="HV31" s="21"/>
      <c r="HW31" s="128"/>
      <c r="HX31" s="54"/>
      <c r="HY31" s="64"/>
      <c r="HZ31" s="69"/>
      <c r="IA31"/>
      <c r="IB31" s="21"/>
      <c r="IC31" s="128"/>
      <c r="ID31" s="54"/>
      <c r="IE31" s="64"/>
      <c r="IF31" s="69"/>
      <c r="IG31"/>
      <c r="IH31" s="21"/>
      <c r="II31"/>
      <c r="IJ31" s="21"/>
      <c r="IK31" s="128"/>
      <c r="IL31" s="54"/>
      <c r="IM31" s="64"/>
      <c r="IN31" s="69"/>
      <c r="IO31"/>
      <c r="IP31" s="21"/>
      <c r="IQ31" s="128"/>
      <c r="IR31" s="54"/>
      <c r="IS31" s="64"/>
      <c r="IT31" s="69"/>
      <c r="IU31"/>
      <c r="IV31" s="21"/>
      <c r="IW31" s="128"/>
      <c r="IX31" s="54"/>
      <c r="IY31" s="64"/>
      <c r="IZ31" s="69"/>
      <c r="JA31"/>
      <c r="JB31" s="21"/>
      <c r="JC31" s="128"/>
      <c r="JD31" s="54"/>
      <c r="JE31" s="64"/>
      <c r="JF31" s="69"/>
      <c r="JG31"/>
      <c r="JH31" s="21"/>
      <c r="JI31" s="128"/>
      <c r="JJ31" s="54"/>
      <c r="JK31" s="64"/>
      <c r="JL31" s="69"/>
      <c r="JM31"/>
      <c r="JN31" s="21"/>
      <c r="JO31" s="128"/>
      <c r="JP31" s="54"/>
      <c r="JQ31" s="64"/>
      <c r="JR31" s="69"/>
      <c r="JS31"/>
      <c r="JT31" s="21"/>
      <c r="JU31" s="128"/>
      <c r="JV31" s="54"/>
      <c r="JW31" s="64"/>
      <c r="JX31" s="69"/>
      <c r="JY31"/>
      <c r="JZ31" s="21"/>
      <c r="KA31" s="128"/>
      <c r="KB31" s="54"/>
      <c r="KC31" s="64"/>
      <c r="KD31" s="69"/>
      <c r="KF31" s="38"/>
      <c r="KG31" s="35"/>
      <c r="KI31" s="54"/>
      <c r="KJ31" s="64"/>
      <c r="KK31" s="69"/>
      <c r="KL31" s="126"/>
      <c r="KM31" s="127"/>
      <c r="KO31" s="38"/>
      <c r="KP31" s="83"/>
      <c r="KQ31" s="158"/>
      <c r="KR31" s="174"/>
      <c r="KS31" s="38"/>
      <c r="KT31" s="35"/>
      <c r="KV31" s="54"/>
      <c r="KW31" s="64"/>
      <c r="KX31" s="69"/>
      <c r="KY31" s="126"/>
      <c r="KZ31" s="127"/>
      <c r="LB31" s="38"/>
      <c r="LC31" s="83"/>
      <c r="LD31" s="158"/>
      <c r="LE31" s="174"/>
      <c r="LF31" s="38"/>
      <c r="LG31" s="35"/>
      <c r="LI31" s="54"/>
      <c r="LJ31" s="64"/>
      <c r="LK31" s="69"/>
      <c r="LL31" s="126"/>
      <c r="LM31" s="127"/>
      <c r="LO31" s="38"/>
      <c r="LP31" s="83"/>
      <c r="LQ31" s="158"/>
      <c r="LR31" s="174"/>
      <c r="LS31" s="38"/>
      <c r="LT31" s="35"/>
      <c r="LV31" s="54"/>
      <c r="LW31" s="64"/>
      <c r="LX31" s="69"/>
      <c r="LY31" s="126"/>
      <c r="LZ31" s="127"/>
      <c r="MB31" s="38"/>
      <c r="MC31" s="83"/>
      <c r="MD31" s="158"/>
      <c r="ME31" s="174"/>
      <c r="MF31" s="38"/>
      <c r="MG31" s="35"/>
      <c r="MI31" s="54"/>
      <c r="MJ31" s="64"/>
      <c r="MK31" s="69"/>
      <c r="ML31" s="126"/>
      <c r="MM31" s="127"/>
      <c r="MO31" s="38"/>
      <c r="MP31" s="83"/>
      <c r="MQ31" s="158"/>
      <c r="MR31" s="174"/>
      <c r="MT31" s="4">
        <f t="shared" si="10"/>
        <v>1</v>
      </c>
      <c r="NB31"/>
      <c r="NC31" s="21"/>
      <c r="ND31" s="128"/>
      <c r="NE31" s="54"/>
    </row>
    <row r="32" spans="1:369" s="4" customFormat="1" x14ac:dyDescent="0.15">
      <c r="A32" s="5" t="s">
        <v>199</v>
      </c>
      <c r="B32"/>
      <c r="C32" s="21"/>
      <c r="D32" s="128"/>
      <c r="E32" s="54"/>
      <c r="F32" s="64"/>
      <c r="G32" s="69"/>
      <c r="H32" s="127"/>
      <c r="I32"/>
      <c r="J32" s="21"/>
      <c r="K32" s="128"/>
      <c r="L32" s="54"/>
      <c r="M32" s="64"/>
      <c r="N32" s="69"/>
      <c r="O32" s="127"/>
      <c r="P32"/>
      <c r="Q32" s="21"/>
      <c r="R32" s="128"/>
      <c r="S32" s="54"/>
      <c r="T32" s="64"/>
      <c r="U32" s="69"/>
      <c r="V32" s="127"/>
      <c r="W32"/>
      <c r="X32" s="21"/>
      <c r="Y32" s="128"/>
      <c r="Z32" s="54"/>
      <c r="AA32" s="64"/>
      <c r="AB32" s="69"/>
      <c r="AC32" s="127"/>
      <c r="AD32"/>
      <c r="AE32" s="21"/>
      <c r="AF32" s="128"/>
      <c r="AG32" s="54"/>
      <c r="AH32" s="64"/>
      <c r="AI32" s="69"/>
      <c r="AJ32" s="127"/>
      <c r="AK32"/>
      <c r="AL32" s="21"/>
      <c r="AM32" s="128"/>
      <c r="AN32" s="54"/>
      <c r="AO32" s="64">
        <v>1</v>
      </c>
      <c r="AP32" s="69">
        <v>1</v>
      </c>
      <c r="AQ32" s="127"/>
      <c r="AR32"/>
      <c r="AS32" s="21"/>
      <c r="AT32" s="128"/>
      <c r="AU32" s="54"/>
      <c r="AV32" s="64"/>
      <c r="AW32" s="69"/>
      <c r="AX32" s="127"/>
      <c r="AY32"/>
      <c r="AZ32" s="21"/>
      <c r="BA32" s="128"/>
      <c r="BB32" s="54"/>
      <c r="BC32" s="64"/>
      <c r="BD32" s="69"/>
      <c r="BE32" s="127"/>
      <c r="BF32"/>
      <c r="BG32" s="21"/>
      <c r="BH32" s="128"/>
      <c r="BI32" s="54"/>
      <c r="BJ32" s="64"/>
      <c r="BK32" s="69"/>
      <c r="BL32" s="127"/>
      <c r="BM32"/>
      <c r="BN32" s="21"/>
      <c r="BO32" s="128"/>
      <c r="BP32" s="54"/>
      <c r="BQ32" s="64"/>
      <c r="BR32" s="69"/>
      <c r="BS32" s="127"/>
      <c r="BT32"/>
      <c r="BU32" s="21"/>
      <c r="BV32" s="128"/>
      <c r="BW32" s="54"/>
      <c r="BX32" s="64"/>
      <c r="BY32" s="69"/>
      <c r="BZ32" s="127"/>
      <c r="CA32"/>
      <c r="CB32" s="21"/>
      <c r="CC32" s="128"/>
      <c r="CD32" s="54"/>
      <c r="CE32" s="64"/>
      <c r="CF32" s="69"/>
      <c r="CG32" s="127"/>
      <c r="CH32"/>
      <c r="CI32" s="21"/>
      <c r="CJ32" s="128"/>
      <c r="CK32" s="54"/>
      <c r="CL32" s="64"/>
      <c r="CM32" s="69"/>
      <c r="CN32" s="127"/>
      <c r="CO32"/>
      <c r="CP32" s="21"/>
      <c r="CQ32" s="128"/>
      <c r="CR32" s="54"/>
      <c r="CS32" s="64"/>
      <c r="CT32" s="69"/>
      <c r="CU32"/>
      <c r="CV32" s="21"/>
      <c r="CW32" s="128"/>
      <c r="CX32" s="54"/>
      <c r="CY32" s="64"/>
      <c r="CZ32" s="69"/>
      <c r="DA32"/>
      <c r="DB32" s="21"/>
      <c r="DC32" s="128"/>
      <c r="DD32" s="54"/>
      <c r="DE32" s="64"/>
      <c r="DF32" s="69"/>
      <c r="DG32"/>
      <c r="DH32" s="21"/>
      <c r="DI32" s="128"/>
      <c r="DJ32" s="54"/>
      <c r="DK32" s="64"/>
      <c r="DL32" s="69"/>
      <c r="DM32"/>
      <c r="DN32" s="21"/>
      <c r="DO32" s="128"/>
      <c r="DP32" s="54"/>
      <c r="DQ32" s="64"/>
      <c r="DR32" s="69"/>
      <c r="DS32"/>
      <c r="DT32" s="21"/>
      <c r="DU32" s="128"/>
      <c r="DV32" s="54"/>
      <c r="DW32" s="64"/>
      <c r="DX32" s="69"/>
      <c r="DY32"/>
      <c r="DZ32" s="21"/>
      <c r="EA32" s="128"/>
      <c r="EB32" s="54"/>
      <c r="EC32" s="64"/>
      <c r="ED32" s="69"/>
      <c r="EE32"/>
      <c r="EF32" s="21"/>
      <c r="EG32" s="128"/>
      <c r="EH32" s="54"/>
      <c r="EI32" s="64"/>
      <c r="EJ32" s="69"/>
      <c r="EK32"/>
      <c r="EL32" s="21"/>
      <c r="EM32" s="128"/>
      <c r="EN32" s="54"/>
      <c r="EO32" s="64"/>
      <c r="EP32" s="69"/>
      <c r="EQ32"/>
      <c r="ER32" s="21"/>
      <c r="ES32" s="128"/>
      <c r="ET32" s="54"/>
      <c r="EU32" s="64"/>
      <c r="EV32" s="69"/>
      <c r="EW32"/>
      <c r="EX32" s="21"/>
      <c r="EY32" s="128"/>
      <c r="EZ32" s="54"/>
      <c r="FA32" s="64"/>
      <c r="FB32" s="69"/>
      <c r="FC32"/>
      <c r="FD32" s="21"/>
      <c r="FE32" s="128"/>
      <c r="FF32" s="54"/>
      <c r="FG32" s="64"/>
      <c r="FH32" s="69"/>
      <c r="FI32"/>
      <c r="FJ32" s="21"/>
      <c r="FK32" s="128"/>
      <c r="FL32" s="54"/>
      <c r="FM32" s="64"/>
      <c r="FN32" s="69"/>
      <c r="FO32" s="128"/>
      <c r="FP32" s="54"/>
      <c r="FQ32" s="64"/>
      <c r="FR32" s="69"/>
      <c r="FS32"/>
      <c r="FT32" s="21"/>
      <c r="FU32" s="128"/>
      <c r="FV32" s="54"/>
      <c r="FW32" s="64"/>
      <c r="FX32" s="69"/>
      <c r="FY32"/>
      <c r="FZ32" s="21"/>
      <c r="GA32" s="128"/>
      <c r="GB32" s="54"/>
      <c r="GC32" s="64"/>
      <c r="GD32" s="69"/>
      <c r="GE32"/>
      <c r="GF32" s="21"/>
      <c r="GG32" s="128"/>
      <c r="GH32" s="54"/>
      <c r="GI32" s="64"/>
      <c r="GJ32" s="69"/>
      <c r="GK32"/>
      <c r="GL32" s="21"/>
      <c r="GM32" s="128"/>
      <c r="GN32" s="54"/>
      <c r="GO32" s="64"/>
      <c r="GP32" s="69"/>
      <c r="GQ32"/>
      <c r="GR32" s="21"/>
      <c r="GS32" s="128"/>
      <c r="GT32" s="54"/>
      <c r="GU32" s="64"/>
      <c r="GV32" s="69"/>
      <c r="GW32"/>
      <c r="GX32" s="21"/>
      <c r="GY32" s="128"/>
      <c r="GZ32" s="54"/>
      <c r="HA32" s="64"/>
      <c r="HB32" s="69"/>
      <c r="HC32"/>
      <c r="HD32" s="21"/>
      <c r="HE32" s="128"/>
      <c r="HF32" s="54"/>
      <c r="HG32" s="64"/>
      <c r="HH32" s="69"/>
      <c r="HI32"/>
      <c r="HJ32" s="21"/>
      <c r="HK32" s="128"/>
      <c r="HL32" s="54"/>
      <c r="HM32" s="64"/>
      <c r="HN32" s="69"/>
      <c r="HO32"/>
      <c r="HP32" s="21"/>
      <c r="HQ32" s="128"/>
      <c r="HR32" s="54"/>
      <c r="HS32" s="64"/>
      <c r="HT32" s="69"/>
      <c r="HU32"/>
      <c r="HV32" s="21"/>
      <c r="HW32" s="128"/>
      <c r="HX32" s="54"/>
      <c r="HY32" s="64"/>
      <c r="HZ32" s="69"/>
      <c r="IA32"/>
      <c r="IB32" s="21"/>
      <c r="IC32" s="128"/>
      <c r="ID32" s="54"/>
      <c r="IE32" s="64"/>
      <c r="IF32" s="69"/>
      <c r="IG32"/>
      <c r="IH32" s="21"/>
      <c r="II32"/>
      <c r="IJ32" s="21"/>
      <c r="IK32" s="128"/>
      <c r="IL32" s="54"/>
      <c r="IM32" s="64"/>
      <c r="IN32" s="69"/>
      <c r="IO32"/>
      <c r="IP32" s="21"/>
      <c r="IQ32" s="128"/>
      <c r="IR32" s="54"/>
      <c r="IS32" s="64"/>
      <c r="IT32" s="69"/>
      <c r="IU32"/>
      <c r="IV32" s="21"/>
      <c r="IW32" s="128"/>
      <c r="IX32" s="54"/>
      <c r="IY32" s="64"/>
      <c r="IZ32" s="69"/>
      <c r="JA32"/>
      <c r="JB32" s="21"/>
      <c r="JC32" s="128"/>
      <c r="JD32" s="54"/>
      <c r="JE32" s="64"/>
      <c r="JF32" s="69"/>
      <c r="JG32"/>
      <c r="JH32" s="21"/>
      <c r="JI32" s="128"/>
      <c r="JJ32" s="54"/>
      <c r="JK32" s="64"/>
      <c r="JL32" s="69"/>
      <c r="JM32"/>
      <c r="JN32" s="21"/>
      <c r="JO32" s="128"/>
      <c r="JP32" s="54"/>
      <c r="JQ32" s="64"/>
      <c r="JR32" s="69"/>
      <c r="JS32"/>
      <c r="JT32" s="21"/>
      <c r="JU32" s="128"/>
      <c r="JV32" s="54"/>
      <c r="JW32" s="64"/>
      <c r="JX32" s="69"/>
      <c r="JY32"/>
      <c r="JZ32" s="21"/>
      <c r="KA32" s="128"/>
      <c r="KB32" s="54"/>
      <c r="KC32" s="64"/>
      <c r="KD32" s="69"/>
      <c r="KF32" s="38"/>
      <c r="KG32" s="35"/>
      <c r="KI32" s="54"/>
      <c r="KJ32" s="64"/>
      <c r="KK32" s="69"/>
      <c r="KL32" s="126"/>
      <c r="KM32" s="127"/>
      <c r="KO32" s="38"/>
      <c r="KP32" s="83"/>
      <c r="KQ32" s="158"/>
      <c r="KR32" s="174"/>
      <c r="KS32" s="38"/>
      <c r="KT32" s="35"/>
      <c r="KV32" s="54"/>
      <c r="KW32" s="64"/>
      <c r="KX32" s="69"/>
      <c r="KY32" s="126"/>
      <c r="KZ32" s="127"/>
      <c r="LB32" s="38"/>
      <c r="LC32" s="83"/>
      <c r="LD32" s="158"/>
      <c r="LE32" s="174"/>
      <c r="LF32" s="38"/>
      <c r="LG32" s="35"/>
      <c r="LI32" s="54"/>
      <c r="LJ32" s="64"/>
      <c r="LK32" s="69"/>
      <c r="LL32" s="126"/>
      <c r="LM32" s="127"/>
      <c r="LO32" s="38"/>
      <c r="LP32" s="83"/>
      <c r="LQ32" s="158"/>
      <c r="LR32" s="174"/>
      <c r="LS32" s="38"/>
      <c r="LT32" s="35"/>
      <c r="LV32" s="54"/>
      <c r="LW32" s="64"/>
      <c r="LX32" s="69"/>
      <c r="LY32" s="126"/>
      <c r="LZ32" s="127"/>
      <c r="MB32" s="38"/>
      <c r="MC32" s="83"/>
      <c r="MD32" s="158"/>
      <c r="ME32" s="174"/>
      <c r="MF32" s="38"/>
      <c r="MG32" s="35"/>
      <c r="MI32" s="54"/>
      <c r="MJ32" s="64"/>
      <c r="MK32" s="69"/>
      <c r="ML32" s="126"/>
      <c r="MM32" s="127"/>
      <c r="MO32" s="38"/>
      <c r="MP32" s="83"/>
      <c r="MQ32" s="158"/>
      <c r="MR32" s="174"/>
      <c r="MT32" s="4">
        <f t="shared" si="10"/>
        <v>2</v>
      </c>
      <c r="NB32"/>
      <c r="NC32" s="21"/>
      <c r="ND32" s="128"/>
      <c r="NE32" s="54"/>
    </row>
    <row r="33" spans="1:369" s="4" customFormat="1" x14ac:dyDescent="0.15">
      <c r="A33" s="5" t="s">
        <v>222</v>
      </c>
      <c r="B33"/>
      <c r="C33" s="21"/>
      <c r="D33" s="128"/>
      <c r="E33" s="54"/>
      <c r="F33" s="64"/>
      <c r="G33" s="69"/>
      <c r="H33" s="127"/>
      <c r="I33"/>
      <c r="J33" s="21"/>
      <c r="K33" s="128"/>
      <c r="L33" s="54"/>
      <c r="M33" s="64"/>
      <c r="N33" s="69"/>
      <c r="O33" s="127">
        <v>1</v>
      </c>
      <c r="P33"/>
      <c r="Q33" s="21"/>
      <c r="R33" s="128"/>
      <c r="S33" s="54"/>
      <c r="T33" s="64"/>
      <c r="U33" s="69"/>
      <c r="V33" s="127"/>
      <c r="W33"/>
      <c r="X33" s="21"/>
      <c r="Y33" s="128"/>
      <c r="Z33" s="54"/>
      <c r="AA33" s="64"/>
      <c r="AB33" s="69"/>
      <c r="AC33" s="127">
        <v>1</v>
      </c>
      <c r="AD33"/>
      <c r="AE33" s="21"/>
      <c r="AF33" s="128"/>
      <c r="AG33" s="54"/>
      <c r="AH33" s="64"/>
      <c r="AI33" s="69"/>
      <c r="AJ33" s="127"/>
      <c r="AK33"/>
      <c r="AL33" s="21"/>
      <c r="AM33" s="128"/>
      <c r="AN33" s="54"/>
      <c r="AO33" s="64"/>
      <c r="AP33" s="69"/>
      <c r="AQ33" s="127"/>
      <c r="AR33"/>
      <c r="AS33" s="21"/>
      <c r="AT33" s="128"/>
      <c r="AU33" s="54"/>
      <c r="AV33" s="64"/>
      <c r="AW33" s="69"/>
      <c r="AX33" s="127"/>
      <c r="AY33"/>
      <c r="AZ33" s="21"/>
      <c r="BA33" s="128"/>
      <c r="BB33" s="54"/>
      <c r="BC33" s="64"/>
      <c r="BD33" s="69"/>
      <c r="BE33" s="127"/>
      <c r="BF33"/>
      <c r="BG33" s="21"/>
      <c r="BH33" s="128"/>
      <c r="BI33" s="54"/>
      <c r="BJ33" s="64"/>
      <c r="BK33" s="69"/>
      <c r="BL33" s="127"/>
      <c r="BM33"/>
      <c r="BN33" s="21"/>
      <c r="BO33" s="128"/>
      <c r="BP33" s="54"/>
      <c r="BQ33" s="64"/>
      <c r="BR33" s="69"/>
      <c r="BS33" s="127"/>
      <c r="BT33"/>
      <c r="BU33" s="21"/>
      <c r="BV33" s="128"/>
      <c r="BW33" s="54"/>
      <c r="BX33" s="64"/>
      <c r="BY33" s="69"/>
      <c r="BZ33" s="127"/>
      <c r="CA33"/>
      <c r="CB33" s="21"/>
      <c r="CC33" s="128"/>
      <c r="CD33" s="54"/>
      <c r="CE33" s="64"/>
      <c r="CF33" s="69"/>
      <c r="CG33" s="127"/>
      <c r="CH33"/>
      <c r="CI33" s="21"/>
      <c r="CJ33" s="128"/>
      <c r="CK33" s="54"/>
      <c r="CL33" s="64"/>
      <c r="CM33" s="69"/>
      <c r="CN33" s="127"/>
      <c r="CO33"/>
      <c r="CP33" s="21"/>
      <c r="CQ33" s="128"/>
      <c r="CR33" s="54"/>
      <c r="CS33" s="64"/>
      <c r="CT33" s="69"/>
      <c r="CU33"/>
      <c r="CV33" s="21"/>
      <c r="CW33" s="128"/>
      <c r="CX33" s="54"/>
      <c r="CY33" s="64"/>
      <c r="CZ33" s="69"/>
      <c r="DA33"/>
      <c r="DB33" s="21"/>
      <c r="DC33" s="128"/>
      <c r="DD33" s="54"/>
      <c r="DE33" s="64"/>
      <c r="DF33" s="69"/>
      <c r="DG33"/>
      <c r="DH33" s="21"/>
      <c r="DI33" s="128"/>
      <c r="DJ33" s="54"/>
      <c r="DK33" s="64"/>
      <c r="DL33" s="69"/>
      <c r="DM33"/>
      <c r="DN33" s="21"/>
      <c r="DO33" s="128"/>
      <c r="DP33" s="54"/>
      <c r="DQ33" s="64"/>
      <c r="DR33" s="69"/>
      <c r="DS33"/>
      <c r="DT33" s="21"/>
      <c r="DU33" s="128"/>
      <c r="DV33" s="54"/>
      <c r="DW33" s="64"/>
      <c r="DX33" s="69"/>
      <c r="DY33"/>
      <c r="DZ33" s="21"/>
      <c r="EA33" s="128"/>
      <c r="EB33" s="54"/>
      <c r="EC33" s="64"/>
      <c r="ED33" s="69"/>
      <c r="EE33"/>
      <c r="EF33" s="21"/>
      <c r="EG33" s="128"/>
      <c r="EH33" s="54"/>
      <c r="EI33" s="64"/>
      <c r="EJ33" s="69"/>
      <c r="EK33"/>
      <c r="EL33" s="21"/>
      <c r="EM33" s="128"/>
      <c r="EN33" s="54"/>
      <c r="EO33" s="64"/>
      <c r="EP33" s="69"/>
      <c r="EQ33"/>
      <c r="ER33" s="21"/>
      <c r="ES33" s="128"/>
      <c r="ET33" s="54"/>
      <c r="EU33" s="64"/>
      <c r="EV33" s="69"/>
      <c r="EW33"/>
      <c r="EX33" s="21"/>
      <c r="EY33" s="128"/>
      <c r="EZ33" s="54"/>
      <c r="FA33" s="64"/>
      <c r="FB33" s="69"/>
      <c r="FC33"/>
      <c r="FD33" s="21"/>
      <c r="FE33" s="128"/>
      <c r="FF33" s="54"/>
      <c r="FG33" s="64"/>
      <c r="FH33" s="69"/>
      <c r="FI33"/>
      <c r="FJ33" s="21"/>
      <c r="FK33" s="128"/>
      <c r="FL33" s="54"/>
      <c r="FM33" s="64"/>
      <c r="FN33" s="69"/>
      <c r="FO33" s="128"/>
      <c r="FP33" s="54"/>
      <c r="FQ33" s="64"/>
      <c r="FR33" s="69"/>
      <c r="FS33"/>
      <c r="FT33" s="21"/>
      <c r="FU33" s="128"/>
      <c r="FV33" s="54"/>
      <c r="FW33" s="64"/>
      <c r="FX33" s="69"/>
      <c r="FY33"/>
      <c r="FZ33" s="21"/>
      <c r="GA33" s="128"/>
      <c r="GB33" s="54"/>
      <c r="GC33" s="64"/>
      <c r="GD33" s="69"/>
      <c r="GE33"/>
      <c r="GF33" s="21"/>
      <c r="GG33" s="128"/>
      <c r="GH33" s="54"/>
      <c r="GI33" s="64"/>
      <c r="GJ33" s="69"/>
      <c r="GK33"/>
      <c r="GL33" s="21"/>
      <c r="GM33" s="128"/>
      <c r="GN33" s="54"/>
      <c r="GO33" s="64"/>
      <c r="GP33" s="69"/>
      <c r="GQ33"/>
      <c r="GR33" s="21"/>
      <c r="GS33" s="128"/>
      <c r="GT33" s="54"/>
      <c r="GU33" s="64"/>
      <c r="GV33" s="69"/>
      <c r="GW33"/>
      <c r="GX33" s="21"/>
      <c r="GY33" s="128"/>
      <c r="GZ33" s="54"/>
      <c r="HA33" s="64"/>
      <c r="HB33" s="69"/>
      <c r="HC33"/>
      <c r="HD33" s="21"/>
      <c r="HE33" s="128"/>
      <c r="HF33" s="54"/>
      <c r="HG33" s="64"/>
      <c r="HH33" s="69"/>
      <c r="HI33"/>
      <c r="HJ33" s="21"/>
      <c r="HK33" s="128"/>
      <c r="HL33" s="54"/>
      <c r="HM33" s="64"/>
      <c r="HN33" s="69"/>
      <c r="HO33"/>
      <c r="HP33" s="21"/>
      <c r="HQ33" s="128"/>
      <c r="HR33" s="54"/>
      <c r="HS33" s="64"/>
      <c r="HT33" s="69"/>
      <c r="HU33"/>
      <c r="HV33" s="21"/>
      <c r="HW33" s="128"/>
      <c r="HX33" s="54"/>
      <c r="HY33" s="64"/>
      <c r="HZ33" s="69"/>
      <c r="IA33"/>
      <c r="IB33" s="21"/>
      <c r="IC33" s="128"/>
      <c r="ID33" s="54"/>
      <c r="IE33" s="64"/>
      <c r="IF33" s="69"/>
      <c r="IG33"/>
      <c r="IH33" s="21"/>
      <c r="II33"/>
      <c r="IJ33" s="21"/>
      <c r="IK33" s="128"/>
      <c r="IL33" s="54"/>
      <c r="IM33" s="64"/>
      <c r="IN33" s="69"/>
      <c r="IO33"/>
      <c r="IP33" s="21"/>
      <c r="IQ33" s="128"/>
      <c r="IR33" s="54"/>
      <c r="IS33" s="64"/>
      <c r="IT33" s="69"/>
      <c r="IU33"/>
      <c r="IV33" s="21"/>
      <c r="IW33" s="128"/>
      <c r="IX33" s="54"/>
      <c r="IY33" s="64"/>
      <c r="IZ33" s="69"/>
      <c r="JA33"/>
      <c r="JB33" s="21"/>
      <c r="JC33" s="128"/>
      <c r="JD33" s="54"/>
      <c r="JE33" s="64"/>
      <c r="JF33" s="69"/>
      <c r="JG33"/>
      <c r="JH33" s="21"/>
      <c r="JI33" s="128"/>
      <c r="JJ33" s="54"/>
      <c r="JK33" s="64"/>
      <c r="JL33" s="69"/>
      <c r="JM33"/>
      <c r="JN33" s="21"/>
      <c r="JO33" s="128"/>
      <c r="JP33" s="54"/>
      <c r="JQ33" s="64"/>
      <c r="JR33" s="69"/>
      <c r="JS33"/>
      <c r="JT33" s="21"/>
      <c r="JU33" s="128"/>
      <c r="JV33" s="54"/>
      <c r="JW33" s="64"/>
      <c r="JX33" s="69"/>
      <c r="JY33"/>
      <c r="JZ33" s="21"/>
      <c r="KA33" s="128"/>
      <c r="KB33" s="54"/>
      <c r="KC33" s="64"/>
      <c r="KD33" s="69"/>
      <c r="KF33" s="38"/>
      <c r="KG33" s="35"/>
      <c r="KI33" s="54"/>
      <c r="KJ33" s="64"/>
      <c r="KK33" s="69"/>
      <c r="KL33" s="126"/>
      <c r="KM33" s="127"/>
      <c r="KO33" s="38"/>
      <c r="KP33" s="83"/>
      <c r="KQ33" s="158"/>
      <c r="KR33" s="174"/>
      <c r="KS33" s="38"/>
      <c r="KT33" s="35"/>
      <c r="KV33" s="54"/>
      <c r="KW33" s="64"/>
      <c r="KX33" s="69"/>
      <c r="KY33" s="126"/>
      <c r="KZ33" s="127"/>
      <c r="LB33" s="38"/>
      <c r="LC33" s="83"/>
      <c r="LD33" s="158"/>
      <c r="LE33" s="174"/>
      <c r="LF33" s="38"/>
      <c r="LG33" s="35"/>
      <c r="LI33" s="54"/>
      <c r="LJ33" s="64"/>
      <c r="LK33" s="69"/>
      <c r="LL33" s="126"/>
      <c r="LM33" s="127"/>
      <c r="LO33" s="38"/>
      <c r="LP33" s="83"/>
      <c r="LQ33" s="158"/>
      <c r="LR33" s="174"/>
      <c r="LS33" s="38"/>
      <c r="LT33" s="35"/>
      <c r="LV33" s="54"/>
      <c r="LW33" s="64"/>
      <c r="LX33" s="69"/>
      <c r="LY33" s="126"/>
      <c r="LZ33" s="127"/>
      <c r="MB33" s="38"/>
      <c r="MC33" s="83"/>
      <c r="MD33" s="158"/>
      <c r="ME33" s="174"/>
      <c r="MF33" s="38"/>
      <c r="MG33" s="35"/>
      <c r="MI33" s="54"/>
      <c r="MJ33" s="64"/>
      <c r="MK33" s="69"/>
      <c r="ML33" s="126"/>
      <c r="MM33" s="127"/>
      <c r="MO33" s="38"/>
      <c r="MP33" s="83"/>
      <c r="MQ33" s="158"/>
      <c r="MR33" s="174"/>
      <c r="MT33" s="4">
        <f t="shared" si="10"/>
        <v>2</v>
      </c>
      <c r="NB33"/>
      <c r="NC33" s="21"/>
      <c r="ND33" s="128"/>
      <c r="NE33" s="54"/>
    </row>
    <row r="34" spans="1:369" x14ac:dyDescent="0.15">
      <c r="A34" s="2" t="s">
        <v>62</v>
      </c>
      <c r="C34" s="21"/>
      <c r="D34" s="128"/>
      <c r="E34" s="54"/>
      <c r="F34" s="64"/>
      <c r="G34" s="69"/>
      <c r="H34" s="127"/>
      <c r="J34" s="21"/>
      <c r="K34" s="128"/>
      <c r="L34" s="54"/>
      <c r="M34" s="64"/>
      <c r="N34" s="69"/>
      <c r="O34" s="127"/>
      <c r="Q34" s="21"/>
      <c r="R34" s="128"/>
      <c r="S34" s="54"/>
      <c r="T34" s="64"/>
      <c r="U34" s="69"/>
      <c r="V34" s="127"/>
      <c r="X34" s="21"/>
      <c r="Y34" s="128"/>
      <c r="Z34" s="54"/>
      <c r="AA34" s="64"/>
      <c r="AB34" s="69"/>
      <c r="AC34" s="127"/>
      <c r="AE34" s="21"/>
      <c r="AF34" s="128"/>
      <c r="AG34" s="54"/>
      <c r="AH34" s="64"/>
      <c r="AI34" s="69"/>
      <c r="AJ34" s="127"/>
      <c r="AL34" s="21">
        <v>1</v>
      </c>
      <c r="AM34" s="128">
        <v>1</v>
      </c>
      <c r="AN34" s="54">
        <v>1</v>
      </c>
      <c r="AO34" s="64">
        <v>2</v>
      </c>
      <c r="AP34" s="69">
        <v>2</v>
      </c>
      <c r="AQ34" s="127">
        <v>2</v>
      </c>
      <c r="AS34" s="21">
        <v>1</v>
      </c>
      <c r="AT34" s="128">
        <v>1</v>
      </c>
      <c r="AU34" s="54">
        <v>1</v>
      </c>
      <c r="AV34" s="64">
        <v>2</v>
      </c>
      <c r="AW34" s="69">
        <v>1</v>
      </c>
      <c r="AX34" s="127">
        <v>2</v>
      </c>
      <c r="AZ34" s="21"/>
      <c r="BA34" s="128"/>
      <c r="BB34" s="54"/>
      <c r="BC34" s="64"/>
      <c r="BD34" s="69"/>
      <c r="BE34" s="127"/>
      <c r="BG34" s="21"/>
      <c r="BH34" s="128"/>
      <c r="BI34" s="54"/>
      <c r="BJ34" s="64"/>
      <c r="BK34" s="69"/>
      <c r="BL34" s="127"/>
      <c r="BN34" s="21"/>
      <c r="BO34" s="128"/>
      <c r="BP34" s="54"/>
      <c r="BQ34" s="64"/>
      <c r="BR34" s="69"/>
      <c r="BS34" s="127"/>
      <c r="BU34" s="21"/>
      <c r="BV34" s="128"/>
      <c r="BW34" s="54"/>
      <c r="BX34" s="64"/>
      <c r="BY34" s="69"/>
      <c r="BZ34" s="127"/>
      <c r="CB34" s="21"/>
      <c r="CC34" s="128"/>
      <c r="CD34" s="54"/>
      <c r="CE34" s="64"/>
      <c r="CF34" s="69"/>
      <c r="CG34" s="127"/>
      <c r="CI34" s="21"/>
      <c r="CJ34" s="128"/>
      <c r="CK34" s="54"/>
      <c r="CL34" s="64"/>
      <c r="CM34" s="69"/>
      <c r="CN34" s="127"/>
      <c r="CP34" s="21"/>
      <c r="CQ34" s="128"/>
      <c r="CR34" s="54"/>
      <c r="CS34" s="64"/>
      <c r="CT34" s="69"/>
      <c r="CV34" s="21"/>
      <c r="CW34" s="128"/>
      <c r="CX34" s="54"/>
      <c r="CY34" s="64"/>
      <c r="CZ34" s="69"/>
      <c r="DB34" s="21"/>
      <c r="DC34" s="128"/>
      <c r="DD34" s="54"/>
      <c r="DE34" s="64"/>
      <c r="DF34" s="69"/>
      <c r="DH34" s="21"/>
      <c r="DI34" s="128"/>
      <c r="DJ34" s="54"/>
      <c r="DK34" s="64"/>
      <c r="DL34" s="69"/>
      <c r="DN34" s="21"/>
      <c r="DO34" s="128"/>
      <c r="DP34" s="54"/>
      <c r="DQ34" s="64"/>
      <c r="DR34" s="69"/>
      <c r="DT34" s="21"/>
      <c r="DU34" s="128"/>
      <c r="DV34" s="54"/>
      <c r="DW34" s="64"/>
      <c r="DX34" s="69"/>
      <c r="DZ34" s="21"/>
      <c r="EA34" s="128"/>
      <c r="EB34" s="54"/>
      <c r="EC34" s="64"/>
      <c r="ED34" s="69"/>
      <c r="EF34" s="21"/>
      <c r="EG34" s="128"/>
      <c r="EH34" s="54"/>
      <c r="EI34" s="64"/>
      <c r="EJ34" s="69"/>
      <c r="EL34" s="21"/>
      <c r="EM34" s="128"/>
      <c r="EN34" s="54"/>
      <c r="EO34" s="64"/>
      <c r="EP34" s="69"/>
      <c r="ER34" s="21"/>
      <c r="ES34" s="128"/>
      <c r="ET34" s="54"/>
      <c r="EU34" s="64"/>
      <c r="EV34" s="69"/>
      <c r="EX34" s="21"/>
      <c r="EY34" s="128"/>
      <c r="EZ34" s="54"/>
      <c r="FA34" s="64"/>
      <c r="FB34" s="69"/>
      <c r="FD34" s="21"/>
      <c r="FE34" s="128"/>
      <c r="FF34" s="54"/>
      <c r="FG34" s="64"/>
      <c r="FH34" s="69"/>
      <c r="FJ34" s="21"/>
      <c r="FK34" s="128"/>
      <c r="FL34" s="54"/>
      <c r="FM34" s="64"/>
      <c r="FN34" s="69"/>
      <c r="FO34" s="128"/>
      <c r="FP34" s="54"/>
      <c r="FQ34" s="64"/>
      <c r="FR34" s="69"/>
      <c r="FT34" s="21"/>
      <c r="FU34" s="128"/>
      <c r="FV34" s="54"/>
      <c r="FW34" s="64"/>
      <c r="FX34" s="69"/>
      <c r="FZ34" s="21"/>
      <c r="GA34" s="128"/>
      <c r="GB34" s="54"/>
      <c r="GC34" s="64"/>
      <c r="GD34" s="69"/>
      <c r="GF34" s="21"/>
      <c r="GG34" s="128"/>
      <c r="GH34" s="54"/>
      <c r="GI34" s="64"/>
      <c r="GJ34" s="69"/>
      <c r="GL34" s="21"/>
      <c r="GM34" s="128"/>
      <c r="GN34" s="54"/>
      <c r="GO34" s="64"/>
      <c r="GP34" s="69"/>
      <c r="GR34" s="21"/>
      <c r="GS34" s="128"/>
      <c r="GT34" s="54"/>
      <c r="GU34" s="64"/>
      <c r="GV34" s="69"/>
      <c r="GX34" s="21"/>
      <c r="GY34" s="128"/>
      <c r="GZ34" s="54"/>
      <c r="HA34" s="64"/>
      <c r="HB34" s="69"/>
      <c r="HD34" s="21"/>
      <c r="HE34" s="128"/>
      <c r="HF34" s="54"/>
      <c r="HG34" s="64"/>
      <c r="HH34" s="69"/>
      <c r="HJ34" s="21"/>
      <c r="HK34" s="128"/>
      <c r="HL34" s="54"/>
      <c r="HM34" s="64"/>
      <c r="HN34" s="69"/>
      <c r="HP34" s="21"/>
      <c r="HQ34" s="128"/>
      <c r="HR34" s="54"/>
      <c r="HS34" s="64"/>
      <c r="HT34" s="69"/>
      <c r="HV34" s="21"/>
      <c r="HW34" s="128"/>
      <c r="HX34" s="54"/>
      <c r="HY34" s="64"/>
      <c r="HZ34" s="69"/>
      <c r="IB34" s="21"/>
      <c r="IC34" s="128"/>
      <c r="ID34" s="54"/>
      <c r="IE34" s="64"/>
      <c r="IF34" s="69"/>
      <c r="IH34" s="21"/>
      <c r="IJ34" s="21"/>
      <c r="IK34" s="128"/>
      <c r="IL34" s="54"/>
      <c r="IM34" s="64"/>
      <c r="IN34" s="69"/>
      <c r="IP34" s="21"/>
      <c r="IQ34" s="128"/>
      <c r="IR34" s="54"/>
      <c r="IS34" s="64"/>
      <c r="IT34" s="69"/>
      <c r="IV34" s="21"/>
      <c r="IW34" s="128"/>
      <c r="IX34" s="54"/>
      <c r="IY34" s="64"/>
      <c r="IZ34" s="69"/>
      <c r="JB34" s="21"/>
      <c r="JC34" s="128"/>
      <c r="JD34" s="54"/>
      <c r="JE34" s="64"/>
      <c r="JF34" s="69"/>
      <c r="JH34" s="21"/>
      <c r="JI34" s="128"/>
      <c r="JJ34" s="54"/>
      <c r="JK34" s="64"/>
      <c r="JL34" s="69"/>
      <c r="JN34" s="21"/>
      <c r="JO34" s="128"/>
      <c r="JP34" s="54"/>
      <c r="JQ34" s="64"/>
      <c r="JR34" s="69"/>
      <c r="JT34" s="21"/>
      <c r="JU34" s="128"/>
      <c r="JV34" s="54"/>
      <c r="JW34" s="64"/>
      <c r="JX34" s="69"/>
      <c r="JZ34" s="21"/>
      <c r="KA34" s="128"/>
      <c r="KB34" s="54"/>
      <c r="KC34" s="64"/>
      <c r="KD34" s="69"/>
      <c r="KF34" s="38"/>
      <c r="KG34" s="35"/>
      <c r="KI34" s="54"/>
      <c r="KJ34" s="64"/>
      <c r="KK34" s="69"/>
      <c r="KL34" s="126"/>
      <c r="KM34" s="127"/>
      <c r="KO34" s="38"/>
      <c r="KP34" s="83"/>
      <c r="KQ34" s="158"/>
      <c r="KR34" s="174"/>
      <c r="KS34" s="38"/>
      <c r="KT34" s="35"/>
      <c r="KV34" s="54"/>
      <c r="KW34" s="64"/>
      <c r="KX34" s="69"/>
      <c r="KY34" s="126"/>
      <c r="KZ34" s="127"/>
      <c r="LB34" s="38"/>
      <c r="LC34" s="83"/>
      <c r="LD34" s="158"/>
      <c r="LE34" s="174"/>
      <c r="LF34" s="38"/>
      <c r="LG34" s="35"/>
      <c r="LI34" s="54"/>
      <c r="LJ34" s="64"/>
      <c r="LK34" s="69"/>
      <c r="LL34" s="126"/>
      <c r="LM34" s="127"/>
      <c r="LO34" s="38"/>
      <c r="LP34" s="83"/>
      <c r="LQ34" s="158"/>
      <c r="LR34" s="174"/>
      <c r="LS34" s="38"/>
      <c r="LT34" s="35"/>
      <c r="LV34" s="54"/>
      <c r="LW34" s="64"/>
      <c r="LX34" s="69"/>
      <c r="LY34" s="126"/>
      <c r="LZ34" s="127"/>
      <c r="MB34" s="38"/>
      <c r="MC34" s="83"/>
      <c r="MD34" s="158"/>
      <c r="ME34" s="174"/>
      <c r="MF34" s="38"/>
      <c r="MG34" s="35"/>
      <c r="MI34" s="54"/>
      <c r="MJ34" s="64"/>
      <c r="MK34" s="69"/>
      <c r="ML34" s="126"/>
      <c r="MM34" s="127"/>
      <c r="MO34" s="38"/>
      <c r="MP34" s="83"/>
      <c r="MQ34" s="158"/>
      <c r="MR34" s="174"/>
      <c r="MT34" s="4">
        <f t="shared" si="10"/>
        <v>12</v>
      </c>
      <c r="NC34" s="21"/>
      <c r="ND34" s="128"/>
      <c r="NE34" s="54"/>
    </row>
    <row r="35" spans="1:369" x14ac:dyDescent="0.15">
      <c r="A35" s="2" t="s">
        <v>17</v>
      </c>
      <c r="C35" s="21">
        <v>1</v>
      </c>
      <c r="D35" s="128">
        <v>1</v>
      </c>
      <c r="E35" s="54"/>
      <c r="F35" s="64">
        <v>1</v>
      </c>
      <c r="G35" s="69">
        <v>1</v>
      </c>
      <c r="H35" s="127">
        <v>1</v>
      </c>
      <c r="J35" s="21">
        <v>1</v>
      </c>
      <c r="K35" s="128">
        <v>1</v>
      </c>
      <c r="L35" s="54">
        <v>1</v>
      </c>
      <c r="M35" s="64">
        <v>1</v>
      </c>
      <c r="N35" s="69">
        <v>1</v>
      </c>
      <c r="O35" s="127">
        <v>1</v>
      </c>
      <c r="Q35" s="21"/>
      <c r="R35" s="128"/>
      <c r="S35" s="54"/>
      <c r="T35" s="64"/>
      <c r="U35" s="69"/>
      <c r="V35" s="127"/>
      <c r="X35" s="21"/>
      <c r="Y35" s="128"/>
      <c r="Z35" s="54"/>
      <c r="AA35" s="64">
        <v>1</v>
      </c>
      <c r="AB35" s="69">
        <v>1</v>
      </c>
      <c r="AC35" s="127">
        <v>1</v>
      </c>
      <c r="AE35" s="21"/>
      <c r="AF35" s="128"/>
      <c r="AG35" s="54"/>
      <c r="AH35" s="64"/>
      <c r="AI35" s="69"/>
      <c r="AJ35" s="127"/>
      <c r="AL35" s="21"/>
      <c r="AM35" s="128"/>
      <c r="AN35" s="54"/>
      <c r="AO35" s="64"/>
      <c r="AP35" s="69"/>
      <c r="AQ35" s="127"/>
      <c r="AS35" s="21"/>
      <c r="AT35" s="128"/>
      <c r="AU35" s="54"/>
      <c r="AV35" s="64"/>
      <c r="AW35" s="69"/>
      <c r="AX35" s="127"/>
      <c r="AZ35" s="21"/>
      <c r="BA35" s="128"/>
      <c r="BB35" s="54"/>
      <c r="BC35" s="64"/>
      <c r="BD35" s="69"/>
      <c r="BE35" s="127"/>
      <c r="BG35" s="21"/>
      <c r="BH35" s="128"/>
      <c r="BI35" s="54"/>
      <c r="BJ35" s="64"/>
      <c r="BK35" s="69"/>
      <c r="BL35" s="127"/>
      <c r="BN35" s="21"/>
      <c r="BO35" s="128"/>
      <c r="BP35" s="54"/>
      <c r="BQ35" s="64"/>
      <c r="BR35" s="69"/>
      <c r="BS35" s="127"/>
      <c r="BU35" s="21"/>
      <c r="BV35" s="128"/>
      <c r="BW35" s="54"/>
      <c r="BX35" s="64"/>
      <c r="BY35" s="69"/>
      <c r="BZ35" s="127"/>
      <c r="CB35" s="21"/>
      <c r="CC35" s="128">
        <v>1</v>
      </c>
      <c r="CD35" s="54"/>
      <c r="CE35" s="64">
        <v>1</v>
      </c>
      <c r="CF35" s="69"/>
      <c r="CG35" s="127"/>
      <c r="CI35" s="21"/>
      <c r="CJ35" s="128"/>
      <c r="CK35" s="54"/>
      <c r="CL35" s="64"/>
      <c r="CM35" s="69"/>
      <c r="CN35" s="127"/>
      <c r="CP35" s="21"/>
      <c r="CQ35" s="128"/>
      <c r="CR35" s="54"/>
      <c r="CS35" s="64"/>
      <c r="CT35" s="69"/>
      <c r="CV35" s="21"/>
      <c r="CW35" s="128"/>
      <c r="CX35" s="54"/>
      <c r="CY35" s="64"/>
      <c r="CZ35" s="69"/>
      <c r="DB35" s="21"/>
      <c r="DC35" s="128"/>
      <c r="DD35" s="54"/>
      <c r="DE35" s="64"/>
      <c r="DF35" s="69"/>
      <c r="DH35" s="21"/>
      <c r="DI35" s="128"/>
      <c r="DJ35" s="54"/>
      <c r="DK35" s="64"/>
      <c r="DL35" s="69"/>
      <c r="DN35" s="21"/>
      <c r="DO35" s="128"/>
      <c r="DP35" s="54"/>
      <c r="DQ35" s="64"/>
      <c r="DR35" s="69"/>
      <c r="DT35" s="21"/>
      <c r="DU35" s="128"/>
      <c r="DV35" s="54"/>
      <c r="DW35" s="64"/>
      <c r="DX35" s="69"/>
      <c r="DZ35" s="21"/>
      <c r="EA35" s="128"/>
      <c r="EB35" s="54"/>
      <c r="EC35" s="64"/>
      <c r="ED35" s="69"/>
      <c r="EF35" s="21"/>
      <c r="EG35" s="128"/>
      <c r="EH35" s="54"/>
      <c r="EI35" s="64"/>
      <c r="EJ35" s="69"/>
      <c r="EL35" s="21"/>
      <c r="EM35" s="128"/>
      <c r="EN35" s="54"/>
      <c r="EO35" s="64"/>
      <c r="EP35" s="69"/>
      <c r="ER35" s="21"/>
      <c r="ES35" s="128"/>
      <c r="ET35" s="54"/>
      <c r="EU35" s="64"/>
      <c r="EV35" s="69"/>
      <c r="EX35" s="21"/>
      <c r="EY35" s="128"/>
      <c r="EZ35" s="54"/>
      <c r="FA35" s="64"/>
      <c r="FB35" s="69"/>
      <c r="FD35" s="21"/>
      <c r="FE35" s="128"/>
      <c r="FF35" s="54"/>
      <c r="FG35" s="64"/>
      <c r="FH35" s="69"/>
      <c r="FJ35" s="21"/>
      <c r="FK35" s="128"/>
      <c r="FL35" s="54"/>
      <c r="FM35" s="64"/>
      <c r="FN35" s="69"/>
      <c r="FO35" s="128"/>
      <c r="FP35" s="54"/>
      <c r="FQ35" s="64"/>
      <c r="FR35" s="69"/>
      <c r="FT35" s="21"/>
      <c r="FU35" s="128"/>
      <c r="FV35" s="54"/>
      <c r="FW35" s="64"/>
      <c r="FX35" s="69"/>
      <c r="FZ35" s="21"/>
      <c r="GA35" s="128"/>
      <c r="GB35" s="54"/>
      <c r="GC35" s="64"/>
      <c r="GD35" s="69"/>
      <c r="GF35" s="21"/>
      <c r="GG35" s="128"/>
      <c r="GH35" s="54"/>
      <c r="GI35" s="64"/>
      <c r="GJ35" s="69"/>
      <c r="GL35" s="21"/>
      <c r="GM35" s="128"/>
      <c r="GN35" s="54"/>
      <c r="GO35" s="64"/>
      <c r="GP35" s="69"/>
      <c r="GR35" s="21"/>
      <c r="GS35" s="128"/>
      <c r="GT35" s="54"/>
      <c r="GU35" s="64"/>
      <c r="GV35" s="69"/>
      <c r="GX35" s="21"/>
      <c r="GY35" s="128"/>
      <c r="GZ35" s="54"/>
      <c r="HA35" s="64"/>
      <c r="HB35" s="69"/>
      <c r="HD35" s="21"/>
      <c r="HE35" s="128"/>
      <c r="HF35" s="54"/>
      <c r="HG35" s="64"/>
      <c r="HH35" s="69"/>
      <c r="HJ35" s="21"/>
      <c r="HK35" s="128"/>
      <c r="HL35" s="54"/>
      <c r="HM35" s="64"/>
      <c r="HN35" s="69"/>
      <c r="HP35" s="21"/>
      <c r="HQ35" s="128"/>
      <c r="HR35" s="54"/>
      <c r="HS35" s="64"/>
      <c r="HT35" s="69"/>
      <c r="HV35" s="21"/>
      <c r="HW35" s="128"/>
      <c r="HX35" s="54"/>
      <c r="HY35" s="64"/>
      <c r="HZ35" s="69"/>
      <c r="IB35" s="21"/>
      <c r="IC35" s="128"/>
      <c r="ID35" s="54"/>
      <c r="IE35" s="64"/>
      <c r="IF35" s="69"/>
      <c r="IH35" s="21"/>
      <c r="IJ35" s="21"/>
      <c r="IK35" s="128"/>
      <c r="IL35" s="54"/>
      <c r="IM35" s="64"/>
      <c r="IN35" s="69"/>
      <c r="IP35" s="21"/>
      <c r="IQ35" s="128"/>
      <c r="IR35" s="54"/>
      <c r="IS35" s="64"/>
      <c r="IT35" s="69"/>
      <c r="IV35" s="21"/>
      <c r="IW35" s="128"/>
      <c r="IX35" s="54"/>
      <c r="IY35" s="64"/>
      <c r="IZ35" s="69"/>
      <c r="JB35" s="21"/>
      <c r="JC35" s="128"/>
      <c r="JD35" s="54"/>
      <c r="JE35" s="64"/>
      <c r="JF35" s="69"/>
      <c r="JH35" s="21"/>
      <c r="JI35" s="128"/>
      <c r="JJ35" s="54"/>
      <c r="JK35" s="64"/>
      <c r="JL35" s="69"/>
      <c r="JN35" s="21"/>
      <c r="JO35" s="128"/>
      <c r="JP35" s="54"/>
      <c r="JQ35" s="64"/>
      <c r="JR35" s="69"/>
      <c r="JT35" s="21"/>
      <c r="JU35" s="128"/>
      <c r="JV35" s="54"/>
      <c r="JW35" s="64"/>
      <c r="JX35" s="69"/>
      <c r="JZ35" s="21"/>
      <c r="KA35" s="128"/>
      <c r="KB35" s="54"/>
      <c r="KC35" s="64"/>
      <c r="KD35" s="69"/>
      <c r="KF35" s="38"/>
      <c r="KG35" s="35"/>
      <c r="KI35" s="54"/>
      <c r="KJ35" s="64"/>
      <c r="KK35" s="69"/>
      <c r="KL35" s="126"/>
      <c r="KM35" s="127"/>
      <c r="KO35" s="38"/>
      <c r="KP35" s="83"/>
      <c r="KQ35" s="158"/>
      <c r="KR35" s="174"/>
      <c r="KS35" s="38"/>
      <c r="KT35" s="35"/>
      <c r="KV35" s="54"/>
      <c r="KW35" s="64"/>
      <c r="KX35" s="69"/>
      <c r="KY35" s="126"/>
      <c r="KZ35" s="127"/>
      <c r="LB35" s="38"/>
      <c r="LC35" s="83"/>
      <c r="LD35" s="158"/>
      <c r="LE35" s="174"/>
      <c r="LF35" s="38"/>
      <c r="LG35" s="35"/>
      <c r="LI35" s="54"/>
      <c r="LJ35" s="64"/>
      <c r="LK35" s="69"/>
      <c r="LL35" s="126"/>
      <c r="LM35" s="127"/>
      <c r="LO35" s="38"/>
      <c r="LP35" s="83"/>
      <c r="LQ35" s="158"/>
      <c r="LR35" s="174"/>
      <c r="LS35" s="38"/>
      <c r="LT35" s="35"/>
      <c r="LV35" s="54"/>
      <c r="LW35" s="64"/>
      <c r="LX35" s="69"/>
      <c r="LY35" s="126"/>
      <c r="LZ35" s="127"/>
      <c r="MB35" s="38"/>
      <c r="MC35" s="83"/>
      <c r="MD35" s="158"/>
      <c r="ME35" s="174"/>
      <c r="MF35" s="38"/>
      <c r="MG35" s="35"/>
      <c r="MI35" s="54"/>
      <c r="MJ35" s="64"/>
      <c r="MK35" s="69"/>
      <c r="ML35" s="126"/>
      <c r="MM35" s="127"/>
      <c r="MO35" s="38"/>
      <c r="MP35" s="83"/>
      <c r="MQ35" s="158"/>
      <c r="MR35" s="174"/>
      <c r="MT35" s="4">
        <f t="shared" si="10"/>
        <v>16</v>
      </c>
      <c r="NC35" s="21"/>
      <c r="ND35" s="128"/>
      <c r="NE35" s="54"/>
    </row>
    <row r="36" spans="1:369" x14ac:dyDescent="0.15">
      <c r="A36" s="2" t="s">
        <v>49</v>
      </c>
      <c r="B36" s="17"/>
      <c r="C36" s="21"/>
      <c r="D36" s="128">
        <v>1</v>
      </c>
      <c r="E36" s="54">
        <v>2</v>
      </c>
      <c r="F36" s="64">
        <v>2</v>
      </c>
      <c r="G36" s="69">
        <v>1</v>
      </c>
      <c r="H36" s="127">
        <v>2</v>
      </c>
      <c r="J36" s="21"/>
      <c r="K36" s="128">
        <v>1</v>
      </c>
      <c r="L36" s="54">
        <v>3</v>
      </c>
      <c r="M36" s="64">
        <v>1</v>
      </c>
      <c r="N36" s="69">
        <v>1</v>
      </c>
      <c r="O36" s="127">
        <v>1</v>
      </c>
      <c r="Q36" s="21"/>
      <c r="R36" s="128">
        <v>1</v>
      </c>
      <c r="S36" s="54">
        <v>2</v>
      </c>
      <c r="T36" s="64">
        <v>2</v>
      </c>
      <c r="U36" s="69">
        <v>2</v>
      </c>
      <c r="V36" s="127">
        <v>2</v>
      </c>
      <c r="X36" s="21"/>
      <c r="Y36" s="128">
        <v>2</v>
      </c>
      <c r="Z36" s="54">
        <v>2</v>
      </c>
      <c r="AA36" s="64">
        <v>2</v>
      </c>
      <c r="AB36" s="69">
        <v>3</v>
      </c>
      <c r="AC36" s="127">
        <v>2</v>
      </c>
      <c r="AE36" s="21"/>
      <c r="AF36" s="128">
        <v>1</v>
      </c>
      <c r="AG36" s="54">
        <v>1</v>
      </c>
      <c r="AH36" s="64">
        <v>1</v>
      </c>
      <c r="AI36" s="69">
        <v>2</v>
      </c>
      <c r="AJ36" s="127">
        <v>2</v>
      </c>
      <c r="AL36" s="21"/>
      <c r="AM36" s="128">
        <v>3</v>
      </c>
      <c r="AN36" s="54">
        <v>3</v>
      </c>
      <c r="AO36" s="64">
        <v>3</v>
      </c>
      <c r="AP36" s="69">
        <v>2</v>
      </c>
      <c r="AQ36" s="127">
        <v>2</v>
      </c>
      <c r="AS36" s="21"/>
      <c r="AT36" s="128">
        <v>1</v>
      </c>
      <c r="AU36" s="54">
        <v>2</v>
      </c>
      <c r="AV36" s="64">
        <v>3</v>
      </c>
      <c r="AW36" s="69">
        <v>2</v>
      </c>
      <c r="AX36" s="127">
        <v>2</v>
      </c>
      <c r="AZ36" s="21"/>
      <c r="BA36" s="128">
        <v>1</v>
      </c>
      <c r="BB36" s="54">
        <v>2</v>
      </c>
      <c r="BC36" s="64">
        <v>2</v>
      </c>
      <c r="BD36" s="69">
        <v>2</v>
      </c>
      <c r="BE36" s="127">
        <v>1</v>
      </c>
      <c r="BG36" s="21"/>
      <c r="BH36" s="128">
        <v>2</v>
      </c>
      <c r="BI36" s="54">
        <v>2</v>
      </c>
      <c r="BJ36" s="64">
        <v>1</v>
      </c>
      <c r="BK36" s="69">
        <v>2</v>
      </c>
      <c r="BL36" s="127">
        <v>1</v>
      </c>
      <c r="BN36" s="21"/>
      <c r="BO36" s="128">
        <v>2</v>
      </c>
      <c r="BP36" s="54">
        <v>2</v>
      </c>
      <c r="BQ36" s="64">
        <v>1</v>
      </c>
      <c r="BR36" s="69">
        <v>2</v>
      </c>
      <c r="BS36" s="127">
        <v>1</v>
      </c>
      <c r="BU36" s="21"/>
      <c r="BV36" s="128">
        <v>1</v>
      </c>
      <c r="BW36" s="54">
        <v>3</v>
      </c>
      <c r="BX36" s="64">
        <v>2</v>
      </c>
      <c r="BY36" s="69">
        <v>2</v>
      </c>
      <c r="BZ36" s="127">
        <v>1</v>
      </c>
      <c r="CB36" s="21"/>
      <c r="CC36" s="128"/>
      <c r="CD36" s="54">
        <v>2</v>
      </c>
      <c r="CE36" s="64">
        <v>2</v>
      </c>
      <c r="CF36" s="69">
        <v>3</v>
      </c>
      <c r="CG36" s="127">
        <v>1</v>
      </c>
      <c r="CI36" s="21"/>
      <c r="CJ36" s="128">
        <v>1</v>
      </c>
      <c r="CK36" s="54">
        <v>2</v>
      </c>
      <c r="CL36" s="64">
        <v>2</v>
      </c>
      <c r="CM36" s="69">
        <v>2</v>
      </c>
      <c r="CN36" s="127">
        <v>2</v>
      </c>
      <c r="CP36" s="21">
        <v>2</v>
      </c>
      <c r="CQ36" s="128">
        <v>2</v>
      </c>
      <c r="CR36" s="54">
        <v>3</v>
      </c>
      <c r="CS36" s="64">
        <v>3</v>
      </c>
      <c r="CT36" s="69">
        <v>3</v>
      </c>
      <c r="CV36" s="21">
        <v>3</v>
      </c>
      <c r="CW36" s="128">
        <v>3</v>
      </c>
      <c r="CX36" s="54">
        <v>2</v>
      </c>
      <c r="CY36" s="64">
        <v>3</v>
      </c>
      <c r="CZ36" s="69">
        <v>3</v>
      </c>
      <c r="DB36" s="21">
        <v>1</v>
      </c>
      <c r="DC36" s="128">
        <v>2</v>
      </c>
      <c r="DD36" s="54">
        <v>1</v>
      </c>
      <c r="DE36" s="64">
        <v>2</v>
      </c>
      <c r="DF36" s="69">
        <v>2</v>
      </c>
      <c r="DH36" s="21">
        <v>3</v>
      </c>
      <c r="DI36" s="128">
        <v>2</v>
      </c>
      <c r="DJ36" s="54">
        <v>1</v>
      </c>
      <c r="DK36" s="64">
        <v>2</v>
      </c>
      <c r="DL36" s="69">
        <v>2</v>
      </c>
      <c r="DN36" s="21"/>
      <c r="DO36" s="128">
        <v>2</v>
      </c>
      <c r="DP36" s="54">
        <v>2</v>
      </c>
      <c r="DQ36" s="64">
        <v>2</v>
      </c>
      <c r="DR36" s="69">
        <v>2</v>
      </c>
      <c r="DT36" s="21">
        <v>2</v>
      </c>
      <c r="DU36" s="128">
        <v>2</v>
      </c>
      <c r="DV36" s="54">
        <v>2</v>
      </c>
      <c r="DW36" s="64">
        <v>2</v>
      </c>
      <c r="DX36" s="69">
        <v>2</v>
      </c>
      <c r="DZ36" s="21">
        <v>3</v>
      </c>
      <c r="EA36" s="128">
        <v>3</v>
      </c>
      <c r="EB36" s="54">
        <v>2</v>
      </c>
      <c r="EC36" s="64">
        <v>2</v>
      </c>
      <c r="ED36" s="69">
        <v>3</v>
      </c>
      <c r="EF36" s="21">
        <v>2</v>
      </c>
      <c r="EG36" s="128">
        <v>2</v>
      </c>
      <c r="EH36" s="54">
        <v>2</v>
      </c>
      <c r="EI36" s="64">
        <v>2</v>
      </c>
      <c r="EJ36" s="69">
        <v>2</v>
      </c>
      <c r="EL36" s="21"/>
      <c r="EM36" s="128"/>
      <c r="EN36" s="54"/>
      <c r="EO36" s="64"/>
      <c r="EP36" s="69"/>
      <c r="ER36" s="21">
        <v>1</v>
      </c>
      <c r="ES36" s="128">
        <v>1</v>
      </c>
      <c r="ET36" s="54"/>
      <c r="EU36" s="64">
        <v>1</v>
      </c>
      <c r="EV36" s="69">
        <v>1</v>
      </c>
      <c r="EX36" s="21">
        <v>1</v>
      </c>
      <c r="EY36" s="128">
        <v>2</v>
      </c>
      <c r="EZ36" s="54">
        <v>1</v>
      </c>
      <c r="FA36" s="64">
        <v>1</v>
      </c>
      <c r="FB36" s="69">
        <v>1</v>
      </c>
      <c r="FD36" s="21"/>
      <c r="FE36" s="128">
        <v>2</v>
      </c>
      <c r="FF36" s="54">
        <v>1</v>
      </c>
      <c r="FG36" s="64">
        <v>2</v>
      </c>
      <c r="FH36" s="69">
        <v>2</v>
      </c>
      <c r="FJ36" s="21"/>
      <c r="FK36" s="128">
        <v>1</v>
      </c>
      <c r="FL36" s="54">
        <v>1</v>
      </c>
      <c r="FM36" s="64">
        <v>2</v>
      </c>
      <c r="FN36" s="69">
        <v>3</v>
      </c>
      <c r="FO36" s="128">
        <v>1</v>
      </c>
      <c r="FP36" s="54">
        <v>1</v>
      </c>
      <c r="FQ36" s="64">
        <v>1</v>
      </c>
      <c r="FR36" s="69">
        <v>3</v>
      </c>
      <c r="FT36" s="21">
        <v>2</v>
      </c>
      <c r="FU36" s="128">
        <v>1</v>
      </c>
      <c r="FV36" s="54">
        <v>1</v>
      </c>
      <c r="FW36" s="64">
        <v>2</v>
      </c>
      <c r="FX36" s="69">
        <v>2</v>
      </c>
      <c r="FZ36" s="21">
        <v>1</v>
      </c>
      <c r="GA36" s="128">
        <v>1</v>
      </c>
      <c r="GB36" s="54">
        <v>1</v>
      </c>
      <c r="GC36" s="64">
        <v>1</v>
      </c>
      <c r="GD36" s="69">
        <v>1</v>
      </c>
      <c r="GF36" s="21">
        <v>1</v>
      </c>
      <c r="GG36" s="128">
        <v>2</v>
      </c>
      <c r="GH36" s="54">
        <v>2</v>
      </c>
      <c r="GI36" s="64">
        <v>1</v>
      </c>
      <c r="GJ36" s="69">
        <v>2</v>
      </c>
      <c r="GL36" s="21">
        <v>1</v>
      </c>
      <c r="GM36" s="128">
        <v>1</v>
      </c>
      <c r="GN36" s="54">
        <v>1</v>
      </c>
      <c r="GO36" s="64">
        <v>1</v>
      </c>
      <c r="GP36" s="69">
        <v>1</v>
      </c>
      <c r="GR36" s="21">
        <v>1</v>
      </c>
      <c r="GS36" s="128">
        <v>1</v>
      </c>
      <c r="GT36" s="54">
        <v>1</v>
      </c>
      <c r="GU36" s="64">
        <v>1</v>
      </c>
      <c r="GV36" s="69">
        <v>2</v>
      </c>
      <c r="GX36" s="21"/>
      <c r="GY36" s="128">
        <v>1</v>
      </c>
      <c r="GZ36" s="54">
        <v>1</v>
      </c>
      <c r="HA36" s="64">
        <v>1</v>
      </c>
      <c r="HB36" s="69">
        <v>1</v>
      </c>
      <c r="HD36" s="21">
        <v>2</v>
      </c>
      <c r="HE36" s="128">
        <v>1</v>
      </c>
      <c r="HF36" s="54">
        <v>1</v>
      </c>
      <c r="HG36" s="64">
        <v>1</v>
      </c>
      <c r="HH36" s="69">
        <v>1</v>
      </c>
      <c r="HJ36" s="21">
        <v>1</v>
      </c>
      <c r="HK36" s="128">
        <v>1</v>
      </c>
      <c r="HL36" s="54">
        <v>1</v>
      </c>
      <c r="HM36" s="64">
        <v>1</v>
      </c>
      <c r="HN36" s="69">
        <v>1</v>
      </c>
      <c r="HP36" s="21">
        <v>2</v>
      </c>
      <c r="HQ36" s="128">
        <v>1</v>
      </c>
      <c r="HR36" s="54">
        <v>1</v>
      </c>
      <c r="HS36" s="64">
        <v>1</v>
      </c>
      <c r="HT36" s="69"/>
      <c r="HV36" s="21">
        <v>1</v>
      </c>
      <c r="HW36" s="128">
        <v>1</v>
      </c>
      <c r="HX36" s="54"/>
      <c r="HY36" s="64"/>
      <c r="HZ36" s="69">
        <v>1</v>
      </c>
      <c r="IB36" s="21"/>
      <c r="IC36" s="128">
        <v>1</v>
      </c>
      <c r="ID36" s="54"/>
      <c r="IE36" s="64">
        <v>1</v>
      </c>
      <c r="IF36" s="69">
        <v>1</v>
      </c>
      <c r="IH36" s="21"/>
      <c r="IJ36" s="21">
        <v>1</v>
      </c>
      <c r="IK36" s="128">
        <v>1</v>
      </c>
      <c r="IL36" s="54">
        <v>1</v>
      </c>
      <c r="IM36" s="64">
        <v>1</v>
      </c>
      <c r="IN36" s="69">
        <v>1</v>
      </c>
      <c r="IP36" s="21"/>
      <c r="IQ36" s="128"/>
      <c r="IR36" s="54"/>
      <c r="IS36" s="64">
        <v>1</v>
      </c>
      <c r="IT36" s="69">
        <v>1</v>
      </c>
      <c r="IV36" s="21"/>
      <c r="IW36" s="128">
        <v>1</v>
      </c>
      <c r="IX36" s="54">
        <v>1</v>
      </c>
      <c r="IY36" s="64"/>
      <c r="IZ36" s="69"/>
      <c r="JB36" s="21"/>
      <c r="JC36" s="128"/>
      <c r="JD36" s="54"/>
      <c r="JE36" s="64"/>
      <c r="JF36" s="69"/>
      <c r="JH36" s="21"/>
      <c r="JI36" s="128">
        <v>1</v>
      </c>
      <c r="JJ36" s="54"/>
      <c r="JK36" s="64">
        <v>1</v>
      </c>
      <c r="JL36" s="69">
        <v>1</v>
      </c>
      <c r="JN36" s="21"/>
      <c r="JO36" s="128">
        <v>1</v>
      </c>
      <c r="JP36" s="54"/>
      <c r="JQ36" s="64">
        <v>1</v>
      </c>
      <c r="JR36" s="69">
        <v>1</v>
      </c>
      <c r="JT36" s="21"/>
      <c r="JU36" s="128">
        <v>1</v>
      </c>
      <c r="JV36" s="54">
        <v>1</v>
      </c>
      <c r="JW36" s="64">
        <v>1</v>
      </c>
      <c r="JX36" s="69">
        <v>1</v>
      </c>
      <c r="JZ36" s="21">
        <v>1</v>
      </c>
      <c r="KA36" s="128">
        <v>1</v>
      </c>
      <c r="KB36" s="54">
        <v>1</v>
      </c>
      <c r="KC36" s="64">
        <v>1</v>
      </c>
      <c r="KD36" s="69">
        <v>1</v>
      </c>
      <c r="KF36" s="38">
        <v>3</v>
      </c>
      <c r="KG36" s="35">
        <v>2</v>
      </c>
      <c r="KH36" s="4">
        <v>1</v>
      </c>
      <c r="KI36" s="54">
        <v>1</v>
      </c>
      <c r="KJ36" s="64">
        <v>2</v>
      </c>
      <c r="KK36" s="69">
        <v>2</v>
      </c>
      <c r="KL36" s="126">
        <v>1</v>
      </c>
      <c r="KM36" s="127">
        <v>1</v>
      </c>
      <c r="KN36" s="4">
        <v>2</v>
      </c>
      <c r="KO36" s="38">
        <v>1</v>
      </c>
      <c r="KP36" s="83">
        <v>1</v>
      </c>
      <c r="KQ36" s="158">
        <v>1</v>
      </c>
      <c r="KR36" s="174">
        <v>2</v>
      </c>
      <c r="KS36" s="38">
        <v>1</v>
      </c>
      <c r="KT36" s="35">
        <v>3</v>
      </c>
      <c r="KU36" s="4">
        <v>2</v>
      </c>
      <c r="KV36" s="54">
        <v>2</v>
      </c>
      <c r="KW36" s="64">
        <v>2</v>
      </c>
      <c r="KX36" s="69">
        <v>3</v>
      </c>
      <c r="KY36" s="126">
        <v>3</v>
      </c>
      <c r="KZ36" s="127">
        <v>2</v>
      </c>
      <c r="LA36" s="4">
        <v>3</v>
      </c>
      <c r="LB36" s="38">
        <v>3</v>
      </c>
      <c r="LC36" s="83">
        <v>2</v>
      </c>
      <c r="LD36" s="158">
        <v>2</v>
      </c>
      <c r="LE36" s="174">
        <v>2</v>
      </c>
      <c r="LF36" s="38">
        <v>1</v>
      </c>
      <c r="LG36" s="35">
        <v>3</v>
      </c>
      <c r="LH36" s="4">
        <v>4</v>
      </c>
      <c r="LI36" s="54">
        <v>2</v>
      </c>
      <c r="LJ36" s="64">
        <v>2</v>
      </c>
      <c r="LK36" s="69">
        <v>3</v>
      </c>
      <c r="LL36" s="126">
        <v>3</v>
      </c>
      <c r="LM36" s="127">
        <v>3</v>
      </c>
      <c r="LN36" s="4">
        <v>2</v>
      </c>
      <c r="LO36" s="38">
        <v>2</v>
      </c>
      <c r="LP36" s="83">
        <v>1</v>
      </c>
      <c r="LQ36" s="158">
        <v>1</v>
      </c>
      <c r="LR36" s="174">
        <v>2</v>
      </c>
      <c r="LS36" s="38"/>
      <c r="LT36" s="35"/>
      <c r="LV36" s="54"/>
      <c r="LW36" s="64"/>
      <c r="LX36" s="69">
        <v>1</v>
      </c>
      <c r="LY36" s="126">
        <v>1</v>
      </c>
      <c r="LZ36" s="127">
        <v>1</v>
      </c>
      <c r="MA36" s="4">
        <v>1</v>
      </c>
      <c r="MB36" s="38">
        <v>1</v>
      </c>
      <c r="MC36" s="83">
        <v>1</v>
      </c>
      <c r="MD36" s="158">
        <v>1</v>
      </c>
      <c r="ME36" s="174">
        <v>1</v>
      </c>
      <c r="MF36" s="38">
        <v>1</v>
      </c>
      <c r="MG36" s="35"/>
      <c r="MI36" s="54"/>
      <c r="MJ36" s="64"/>
      <c r="MK36" s="69"/>
      <c r="ML36" s="126"/>
      <c r="MM36" s="127"/>
      <c r="MO36" s="38"/>
      <c r="MP36" s="83"/>
      <c r="MQ36" s="158"/>
      <c r="MR36" s="174"/>
      <c r="MT36" s="4">
        <f t="shared" si="10"/>
        <v>245</v>
      </c>
      <c r="NC36" s="21"/>
      <c r="ND36" s="128"/>
      <c r="NE36" s="54">
        <v>1</v>
      </c>
    </row>
    <row r="37" spans="1:369" x14ac:dyDescent="0.15">
      <c r="A37" s="2" t="s">
        <v>6</v>
      </c>
      <c r="C37" s="21"/>
      <c r="D37" s="128">
        <v>2</v>
      </c>
      <c r="E37" s="54">
        <v>1</v>
      </c>
      <c r="F37" s="64">
        <v>1</v>
      </c>
      <c r="G37" s="69">
        <v>1</v>
      </c>
      <c r="H37" s="127">
        <v>2</v>
      </c>
      <c r="J37" s="21">
        <v>1</v>
      </c>
      <c r="K37" s="128">
        <v>1</v>
      </c>
      <c r="L37" s="54">
        <v>1</v>
      </c>
      <c r="M37" s="64">
        <v>1</v>
      </c>
      <c r="N37" s="69">
        <v>1</v>
      </c>
      <c r="O37" s="127">
        <v>1</v>
      </c>
      <c r="Q37" s="21"/>
      <c r="R37" s="128"/>
      <c r="S37" s="54"/>
      <c r="T37" s="64"/>
      <c r="U37" s="69"/>
      <c r="V37" s="127"/>
      <c r="X37" s="21"/>
      <c r="Y37" s="128"/>
      <c r="Z37" s="54"/>
      <c r="AA37" s="64"/>
      <c r="AB37" s="69"/>
      <c r="AC37" s="127"/>
      <c r="AE37" s="21">
        <v>1</v>
      </c>
      <c r="AF37" s="128"/>
      <c r="AG37" s="54"/>
      <c r="AH37" s="64"/>
      <c r="AI37" s="69"/>
      <c r="AJ37" s="127"/>
      <c r="AL37" s="21"/>
      <c r="AM37" s="128"/>
      <c r="AN37" s="54"/>
      <c r="AO37" s="64"/>
      <c r="AP37" s="69"/>
      <c r="AQ37" s="127"/>
      <c r="AS37" s="21"/>
      <c r="AT37" s="128"/>
      <c r="AU37" s="54"/>
      <c r="AV37" s="64"/>
      <c r="AW37" s="69"/>
      <c r="AX37" s="127"/>
      <c r="AZ37" s="21"/>
      <c r="BA37" s="128"/>
      <c r="BB37" s="54"/>
      <c r="BC37" s="64"/>
      <c r="BD37" s="69"/>
      <c r="BE37" s="127"/>
      <c r="BG37" s="21"/>
      <c r="BH37" s="128"/>
      <c r="BI37" s="54"/>
      <c r="BJ37" s="64"/>
      <c r="BK37" s="69"/>
      <c r="BL37" s="127"/>
      <c r="BN37" s="21"/>
      <c r="BO37" s="128"/>
      <c r="BP37" s="54"/>
      <c r="BQ37" s="64">
        <v>3</v>
      </c>
      <c r="BR37" s="69"/>
      <c r="BS37" s="127"/>
      <c r="BU37" s="21"/>
      <c r="BV37" s="128"/>
      <c r="BW37" s="54"/>
      <c r="BX37" s="64"/>
      <c r="BY37" s="69"/>
      <c r="BZ37" s="127"/>
      <c r="CB37" s="21"/>
      <c r="CC37" s="128"/>
      <c r="CD37" s="54"/>
      <c r="CE37" s="64"/>
      <c r="CF37" s="69"/>
      <c r="CG37" s="127"/>
      <c r="CI37" s="21"/>
      <c r="CJ37" s="128"/>
      <c r="CK37" s="54"/>
      <c r="CL37" s="64"/>
      <c r="CM37" s="69"/>
      <c r="CN37" s="127"/>
      <c r="CP37" s="21"/>
      <c r="CQ37" s="128"/>
      <c r="CR37" s="54"/>
      <c r="CS37" s="64"/>
      <c r="CT37" s="69"/>
      <c r="CV37" s="21"/>
      <c r="CW37" s="128"/>
      <c r="CX37" s="54"/>
      <c r="CY37" s="64"/>
      <c r="CZ37" s="69"/>
      <c r="DB37" s="21"/>
      <c r="DC37" s="128"/>
      <c r="DD37" s="54"/>
      <c r="DE37" s="64"/>
      <c r="DF37" s="69"/>
      <c r="DH37" s="21"/>
      <c r="DI37" s="128"/>
      <c r="DJ37" s="54"/>
      <c r="DK37" s="64"/>
      <c r="DL37" s="69"/>
      <c r="DN37" s="21"/>
      <c r="DO37" s="128"/>
      <c r="DP37" s="54"/>
      <c r="DQ37" s="64"/>
      <c r="DR37" s="69"/>
      <c r="DT37" s="21"/>
      <c r="DU37" s="128"/>
      <c r="DV37" s="54"/>
      <c r="DW37" s="64"/>
      <c r="DX37" s="69"/>
      <c r="DZ37" s="21"/>
      <c r="EA37" s="128"/>
      <c r="EB37" s="54"/>
      <c r="EC37" s="64"/>
      <c r="ED37" s="69"/>
      <c r="EF37" s="21"/>
      <c r="EG37" s="128"/>
      <c r="EH37" s="54"/>
      <c r="EI37" s="64"/>
      <c r="EJ37" s="69"/>
      <c r="EL37" s="21"/>
      <c r="EM37" s="128"/>
      <c r="EN37" s="54"/>
      <c r="EO37" s="64"/>
      <c r="EP37" s="69"/>
      <c r="ER37" s="21"/>
      <c r="ES37" s="128"/>
      <c r="ET37" s="54"/>
      <c r="EU37" s="64"/>
      <c r="EV37" s="69"/>
      <c r="EX37" s="21"/>
      <c r="EY37" s="128"/>
      <c r="EZ37" s="54"/>
      <c r="FA37" s="64"/>
      <c r="FB37" s="69"/>
      <c r="FD37" s="21"/>
      <c r="FE37" s="128"/>
      <c r="FF37" s="54"/>
      <c r="FG37" s="64"/>
      <c r="FH37" s="69"/>
      <c r="FJ37" s="21"/>
      <c r="FK37" s="128"/>
      <c r="FL37" s="54"/>
      <c r="FM37" s="64"/>
      <c r="FN37" s="69"/>
      <c r="FO37" s="128"/>
      <c r="FP37" s="54"/>
      <c r="FQ37" s="64"/>
      <c r="FR37" s="69"/>
      <c r="FT37" s="21"/>
      <c r="FU37" s="128"/>
      <c r="FV37" s="54"/>
      <c r="FW37" s="64"/>
      <c r="FX37" s="69"/>
      <c r="FZ37" s="21"/>
      <c r="GA37" s="128"/>
      <c r="GB37" s="54"/>
      <c r="GC37" s="64"/>
      <c r="GD37" s="69"/>
      <c r="GF37" s="21"/>
      <c r="GG37" s="128"/>
      <c r="GH37" s="54"/>
      <c r="GI37" s="64"/>
      <c r="GJ37" s="69"/>
      <c r="GL37" s="21"/>
      <c r="GM37" s="128"/>
      <c r="GN37" s="54"/>
      <c r="GO37" s="64"/>
      <c r="GP37" s="69"/>
      <c r="GR37" s="21"/>
      <c r="GS37" s="128"/>
      <c r="GT37" s="54"/>
      <c r="GU37" s="64"/>
      <c r="GV37" s="69"/>
      <c r="GX37" s="21"/>
      <c r="GY37" s="128"/>
      <c r="GZ37" s="54"/>
      <c r="HA37" s="64"/>
      <c r="HB37" s="69"/>
      <c r="HD37" s="21"/>
      <c r="HE37" s="128"/>
      <c r="HF37" s="54"/>
      <c r="HG37" s="64"/>
      <c r="HH37" s="69"/>
      <c r="HJ37" s="21"/>
      <c r="HK37" s="128"/>
      <c r="HL37" s="54"/>
      <c r="HM37" s="64"/>
      <c r="HN37" s="69"/>
      <c r="HP37" s="21"/>
      <c r="HQ37" s="128"/>
      <c r="HR37" s="54"/>
      <c r="HS37" s="64"/>
      <c r="HT37" s="69"/>
      <c r="HV37" s="21"/>
      <c r="HW37" s="128"/>
      <c r="HX37" s="54"/>
      <c r="HY37" s="64"/>
      <c r="HZ37" s="69"/>
      <c r="IB37" s="21"/>
      <c r="IC37" s="128"/>
      <c r="ID37" s="54"/>
      <c r="IE37" s="64"/>
      <c r="IF37" s="69"/>
      <c r="IH37" s="21"/>
      <c r="IJ37" s="21"/>
      <c r="IK37" s="128"/>
      <c r="IL37" s="54"/>
      <c r="IM37" s="64"/>
      <c r="IN37" s="69"/>
      <c r="IP37" s="21"/>
      <c r="IQ37" s="128"/>
      <c r="IR37" s="54"/>
      <c r="IS37" s="64"/>
      <c r="IT37" s="69"/>
      <c r="IV37" s="21"/>
      <c r="IW37" s="128"/>
      <c r="IX37" s="54"/>
      <c r="IY37" s="64"/>
      <c r="IZ37" s="69"/>
      <c r="JB37" s="21"/>
      <c r="JC37" s="128"/>
      <c r="JD37" s="54"/>
      <c r="JE37" s="64"/>
      <c r="JF37" s="69"/>
      <c r="JH37" s="21"/>
      <c r="JI37" s="128"/>
      <c r="JJ37" s="54"/>
      <c r="JK37" s="64"/>
      <c r="JL37" s="69"/>
      <c r="JN37" s="21"/>
      <c r="JO37" s="128"/>
      <c r="JP37" s="54"/>
      <c r="JQ37" s="64"/>
      <c r="JR37" s="69"/>
      <c r="JT37" s="21"/>
      <c r="JU37" s="128"/>
      <c r="JV37" s="54"/>
      <c r="JW37" s="64"/>
      <c r="JX37" s="69"/>
      <c r="JZ37" s="21"/>
      <c r="KA37" s="128"/>
      <c r="KB37" s="54"/>
      <c r="KC37" s="64"/>
      <c r="KD37" s="69"/>
      <c r="KF37" s="38"/>
      <c r="KG37" s="35"/>
      <c r="KI37" s="54"/>
      <c r="KJ37" s="64"/>
      <c r="KK37" s="69"/>
      <c r="KL37" s="126"/>
      <c r="KM37" s="127"/>
      <c r="KO37" s="38"/>
      <c r="KP37" s="83"/>
      <c r="KQ37" s="158"/>
      <c r="KR37" s="174"/>
      <c r="KS37" s="38"/>
      <c r="KT37" s="35"/>
      <c r="KV37" s="54"/>
      <c r="KW37" s="64"/>
      <c r="KX37" s="69"/>
      <c r="KY37" s="126"/>
      <c r="KZ37" s="127"/>
      <c r="LB37" s="38"/>
      <c r="LC37" s="83"/>
      <c r="LD37" s="158"/>
      <c r="LE37" s="174"/>
      <c r="LF37" s="38"/>
      <c r="LG37" s="35"/>
      <c r="LI37" s="54"/>
      <c r="LJ37" s="64"/>
      <c r="LK37" s="69"/>
      <c r="LL37" s="126"/>
      <c r="LM37" s="127"/>
      <c r="LO37" s="38"/>
      <c r="LP37" s="83"/>
      <c r="LQ37" s="158"/>
      <c r="LR37" s="174"/>
      <c r="LS37" s="38"/>
      <c r="LT37" s="35"/>
      <c r="LV37" s="54"/>
      <c r="LW37" s="64"/>
      <c r="LX37" s="69"/>
      <c r="LY37" s="126"/>
      <c r="LZ37" s="127"/>
      <c r="MB37" s="38"/>
      <c r="MC37" s="83"/>
      <c r="MD37" s="158"/>
      <c r="ME37" s="174"/>
      <c r="MF37" s="38"/>
      <c r="MG37" s="35"/>
      <c r="MI37" s="54"/>
      <c r="MJ37" s="64"/>
      <c r="MK37" s="69"/>
      <c r="ML37" s="126"/>
      <c r="MM37" s="127"/>
      <c r="MO37" s="38"/>
      <c r="MP37" s="83"/>
      <c r="MQ37" s="158"/>
      <c r="MR37" s="174"/>
      <c r="MT37" s="4">
        <f t="shared" si="10"/>
        <v>13</v>
      </c>
      <c r="NC37" s="21"/>
      <c r="ND37" s="128"/>
      <c r="NE37" s="54"/>
    </row>
    <row r="38" spans="1:369" x14ac:dyDescent="0.15">
      <c r="A38" s="2" t="s">
        <v>19</v>
      </c>
      <c r="C38" s="21"/>
      <c r="D38" s="128">
        <v>1</v>
      </c>
      <c r="E38" s="54">
        <v>1</v>
      </c>
      <c r="F38" s="64">
        <v>1</v>
      </c>
      <c r="G38" s="69"/>
      <c r="H38" s="127">
        <v>1</v>
      </c>
      <c r="I38">
        <v>2</v>
      </c>
      <c r="J38" s="21">
        <v>1</v>
      </c>
      <c r="K38" s="128">
        <v>1</v>
      </c>
      <c r="L38" s="54">
        <v>1</v>
      </c>
      <c r="M38" s="64">
        <v>2</v>
      </c>
      <c r="N38" s="69">
        <v>2</v>
      </c>
      <c r="O38" s="127">
        <v>1</v>
      </c>
      <c r="P38">
        <v>1</v>
      </c>
      <c r="Q38" s="21"/>
      <c r="R38" s="128">
        <v>1</v>
      </c>
      <c r="S38" s="54">
        <v>1</v>
      </c>
      <c r="T38" s="64">
        <v>1</v>
      </c>
      <c r="U38" s="69">
        <v>1</v>
      </c>
      <c r="V38" s="127">
        <v>1</v>
      </c>
      <c r="W38">
        <v>1</v>
      </c>
      <c r="X38" s="21">
        <v>1</v>
      </c>
      <c r="Y38" s="128">
        <v>1</v>
      </c>
      <c r="Z38" s="54">
        <v>1</v>
      </c>
      <c r="AA38" s="64">
        <v>1</v>
      </c>
      <c r="AB38" s="69">
        <v>1</v>
      </c>
      <c r="AC38" s="127">
        <v>1</v>
      </c>
      <c r="AE38" s="21">
        <v>1</v>
      </c>
      <c r="AF38" s="128"/>
      <c r="AG38" s="54"/>
      <c r="AH38" s="64">
        <v>1</v>
      </c>
      <c r="AI38" s="69">
        <v>1</v>
      </c>
      <c r="AJ38" s="127">
        <v>1</v>
      </c>
      <c r="AK38">
        <v>3</v>
      </c>
      <c r="AL38" s="21">
        <v>3</v>
      </c>
      <c r="AM38" s="128">
        <v>3</v>
      </c>
      <c r="AN38" s="54">
        <v>3</v>
      </c>
      <c r="AO38" s="64">
        <v>3</v>
      </c>
      <c r="AP38" s="69">
        <v>2</v>
      </c>
      <c r="AQ38" s="127">
        <v>2</v>
      </c>
      <c r="AR38">
        <v>2</v>
      </c>
      <c r="AS38" s="21">
        <v>4</v>
      </c>
      <c r="AT38" s="128">
        <v>4</v>
      </c>
      <c r="AU38" s="54">
        <v>4</v>
      </c>
      <c r="AV38" s="64">
        <v>3</v>
      </c>
      <c r="AW38" s="69">
        <v>3</v>
      </c>
      <c r="AX38" s="127">
        <v>3</v>
      </c>
      <c r="AZ38" s="21">
        <v>2</v>
      </c>
      <c r="BA38" s="128">
        <v>1</v>
      </c>
      <c r="BB38" s="54">
        <v>2</v>
      </c>
      <c r="BC38" s="64">
        <v>2</v>
      </c>
      <c r="BD38" s="69">
        <v>1</v>
      </c>
      <c r="BE38" s="127">
        <v>2</v>
      </c>
      <c r="BF38">
        <v>3</v>
      </c>
      <c r="BG38" s="21">
        <v>2</v>
      </c>
      <c r="BH38" s="128">
        <v>1</v>
      </c>
      <c r="BI38" s="54">
        <v>2</v>
      </c>
      <c r="BJ38" s="64">
        <v>2</v>
      </c>
      <c r="BK38" s="69">
        <v>1</v>
      </c>
      <c r="BL38" s="127">
        <v>2</v>
      </c>
      <c r="BN38" s="21"/>
      <c r="BO38" s="128"/>
      <c r="BP38" s="54"/>
      <c r="BQ38" s="64">
        <v>1</v>
      </c>
      <c r="BR38" s="69">
        <v>1</v>
      </c>
      <c r="BS38" s="127">
        <v>2</v>
      </c>
      <c r="BU38" s="21"/>
      <c r="BV38" s="128">
        <v>2</v>
      </c>
      <c r="BW38" s="54">
        <v>3</v>
      </c>
      <c r="BX38" s="64">
        <v>3</v>
      </c>
      <c r="BY38" s="69">
        <v>4</v>
      </c>
      <c r="BZ38" s="127">
        <v>5</v>
      </c>
      <c r="CB38" s="21">
        <v>2</v>
      </c>
      <c r="CC38" s="128">
        <v>2</v>
      </c>
      <c r="CD38" s="54">
        <v>2</v>
      </c>
      <c r="CE38" s="64">
        <v>2</v>
      </c>
      <c r="CF38" s="69">
        <v>3</v>
      </c>
      <c r="CG38" s="127">
        <v>3</v>
      </c>
      <c r="CI38" s="21">
        <v>2</v>
      </c>
      <c r="CJ38" s="128">
        <v>2</v>
      </c>
      <c r="CK38" s="54">
        <v>2</v>
      </c>
      <c r="CL38" s="64">
        <v>2</v>
      </c>
      <c r="CM38" s="69">
        <v>2</v>
      </c>
      <c r="CN38" s="127">
        <v>2</v>
      </c>
      <c r="CO38">
        <v>2</v>
      </c>
      <c r="CP38" s="21"/>
      <c r="CQ38" s="128">
        <v>1</v>
      </c>
      <c r="CR38" s="54"/>
      <c r="CS38" s="64">
        <v>1</v>
      </c>
      <c r="CT38" s="69">
        <v>1</v>
      </c>
      <c r="CU38">
        <v>2</v>
      </c>
      <c r="CV38" s="21">
        <v>2</v>
      </c>
      <c r="CW38" s="128">
        <v>1</v>
      </c>
      <c r="CX38" s="54">
        <v>2</v>
      </c>
      <c r="CY38" s="64">
        <v>2</v>
      </c>
      <c r="CZ38" s="69">
        <v>2</v>
      </c>
      <c r="DA38">
        <v>5</v>
      </c>
      <c r="DB38" s="21">
        <v>1</v>
      </c>
      <c r="DC38" s="128">
        <v>1</v>
      </c>
      <c r="DD38" s="54">
        <v>1</v>
      </c>
      <c r="DE38" s="64">
        <v>1</v>
      </c>
      <c r="DF38" s="69">
        <v>1</v>
      </c>
      <c r="DG38">
        <v>5</v>
      </c>
      <c r="DH38" s="21">
        <v>5</v>
      </c>
      <c r="DI38" s="128">
        <v>5</v>
      </c>
      <c r="DJ38" s="54">
        <v>5</v>
      </c>
      <c r="DK38" s="64">
        <v>5</v>
      </c>
      <c r="DL38" s="69">
        <v>5</v>
      </c>
      <c r="DM38">
        <v>5</v>
      </c>
      <c r="DN38" s="21">
        <v>2</v>
      </c>
      <c r="DO38" s="128">
        <v>1</v>
      </c>
      <c r="DP38" s="54">
        <v>2</v>
      </c>
      <c r="DQ38" s="64">
        <v>3</v>
      </c>
      <c r="DR38" s="69">
        <v>3</v>
      </c>
      <c r="DT38" s="21"/>
      <c r="DU38" s="128"/>
      <c r="DV38" s="54"/>
      <c r="DW38" s="64"/>
      <c r="DX38" s="69"/>
      <c r="DY38">
        <v>1</v>
      </c>
      <c r="DZ38" s="21">
        <v>3</v>
      </c>
      <c r="EA38" s="128">
        <v>1</v>
      </c>
      <c r="EB38" s="54">
        <v>1</v>
      </c>
      <c r="EC38" s="64">
        <v>2</v>
      </c>
      <c r="ED38" s="69">
        <v>2</v>
      </c>
      <c r="EF38" s="21"/>
      <c r="EG38" s="128">
        <v>1</v>
      </c>
      <c r="EH38" s="54"/>
      <c r="EI38" s="64">
        <v>1</v>
      </c>
      <c r="EJ38" s="69">
        <v>1</v>
      </c>
      <c r="EL38" s="21"/>
      <c r="EM38" s="128"/>
      <c r="EN38" s="54"/>
      <c r="EO38" s="64"/>
      <c r="EP38" s="69"/>
      <c r="ER38" s="21">
        <v>1</v>
      </c>
      <c r="ES38" s="128">
        <v>1</v>
      </c>
      <c r="ET38" s="54">
        <v>1</v>
      </c>
      <c r="EU38" s="64">
        <v>1</v>
      </c>
      <c r="EV38" s="69">
        <v>1</v>
      </c>
      <c r="EW38">
        <v>1</v>
      </c>
      <c r="EX38" s="21">
        <v>2</v>
      </c>
      <c r="EY38" s="128">
        <v>2</v>
      </c>
      <c r="EZ38" s="54">
        <v>2</v>
      </c>
      <c r="FA38" s="64">
        <v>2</v>
      </c>
      <c r="FB38" s="69">
        <v>2</v>
      </c>
      <c r="FC38">
        <v>1</v>
      </c>
      <c r="FD38" s="21">
        <v>2</v>
      </c>
      <c r="FE38" s="128">
        <v>1</v>
      </c>
      <c r="FF38" s="54">
        <v>1</v>
      </c>
      <c r="FG38" s="64">
        <v>1</v>
      </c>
      <c r="FH38" s="69">
        <v>1</v>
      </c>
      <c r="FJ38" s="21"/>
      <c r="FK38" s="128"/>
      <c r="FL38" s="54"/>
      <c r="FM38" s="64"/>
      <c r="FN38" s="69"/>
      <c r="FO38" s="128"/>
      <c r="FP38" s="54"/>
      <c r="FQ38" s="64"/>
      <c r="FR38" s="69"/>
      <c r="FT38" s="21"/>
      <c r="FU38" s="128"/>
      <c r="FV38" s="54"/>
      <c r="FW38" s="64"/>
      <c r="FX38" s="69"/>
      <c r="FZ38" s="21">
        <v>1</v>
      </c>
      <c r="GA38" s="128">
        <v>1</v>
      </c>
      <c r="GB38" s="54">
        <v>1</v>
      </c>
      <c r="GC38" s="64">
        <v>1</v>
      </c>
      <c r="GD38" s="69">
        <v>1</v>
      </c>
      <c r="GF38" s="21">
        <v>1</v>
      </c>
      <c r="GG38" s="128"/>
      <c r="GH38" s="54"/>
      <c r="GI38" s="64"/>
      <c r="GJ38" s="69"/>
      <c r="GL38" s="21"/>
      <c r="GM38" s="128"/>
      <c r="GN38" s="54"/>
      <c r="GO38" s="64"/>
      <c r="GP38" s="69"/>
      <c r="GR38" s="21">
        <v>2</v>
      </c>
      <c r="GS38" s="128">
        <v>1</v>
      </c>
      <c r="GT38" s="54">
        <v>2</v>
      </c>
      <c r="GU38" s="64">
        <v>3</v>
      </c>
      <c r="GV38" s="69">
        <v>3</v>
      </c>
      <c r="GX38" s="21"/>
      <c r="GY38" s="128"/>
      <c r="GZ38" s="54"/>
      <c r="HA38" s="64"/>
      <c r="HB38" s="69"/>
      <c r="HC38">
        <v>2</v>
      </c>
      <c r="HD38" s="21"/>
      <c r="HE38" s="128">
        <v>1</v>
      </c>
      <c r="HF38" s="54">
        <v>1</v>
      </c>
      <c r="HG38" s="64">
        <v>1</v>
      </c>
      <c r="HH38" s="69">
        <v>1</v>
      </c>
      <c r="HJ38" s="21"/>
      <c r="HK38" s="128"/>
      <c r="HL38" s="54"/>
      <c r="HM38" s="64"/>
      <c r="HN38" s="69"/>
      <c r="HP38" s="21"/>
      <c r="HQ38" s="128"/>
      <c r="HR38" s="54"/>
      <c r="HS38" s="64"/>
      <c r="HT38" s="69"/>
      <c r="HV38" s="21"/>
      <c r="HW38" s="128"/>
      <c r="HX38" s="54"/>
      <c r="HY38" s="64"/>
      <c r="HZ38" s="69"/>
      <c r="IB38" s="21"/>
      <c r="IC38" s="128"/>
      <c r="ID38" s="54"/>
      <c r="IE38" s="64"/>
      <c r="IF38" s="69"/>
      <c r="IH38" s="21"/>
      <c r="IJ38" s="21"/>
      <c r="IK38" s="128"/>
      <c r="IL38" s="54"/>
      <c r="IM38" s="64"/>
      <c r="IN38" s="69"/>
      <c r="IP38" s="21"/>
      <c r="IQ38" s="128"/>
      <c r="IR38" s="54"/>
      <c r="IS38" s="64"/>
      <c r="IT38" s="69"/>
      <c r="IV38" s="21"/>
      <c r="IW38" s="128"/>
      <c r="IX38" s="54"/>
      <c r="IY38" s="64"/>
      <c r="IZ38" s="69"/>
      <c r="JB38" s="21"/>
      <c r="JC38" s="128"/>
      <c r="JD38" s="54"/>
      <c r="JE38" s="64"/>
      <c r="JF38" s="69"/>
      <c r="JH38" s="21"/>
      <c r="JI38" s="128"/>
      <c r="JJ38" s="54"/>
      <c r="JK38" s="64"/>
      <c r="JL38" s="69"/>
      <c r="JN38" s="21"/>
      <c r="JO38" s="128"/>
      <c r="JP38" s="54"/>
      <c r="JQ38" s="64"/>
      <c r="JR38" s="69"/>
      <c r="JT38" s="21"/>
      <c r="JU38" s="128"/>
      <c r="JV38" s="54"/>
      <c r="JW38" s="64"/>
      <c r="JX38" s="69"/>
      <c r="JZ38" s="21"/>
      <c r="KA38" s="128"/>
      <c r="KB38" s="54"/>
      <c r="KC38" s="64"/>
      <c r="KD38" s="69"/>
      <c r="KF38" s="38"/>
      <c r="KG38" s="35"/>
      <c r="KI38" s="54"/>
      <c r="KJ38" s="64"/>
      <c r="KK38" s="69"/>
      <c r="KL38" s="126"/>
      <c r="KM38" s="127"/>
      <c r="KO38" s="38"/>
      <c r="KP38" s="83"/>
      <c r="KQ38" s="158"/>
      <c r="KR38" s="174"/>
      <c r="KS38" s="38"/>
      <c r="KT38" s="35"/>
      <c r="KV38" s="54"/>
      <c r="KW38" s="64"/>
      <c r="KX38" s="69"/>
      <c r="KY38" s="126"/>
      <c r="KZ38" s="127">
        <v>1</v>
      </c>
      <c r="LA38" s="4">
        <v>1</v>
      </c>
      <c r="LB38" s="38">
        <v>1</v>
      </c>
      <c r="LC38" s="83">
        <v>1</v>
      </c>
      <c r="LD38" s="158">
        <v>1</v>
      </c>
      <c r="LE38" s="174">
        <v>1</v>
      </c>
      <c r="LF38" s="38"/>
      <c r="LG38" s="35"/>
      <c r="LI38" s="54">
        <v>2</v>
      </c>
      <c r="LJ38" s="64">
        <v>1</v>
      </c>
      <c r="LK38" s="69">
        <v>1</v>
      </c>
      <c r="LL38" s="126">
        <v>2</v>
      </c>
      <c r="LM38" s="127"/>
      <c r="LO38" s="38"/>
      <c r="LP38" s="83"/>
      <c r="LQ38" s="158"/>
      <c r="LR38" s="174"/>
      <c r="LS38" s="38"/>
      <c r="LT38" s="35"/>
      <c r="LV38" s="54"/>
      <c r="LW38" s="64"/>
      <c r="LX38" s="69"/>
      <c r="LY38" s="126"/>
      <c r="LZ38" s="127"/>
      <c r="MB38" s="38"/>
      <c r="MC38" s="83"/>
      <c r="MD38" s="158"/>
      <c r="ME38" s="174"/>
      <c r="MF38" s="38"/>
      <c r="MG38" s="35"/>
      <c r="MI38" s="54"/>
      <c r="MJ38" s="64"/>
      <c r="MK38" s="69"/>
      <c r="ML38" s="126"/>
      <c r="MM38" s="127"/>
      <c r="MO38" s="38"/>
      <c r="MP38" s="83"/>
      <c r="MQ38" s="158"/>
      <c r="MR38" s="174"/>
      <c r="MT38" s="4">
        <f t="shared" si="10"/>
        <v>155</v>
      </c>
      <c r="NC38" s="21"/>
      <c r="ND38" s="128"/>
      <c r="NE38" s="54"/>
    </row>
    <row r="39" spans="1:369" x14ac:dyDescent="0.15">
      <c r="A39" s="2" t="s">
        <v>68</v>
      </c>
      <c r="B39" s="17"/>
      <c r="C39" s="21"/>
      <c r="D39" s="128"/>
      <c r="E39" s="54"/>
      <c r="F39" s="64"/>
      <c r="G39" s="69"/>
      <c r="H39" s="127"/>
      <c r="J39" s="21"/>
      <c r="K39" s="128"/>
      <c r="L39" s="54"/>
      <c r="M39" s="64"/>
      <c r="N39" s="69"/>
      <c r="O39" s="127"/>
      <c r="Q39" s="21"/>
      <c r="R39" s="128"/>
      <c r="S39" s="54"/>
      <c r="T39" s="64"/>
      <c r="U39" s="69"/>
      <c r="V39" s="127"/>
      <c r="X39" s="21"/>
      <c r="Y39" s="128"/>
      <c r="Z39" s="54"/>
      <c r="AA39" s="64"/>
      <c r="AB39" s="69"/>
      <c r="AC39" s="127"/>
      <c r="AE39" s="21"/>
      <c r="AF39" s="128"/>
      <c r="AG39" s="54"/>
      <c r="AH39" s="64"/>
      <c r="AI39" s="69"/>
      <c r="AJ39" s="127"/>
      <c r="AL39" s="21"/>
      <c r="AM39" s="128"/>
      <c r="AN39" s="54"/>
      <c r="AO39" s="64"/>
      <c r="AP39" s="69"/>
      <c r="AQ39" s="127"/>
      <c r="AS39" s="21"/>
      <c r="AT39" s="128"/>
      <c r="AU39" s="54"/>
      <c r="AV39" s="64"/>
      <c r="AW39" s="69"/>
      <c r="AX39" s="127"/>
      <c r="AZ39" s="21"/>
      <c r="BA39" s="128"/>
      <c r="BB39" s="54"/>
      <c r="BC39" s="64"/>
      <c r="BD39" s="69"/>
      <c r="BE39" s="127"/>
      <c r="BG39" s="21"/>
      <c r="BH39" s="128"/>
      <c r="BI39" s="54"/>
      <c r="BJ39" s="64"/>
      <c r="BK39" s="69"/>
      <c r="BL39" s="127"/>
      <c r="BN39" s="21"/>
      <c r="BO39" s="128"/>
      <c r="BP39" s="54"/>
      <c r="BQ39" s="64"/>
      <c r="BR39" s="69"/>
      <c r="BS39" s="127"/>
      <c r="BU39" s="21"/>
      <c r="BV39" s="128"/>
      <c r="BW39" s="54"/>
      <c r="BX39" s="64"/>
      <c r="BY39" s="69"/>
      <c r="BZ39" s="127"/>
      <c r="CB39" s="21"/>
      <c r="CC39" s="128"/>
      <c r="CD39" s="54"/>
      <c r="CE39" s="64"/>
      <c r="CF39" s="69"/>
      <c r="CG39" s="127"/>
      <c r="CI39" s="21"/>
      <c r="CJ39" s="128"/>
      <c r="CK39" s="54"/>
      <c r="CL39" s="64"/>
      <c r="CM39" s="69"/>
      <c r="CN39" s="127"/>
      <c r="CP39" s="21"/>
      <c r="CQ39" s="128"/>
      <c r="CR39" s="54"/>
      <c r="CS39" s="64"/>
      <c r="CT39" s="69"/>
      <c r="CV39" s="21"/>
      <c r="CW39" s="128"/>
      <c r="CX39" s="54"/>
      <c r="CY39" s="64"/>
      <c r="CZ39" s="69"/>
      <c r="DB39" s="21"/>
      <c r="DC39" s="128"/>
      <c r="DD39" s="54"/>
      <c r="DE39" s="64"/>
      <c r="DF39" s="69"/>
      <c r="DH39" s="21"/>
      <c r="DI39" s="128"/>
      <c r="DJ39" s="54"/>
      <c r="DK39" s="64"/>
      <c r="DL39" s="69"/>
      <c r="DN39" s="21"/>
      <c r="DO39" s="128"/>
      <c r="DP39" s="54"/>
      <c r="DQ39" s="64"/>
      <c r="DR39" s="69"/>
      <c r="DT39" s="21"/>
      <c r="DU39" s="128"/>
      <c r="DV39" s="54"/>
      <c r="DW39" s="64"/>
      <c r="DX39" s="69"/>
      <c r="DZ39" s="21"/>
      <c r="EA39" s="128"/>
      <c r="EB39" s="54"/>
      <c r="EC39" s="64"/>
      <c r="ED39" s="69"/>
      <c r="EF39" s="21"/>
      <c r="EG39" s="128"/>
      <c r="EH39" s="54"/>
      <c r="EI39" s="64"/>
      <c r="EJ39" s="69"/>
      <c r="EL39" s="21"/>
      <c r="EM39" s="128"/>
      <c r="EN39" s="54"/>
      <c r="EO39" s="64"/>
      <c r="EP39" s="69"/>
      <c r="ER39" s="21"/>
      <c r="ES39" s="128"/>
      <c r="ET39" s="54"/>
      <c r="EU39" s="64"/>
      <c r="EV39" s="69"/>
      <c r="EW39">
        <v>1</v>
      </c>
      <c r="EX39" s="21"/>
      <c r="EY39" s="128"/>
      <c r="EZ39" s="54"/>
      <c r="FA39" s="64"/>
      <c r="FB39" s="69"/>
      <c r="FC39">
        <v>1</v>
      </c>
      <c r="FD39" s="21"/>
      <c r="FE39" s="128"/>
      <c r="FF39" s="54"/>
      <c r="FG39" s="64"/>
      <c r="FH39" s="69"/>
      <c r="FJ39" s="21"/>
      <c r="FK39" s="128"/>
      <c r="FL39" s="54"/>
      <c r="FM39" s="64"/>
      <c r="FN39" s="69"/>
      <c r="FO39" s="128"/>
      <c r="FP39" s="54"/>
      <c r="FQ39" s="64"/>
      <c r="FR39" s="69"/>
      <c r="FT39" s="21"/>
      <c r="FU39" s="128"/>
      <c r="FV39" s="54"/>
      <c r="FW39" s="64"/>
      <c r="FX39" s="69"/>
      <c r="FZ39" s="21"/>
      <c r="GA39" s="128"/>
      <c r="GB39" s="54"/>
      <c r="GC39" s="64"/>
      <c r="GD39" s="69"/>
      <c r="GF39" s="21"/>
      <c r="GG39" s="128"/>
      <c r="GH39" s="54"/>
      <c r="GI39" s="64"/>
      <c r="GJ39" s="69"/>
      <c r="GK39">
        <v>1</v>
      </c>
      <c r="GL39" s="21"/>
      <c r="GM39" s="128"/>
      <c r="GN39" s="54"/>
      <c r="GO39" s="64"/>
      <c r="GP39" s="69"/>
      <c r="GQ39">
        <v>1</v>
      </c>
      <c r="GR39" s="21"/>
      <c r="GS39" s="128"/>
      <c r="GT39" s="54"/>
      <c r="GU39" s="64"/>
      <c r="GV39" s="69"/>
      <c r="GX39" s="21"/>
      <c r="GY39" s="128"/>
      <c r="GZ39" s="54"/>
      <c r="HA39" s="64"/>
      <c r="HB39" s="69"/>
      <c r="HC39">
        <v>1</v>
      </c>
      <c r="HD39" s="21"/>
      <c r="HE39" s="128"/>
      <c r="HF39" s="54"/>
      <c r="HG39" s="64"/>
      <c r="HH39" s="69"/>
      <c r="HI39">
        <v>2</v>
      </c>
      <c r="HJ39" s="21"/>
      <c r="HK39" s="128"/>
      <c r="HL39" s="54"/>
      <c r="HM39" s="64"/>
      <c r="HN39" s="69"/>
      <c r="HO39">
        <v>1</v>
      </c>
      <c r="HP39" s="21"/>
      <c r="HQ39" s="128"/>
      <c r="HR39" s="54"/>
      <c r="HS39" s="64"/>
      <c r="HT39" s="69"/>
      <c r="HU39">
        <v>1</v>
      </c>
      <c r="HV39" s="21"/>
      <c r="HW39" s="128"/>
      <c r="HX39" s="54"/>
      <c r="HY39" s="64"/>
      <c r="HZ39" s="69"/>
      <c r="IA39">
        <v>1</v>
      </c>
      <c r="IB39" s="21"/>
      <c r="IC39" s="128"/>
      <c r="ID39" s="54"/>
      <c r="IE39" s="64"/>
      <c r="IF39" s="69"/>
      <c r="IH39" s="21"/>
      <c r="II39">
        <v>2</v>
      </c>
      <c r="IJ39" s="21"/>
      <c r="IK39" s="128"/>
      <c r="IL39" s="54"/>
      <c r="IM39" s="64"/>
      <c r="IN39" s="69"/>
      <c r="IO39">
        <v>2</v>
      </c>
      <c r="IP39" s="21"/>
      <c r="IQ39" s="128"/>
      <c r="IR39" s="54"/>
      <c r="IS39" s="64"/>
      <c r="IT39" s="69"/>
      <c r="IU39">
        <v>1</v>
      </c>
      <c r="IV39" s="21"/>
      <c r="IW39" s="128"/>
      <c r="IX39" s="54"/>
      <c r="IY39" s="64"/>
      <c r="IZ39" s="69"/>
      <c r="JB39" s="21"/>
      <c r="JC39" s="128"/>
      <c r="JD39" s="54"/>
      <c r="JE39" s="64"/>
      <c r="JF39" s="69"/>
      <c r="JH39" s="21"/>
      <c r="JI39" s="128"/>
      <c r="JJ39" s="54"/>
      <c r="JK39" s="64"/>
      <c r="JL39" s="69"/>
      <c r="JN39" s="21"/>
      <c r="JO39" s="128"/>
      <c r="JP39" s="54"/>
      <c r="JQ39" s="64"/>
      <c r="JR39" s="69"/>
      <c r="JS39">
        <v>1</v>
      </c>
      <c r="JT39" s="21"/>
      <c r="JU39" s="128"/>
      <c r="JV39" s="54"/>
      <c r="JW39" s="64"/>
      <c r="JX39" s="69"/>
      <c r="JZ39" s="21"/>
      <c r="KA39" s="128"/>
      <c r="KB39" s="54"/>
      <c r="KC39" s="64"/>
      <c r="KD39" s="69"/>
      <c r="KF39" s="38"/>
      <c r="KG39" s="35"/>
      <c r="KI39" s="54"/>
      <c r="KJ39" s="64"/>
      <c r="KK39" s="69"/>
      <c r="KL39" s="126"/>
      <c r="KM39" s="127"/>
      <c r="KO39" s="38"/>
      <c r="KP39" s="83"/>
      <c r="KQ39" s="158"/>
      <c r="KR39" s="174"/>
      <c r="KS39" s="38"/>
      <c r="KT39" s="35"/>
      <c r="KV39" s="54"/>
      <c r="KW39" s="64"/>
      <c r="KX39" s="69"/>
      <c r="KY39" s="126"/>
      <c r="KZ39" s="127"/>
      <c r="LB39" s="38"/>
      <c r="LC39" s="83"/>
      <c r="LD39" s="158"/>
      <c r="LE39" s="174"/>
      <c r="LF39" s="38"/>
      <c r="LG39" s="35"/>
      <c r="LI39" s="54"/>
      <c r="LJ39" s="64"/>
      <c r="LK39" s="69"/>
      <c r="LL39" s="126"/>
      <c r="LM39" s="127"/>
      <c r="LO39" s="38"/>
      <c r="LP39" s="83"/>
      <c r="LQ39" s="158"/>
      <c r="LR39" s="174"/>
      <c r="LS39" s="38"/>
      <c r="LT39" s="35"/>
      <c r="LV39" s="54"/>
      <c r="LW39" s="64"/>
      <c r="LX39" s="69"/>
      <c r="LY39" s="126"/>
      <c r="LZ39" s="127"/>
      <c r="MB39" s="38"/>
      <c r="MC39" s="83"/>
      <c r="MD39" s="158"/>
      <c r="ME39" s="174"/>
      <c r="MF39" s="38"/>
      <c r="MG39" s="35"/>
      <c r="MI39" s="54"/>
      <c r="MJ39" s="64"/>
      <c r="MK39" s="69"/>
      <c r="ML39" s="126"/>
      <c r="MM39" s="127"/>
      <c r="MO39" s="38"/>
      <c r="MP39" s="83"/>
      <c r="MQ39" s="158"/>
      <c r="MR39" s="174"/>
      <c r="MT39" s="4">
        <f t="shared" si="10"/>
        <v>13</v>
      </c>
      <c r="NC39" s="21"/>
      <c r="ND39" s="128"/>
      <c r="NE39" s="54"/>
    </row>
    <row r="40" spans="1:369" x14ac:dyDescent="0.15">
      <c r="A40" s="2" t="s">
        <v>37</v>
      </c>
      <c r="C40" s="21"/>
      <c r="D40" s="128"/>
      <c r="E40" s="54"/>
      <c r="F40" s="64"/>
      <c r="G40" s="69"/>
      <c r="H40" s="127"/>
      <c r="J40" s="21"/>
      <c r="K40" s="128"/>
      <c r="L40" s="54"/>
      <c r="M40" s="64"/>
      <c r="N40" s="69"/>
      <c r="O40" s="127"/>
      <c r="Q40" s="21"/>
      <c r="R40" s="128"/>
      <c r="S40" s="54"/>
      <c r="T40" s="64"/>
      <c r="U40" s="69"/>
      <c r="V40" s="127"/>
      <c r="X40" s="21"/>
      <c r="Y40" s="128"/>
      <c r="Z40" s="54"/>
      <c r="AA40" s="64"/>
      <c r="AB40" s="69"/>
      <c r="AC40" s="127"/>
      <c r="AE40" s="21"/>
      <c r="AF40" s="128"/>
      <c r="AG40" s="54"/>
      <c r="AH40" s="64"/>
      <c r="AI40" s="69"/>
      <c r="AJ40" s="127"/>
      <c r="AL40" s="21"/>
      <c r="AM40" s="128"/>
      <c r="AN40" s="54"/>
      <c r="AO40" s="64"/>
      <c r="AP40" s="69"/>
      <c r="AQ40" s="127"/>
      <c r="AS40" s="21"/>
      <c r="AT40" s="128"/>
      <c r="AU40" s="54"/>
      <c r="AV40" s="64"/>
      <c r="AW40" s="69"/>
      <c r="AX40" s="127"/>
      <c r="AZ40" s="21"/>
      <c r="BA40" s="128"/>
      <c r="BB40" s="54"/>
      <c r="BC40" s="64"/>
      <c r="BD40" s="69"/>
      <c r="BE40" s="127"/>
      <c r="BG40" s="21"/>
      <c r="BH40" s="128"/>
      <c r="BI40" s="54"/>
      <c r="BJ40" s="64"/>
      <c r="BK40" s="69"/>
      <c r="BL40" s="127"/>
      <c r="BN40" s="21"/>
      <c r="BO40" s="128"/>
      <c r="BP40" s="54"/>
      <c r="BQ40" s="64"/>
      <c r="BR40" s="69"/>
      <c r="BS40" s="127"/>
      <c r="BU40" s="21"/>
      <c r="BV40" s="128"/>
      <c r="BW40" s="54"/>
      <c r="BX40" s="64"/>
      <c r="BY40" s="69"/>
      <c r="BZ40" s="127"/>
      <c r="CB40" s="21">
        <v>1</v>
      </c>
      <c r="CC40" s="128">
        <v>1</v>
      </c>
      <c r="CD40" s="54">
        <v>1</v>
      </c>
      <c r="CE40" s="64">
        <v>1</v>
      </c>
      <c r="CF40" s="69"/>
      <c r="CG40" s="127"/>
      <c r="CI40" s="21"/>
      <c r="CJ40" s="128"/>
      <c r="CK40" s="54"/>
      <c r="CL40" s="64"/>
      <c r="CM40" s="69"/>
      <c r="CN40" s="127"/>
      <c r="CP40" s="21"/>
      <c r="CQ40" s="128"/>
      <c r="CR40" s="54"/>
      <c r="CS40" s="64"/>
      <c r="CT40" s="69"/>
      <c r="CV40" s="21"/>
      <c r="CW40" s="128"/>
      <c r="CX40" s="54"/>
      <c r="CY40" s="64"/>
      <c r="CZ40" s="69"/>
      <c r="DB40" s="21"/>
      <c r="DC40" s="128"/>
      <c r="DD40" s="54"/>
      <c r="DE40" s="64"/>
      <c r="DF40" s="69"/>
      <c r="DH40" s="21"/>
      <c r="DI40" s="128"/>
      <c r="DJ40" s="54"/>
      <c r="DK40" s="64"/>
      <c r="DL40" s="69"/>
      <c r="DN40" s="21"/>
      <c r="DO40" s="128"/>
      <c r="DP40" s="54"/>
      <c r="DQ40" s="64"/>
      <c r="DR40" s="69"/>
      <c r="DT40" s="21"/>
      <c r="DU40" s="128"/>
      <c r="DV40" s="54"/>
      <c r="DW40" s="64"/>
      <c r="DX40" s="69"/>
      <c r="DZ40" s="21"/>
      <c r="EA40" s="128"/>
      <c r="EB40" s="54"/>
      <c r="EC40" s="64"/>
      <c r="ED40" s="69"/>
      <c r="EF40" s="21"/>
      <c r="EG40" s="128"/>
      <c r="EH40" s="54"/>
      <c r="EI40" s="64"/>
      <c r="EJ40" s="69"/>
      <c r="EL40" s="21"/>
      <c r="EM40" s="128"/>
      <c r="EN40" s="54"/>
      <c r="EO40" s="64"/>
      <c r="EP40" s="69"/>
      <c r="ER40" s="21"/>
      <c r="ES40" s="128"/>
      <c r="ET40" s="54"/>
      <c r="EU40" s="64"/>
      <c r="EV40" s="69"/>
      <c r="EX40" s="21"/>
      <c r="EY40" s="128"/>
      <c r="EZ40" s="54"/>
      <c r="FA40" s="64"/>
      <c r="FB40" s="69"/>
      <c r="FD40" s="21"/>
      <c r="FE40" s="128"/>
      <c r="FF40" s="54"/>
      <c r="FG40" s="64"/>
      <c r="FH40" s="69"/>
      <c r="FJ40" s="21"/>
      <c r="FK40" s="128"/>
      <c r="FL40" s="54"/>
      <c r="FM40" s="64"/>
      <c r="FN40" s="69"/>
      <c r="FO40" s="128"/>
      <c r="FP40" s="54"/>
      <c r="FQ40" s="64"/>
      <c r="FR40" s="69"/>
      <c r="FT40" s="21"/>
      <c r="FU40" s="128"/>
      <c r="FV40" s="54"/>
      <c r="FW40" s="64"/>
      <c r="FX40" s="69"/>
      <c r="FZ40" s="21"/>
      <c r="GA40" s="128"/>
      <c r="GB40" s="54"/>
      <c r="GC40" s="64"/>
      <c r="GD40" s="69"/>
      <c r="GF40" s="21"/>
      <c r="GG40" s="128"/>
      <c r="GH40" s="54"/>
      <c r="GI40" s="64"/>
      <c r="GJ40" s="69"/>
      <c r="GL40" s="21"/>
      <c r="GM40" s="128"/>
      <c r="GN40" s="54"/>
      <c r="GO40" s="64"/>
      <c r="GP40" s="69"/>
      <c r="GR40" s="21"/>
      <c r="GS40" s="128"/>
      <c r="GT40" s="54"/>
      <c r="GU40" s="64"/>
      <c r="GV40" s="69"/>
      <c r="GX40" s="21"/>
      <c r="GY40" s="128"/>
      <c r="GZ40" s="54"/>
      <c r="HA40" s="64"/>
      <c r="HB40" s="69"/>
      <c r="HC40">
        <v>1</v>
      </c>
      <c r="HD40" s="21"/>
      <c r="HE40" s="128"/>
      <c r="HF40" s="54"/>
      <c r="HG40" s="64"/>
      <c r="HH40" s="69"/>
      <c r="HJ40" s="21"/>
      <c r="HK40" s="128"/>
      <c r="HL40" s="54"/>
      <c r="HM40" s="64"/>
      <c r="HN40" s="69"/>
      <c r="HP40" s="21"/>
      <c r="HQ40" s="128"/>
      <c r="HR40" s="54"/>
      <c r="HS40" s="64"/>
      <c r="HT40" s="69"/>
      <c r="HV40" s="21"/>
      <c r="HW40" s="128"/>
      <c r="HX40" s="54"/>
      <c r="HY40" s="64"/>
      <c r="HZ40" s="69"/>
      <c r="IB40" s="21"/>
      <c r="IC40" s="128"/>
      <c r="ID40" s="54"/>
      <c r="IE40" s="64"/>
      <c r="IF40" s="69"/>
      <c r="IH40" s="21"/>
      <c r="IJ40" s="21"/>
      <c r="IK40" s="128"/>
      <c r="IL40" s="54"/>
      <c r="IM40" s="64"/>
      <c r="IN40" s="69"/>
      <c r="IP40" s="21"/>
      <c r="IQ40" s="128"/>
      <c r="IR40" s="54"/>
      <c r="IS40" s="64"/>
      <c r="IT40" s="69"/>
      <c r="IV40" s="21"/>
      <c r="IW40" s="128"/>
      <c r="IX40" s="54"/>
      <c r="IY40" s="64"/>
      <c r="IZ40" s="69"/>
      <c r="JB40" s="21"/>
      <c r="JC40" s="128"/>
      <c r="JD40" s="54"/>
      <c r="JE40" s="64"/>
      <c r="JF40" s="69"/>
      <c r="JH40" s="21"/>
      <c r="JI40" s="128"/>
      <c r="JJ40" s="54"/>
      <c r="JK40" s="64"/>
      <c r="JL40" s="69"/>
      <c r="JN40" s="21"/>
      <c r="JO40" s="128"/>
      <c r="JP40" s="54"/>
      <c r="JQ40" s="64"/>
      <c r="JR40" s="69"/>
      <c r="JT40" s="21"/>
      <c r="JU40" s="128"/>
      <c r="JV40" s="54"/>
      <c r="JW40" s="64"/>
      <c r="JX40" s="69"/>
      <c r="JZ40" s="21"/>
      <c r="KA40" s="128"/>
      <c r="KB40" s="54"/>
      <c r="KC40" s="64"/>
      <c r="KD40" s="69"/>
      <c r="KF40" s="38"/>
      <c r="KG40" s="35"/>
      <c r="KI40" s="54"/>
      <c r="KJ40" s="64"/>
      <c r="KK40" s="69"/>
      <c r="KL40" s="126"/>
      <c r="KM40" s="127"/>
      <c r="KO40" s="38"/>
      <c r="KP40" s="83"/>
      <c r="KQ40" s="158"/>
      <c r="KR40" s="174"/>
      <c r="KS40" s="38"/>
      <c r="KT40" s="35"/>
      <c r="KV40" s="54"/>
      <c r="KW40" s="64"/>
      <c r="KX40" s="69"/>
      <c r="KY40" s="126"/>
      <c r="KZ40" s="127"/>
      <c r="LB40" s="38"/>
      <c r="LC40" s="83"/>
      <c r="LD40" s="158"/>
      <c r="LE40" s="174"/>
      <c r="LF40" s="38"/>
      <c r="LG40" s="35"/>
      <c r="LI40" s="54"/>
      <c r="LJ40" s="64"/>
      <c r="LK40" s="69"/>
      <c r="LL40" s="126"/>
      <c r="LM40" s="127"/>
      <c r="LO40" s="38"/>
      <c r="LP40" s="83"/>
      <c r="LQ40" s="158"/>
      <c r="LR40" s="174"/>
      <c r="LS40" s="38"/>
      <c r="LT40" s="35"/>
      <c r="LV40" s="54"/>
      <c r="LW40" s="64"/>
      <c r="LX40" s="69"/>
      <c r="LY40" s="126"/>
      <c r="LZ40" s="127"/>
      <c r="MB40" s="38"/>
      <c r="MC40" s="83"/>
      <c r="MD40" s="158"/>
      <c r="ME40" s="174"/>
      <c r="MF40" s="38"/>
      <c r="MG40" s="35"/>
      <c r="MI40" s="54"/>
      <c r="MJ40" s="64"/>
      <c r="MK40" s="69"/>
      <c r="ML40" s="126"/>
      <c r="MM40" s="127"/>
      <c r="MO40" s="38"/>
      <c r="MP40" s="83"/>
      <c r="MQ40" s="158"/>
      <c r="MR40" s="174"/>
      <c r="MT40" s="4">
        <f t="shared" si="10"/>
        <v>5</v>
      </c>
      <c r="NC40" s="21"/>
      <c r="ND40" s="128"/>
      <c r="NE40" s="54"/>
    </row>
    <row r="41" spans="1:369" x14ac:dyDescent="0.15">
      <c r="A41" s="2" t="s">
        <v>20</v>
      </c>
      <c r="B41">
        <v>3</v>
      </c>
      <c r="C41" s="21">
        <v>1</v>
      </c>
      <c r="D41" s="128">
        <v>2</v>
      </c>
      <c r="E41" s="54">
        <v>2</v>
      </c>
      <c r="F41" s="64">
        <v>2</v>
      </c>
      <c r="G41" s="69">
        <v>2</v>
      </c>
      <c r="H41" s="127">
        <v>1</v>
      </c>
      <c r="I41">
        <v>2</v>
      </c>
      <c r="J41" s="21"/>
      <c r="K41" s="128">
        <v>1</v>
      </c>
      <c r="L41" s="54">
        <v>1</v>
      </c>
      <c r="M41" s="64">
        <v>2</v>
      </c>
      <c r="N41" s="69">
        <v>2</v>
      </c>
      <c r="O41" s="127">
        <v>1</v>
      </c>
      <c r="Q41" s="21"/>
      <c r="R41" s="128"/>
      <c r="S41" s="54"/>
      <c r="T41" s="64"/>
      <c r="U41" s="69"/>
      <c r="V41" s="127"/>
      <c r="W41">
        <v>2</v>
      </c>
      <c r="X41" s="21">
        <v>1</v>
      </c>
      <c r="Y41" s="128">
        <v>1</v>
      </c>
      <c r="Z41" s="54">
        <v>2</v>
      </c>
      <c r="AA41" s="64">
        <v>1</v>
      </c>
      <c r="AB41" s="69">
        <v>1</v>
      </c>
      <c r="AC41" s="127">
        <v>1</v>
      </c>
      <c r="AE41" s="21">
        <v>2</v>
      </c>
      <c r="AF41" s="128">
        <v>2</v>
      </c>
      <c r="AG41" s="54">
        <v>4</v>
      </c>
      <c r="AH41" s="64">
        <v>3</v>
      </c>
      <c r="AI41" s="69">
        <v>2</v>
      </c>
      <c r="AJ41" s="127">
        <v>3</v>
      </c>
      <c r="AK41">
        <v>3</v>
      </c>
      <c r="AL41" s="21">
        <v>2</v>
      </c>
      <c r="AM41" s="128">
        <v>3</v>
      </c>
      <c r="AN41" s="54">
        <v>2</v>
      </c>
      <c r="AO41" s="64">
        <v>3</v>
      </c>
      <c r="AP41" s="69">
        <v>2</v>
      </c>
      <c r="AQ41" s="127">
        <v>1</v>
      </c>
      <c r="AS41" s="21"/>
      <c r="AT41" s="128"/>
      <c r="AU41" s="54"/>
      <c r="AV41" s="64"/>
      <c r="AW41" s="69"/>
      <c r="AX41" s="127"/>
      <c r="AY41">
        <v>3</v>
      </c>
      <c r="AZ41" s="21">
        <v>3</v>
      </c>
      <c r="BA41" s="128">
        <v>2</v>
      </c>
      <c r="BB41" s="54">
        <v>2</v>
      </c>
      <c r="BC41" s="64">
        <v>2</v>
      </c>
      <c r="BD41" s="69">
        <v>2</v>
      </c>
      <c r="BE41" s="127">
        <v>2</v>
      </c>
      <c r="BF41">
        <v>3</v>
      </c>
      <c r="BG41" s="21">
        <v>3</v>
      </c>
      <c r="BH41" s="128">
        <v>3</v>
      </c>
      <c r="BI41" s="54">
        <v>3</v>
      </c>
      <c r="BJ41" s="64">
        <v>2</v>
      </c>
      <c r="BK41" s="69">
        <v>2</v>
      </c>
      <c r="BL41" s="127">
        <v>1</v>
      </c>
      <c r="BM41">
        <v>3</v>
      </c>
      <c r="BN41" s="21">
        <v>2</v>
      </c>
      <c r="BO41" s="128">
        <v>1</v>
      </c>
      <c r="BP41" s="54">
        <v>2</v>
      </c>
      <c r="BQ41" s="64">
        <v>2</v>
      </c>
      <c r="BR41" s="69">
        <v>2</v>
      </c>
      <c r="BS41" s="127">
        <v>1</v>
      </c>
      <c r="BT41">
        <v>1</v>
      </c>
      <c r="BU41" s="21"/>
      <c r="BV41" s="128">
        <v>1</v>
      </c>
      <c r="BW41" s="54">
        <v>3</v>
      </c>
      <c r="BX41" s="64">
        <v>2</v>
      </c>
      <c r="BY41" s="69">
        <v>1</v>
      </c>
      <c r="BZ41" s="127">
        <v>1</v>
      </c>
      <c r="CA41">
        <v>3</v>
      </c>
      <c r="CB41" s="21">
        <v>2</v>
      </c>
      <c r="CC41" s="128">
        <v>2</v>
      </c>
      <c r="CD41" s="54">
        <v>2</v>
      </c>
      <c r="CE41" s="64">
        <v>2</v>
      </c>
      <c r="CF41" s="69">
        <v>3</v>
      </c>
      <c r="CG41" s="127">
        <v>2</v>
      </c>
      <c r="CI41" s="21"/>
      <c r="CJ41" s="128"/>
      <c r="CK41" s="54"/>
      <c r="CL41" s="64"/>
      <c r="CM41" s="69">
        <v>1</v>
      </c>
      <c r="CN41" s="127"/>
      <c r="CO41">
        <v>1</v>
      </c>
      <c r="CP41" s="21"/>
      <c r="CQ41" s="128"/>
      <c r="CR41" s="54"/>
      <c r="CS41" s="64"/>
      <c r="CT41" s="69"/>
      <c r="CU41">
        <v>2</v>
      </c>
      <c r="CV41" s="21">
        <v>3</v>
      </c>
      <c r="CW41" s="128">
        <v>2</v>
      </c>
      <c r="CX41" s="54">
        <v>4</v>
      </c>
      <c r="CY41" s="64">
        <v>4</v>
      </c>
      <c r="CZ41" s="69">
        <v>3</v>
      </c>
      <c r="DA41">
        <v>3</v>
      </c>
      <c r="DB41" s="21"/>
      <c r="DC41" s="128"/>
      <c r="DD41" s="54"/>
      <c r="DE41" s="64"/>
      <c r="DF41" s="69"/>
      <c r="DH41" s="21"/>
      <c r="DI41" s="128"/>
      <c r="DJ41" s="54"/>
      <c r="DK41" s="64"/>
      <c r="DL41" s="69"/>
      <c r="DN41" s="21">
        <v>2</v>
      </c>
      <c r="DO41" s="128">
        <v>1</v>
      </c>
      <c r="DP41" s="54">
        <v>1</v>
      </c>
      <c r="DQ41" s="64">
        <v>2</v>
      </c>
      <c r="DR41" s="69">
        <v>2</v>
      </c>
      <c r="DT41" s="21"/>
      <c r="DU41" s="128"/>
      <c r="DV41" s="54"/>
      <c r="DW41" s="64"/>
      <c r="DX41" s="69"/>
      <c r="DY41">
        <v>3</v>
      </c>
      <c r="DZ41" s="21">
        <v>3</v>
      </c>
      <c r="EA41" s="128">
        <v>2</v>
      </c>
      <c r="EB41" s="54">
        <v>2</v>
      </c>
      <c r="EC41" s="64">
        <v>2</v>
      </c>
      <c r="ED41" s="69">
        <v>2</v>
      </c>
      <c r="EF41" s="21">
        <v>1</v>
      </c>
      <c r="EG41" s="128">
        <v>1</v>
      </c>
      <c r="EH41" s="54">
        <v>1</v>
      </c>
      <c r="EI41" s="64">
        <v>1</v>
      </c>
      <c r="EJ41" s="69"/>
      <c r="EL41" s="21"/>
      <c r="EM41" s="128"/>
      <c r="EN41" s="54"/>
      <c r="EO41" s="64"/>
      <c r="EP41" s="69"/>
      <c r="ER41" s="21"/>
      <c r="ES41" s="128"/>
      <c r="ET41" s="54"/>
      <c r="EU41" s="64"/>
      <c r="EV41" s="69"/>
      <c r="EX41" s="21"/>
      <c r="EY41" s="128"/>
      <c r="EZ41" s="54"/>
      <c r="FA41" s="64">
        <v>1</v>
      </c>
      <c r="FB41" s="69">
        <v>1</v>
      </c>
      <c r="FD41" s="21"/>
      <c r="FE41" s="128"/>
      <c r="FF41" s="54"/>
      <c r="FG41" s="64">
        <v>1</v>
      </c>
      <c r="FH41" s="69"/>
      <c r="FI41">
        <v>3</v>
      </c>
      <c r="FJ41" s="21">
        <v>2</v>
      </c>
      <c r="FK41" s="128">
        <v>1</v>
      </c>
      <c r="FL41" s="54">
        <v>1</v>
      </c>
      <c r="FM41" s="64">
        <v>2</v>
      </c>
      <c r="FN41" s="69">
        <v>2</v>
      </c>
      <c r="FO41" s="128"/>
      <c r="FP41" s="54"/>
      <c r="FQ41" s="64"/>
      <c r="FR41" s="69"/>
      <c r="FT41" s="21"/>
      <c r="FU41" s="128"/>
      <c r="FV41" s="54"/>
      <c r="FW41" s="64"/>
      <c r="FX41" s="69"/>
      <c r="FZ41" s="21"/>
      <c r="GA41" s="128"/>
      <c r="GB41" s="54"/>
      <c r="GC41" s="64"/>
      <c r="GD41" s="69"/>
      <c r="GF41" s="21"/>
      <c r="GG41" s="128"/>
      <c r="GH41" s="54"/>
      <c r="GI41" s="64"/>
      <c r="GJ41" s="69"/>
      <c r="GL41" s="21"/>
      <c r="GM41" s="128">
        <v>1</v>
      </c>
      <c r="GN41" s="54"/>
      <c r="GO41" s="64"/>
      <c r="GP41" s="69"/>
      <c r="GR41" s="21"/>
      <c r="GS41" s="128"/>
      <c r="GT41" s="54"/>
      <c r="GU41" s="64"/>
      <c r="GV41" s="69"/>
      <c r="GW41">
        <v>3</v>
      </c>
      <c r="GX41" s="21">
        <v>3</v>
      </c>
      <c r="GY41" s="128">
        <v>2</v>
      </c>
      <c r="GZ41" s="54">
        <v>2</v>
      </c>
      <c r="HA41" s="64">
        <v>2</v>
      </c>
      <c r="HB41" s="69">
        <v>2</v>
      </c>
      <c r="HD41" s="21"/>
      <c r="HE41" s="128"/>
      <c r="HF41" s="54"/>
      <c r="HG41" s="64"/>
      <c r="HH41" s="69"/>
      <c r="HI41">
        <v>3</v>
      </c>
      <c r="HJ41" s="21">
        <v>1</v>
      </c>
      <c r="HK41" s="128">
        <v>1</v>
      </c>
      <c r="HL41" s="54">
        <v>1</v>
      </c>
      <c r="HM41" s="64">
        <v>1</v>
      </c>
      <c r="HN41" s="69">
        <v>1</v>
      </c>
      <c r="HP41" s="21">
        <v>1</v>
      </c>
      <c r="HQ41" s="128"/>
      <c r="HR41" s="54"/>
      <c r="HS41" s="64">
        <v>1</v>
      </c>
      <c r="HT41" s="69">
        <v>1</v>
      </c>
      <c r="HV41" s="21"/>
      <c r="HW41" s="128"/>
      <c r="HX41" s="54"/>
      <c r="HY41" s="64"/>
      <c r="HZ41" s="69"/>
      <c r="IB41" s="21"/>
      <c r="IC41" s="128"/>
      <c r="ID41" s="54"/>
      <c r="IE41" s="64"/>
      <c r="IF41" s="69"/>
      <c r="IH41" s="21"/>
      <c r="IJ41" s="21"/>
      <c r="IK41" s="128"/>
      <c r="IL41" s="54"/>
      <c r="IM41" s="64"/>
      <c r="IN41" s="69"/>
      <c r="IO41">
        <v>1</v>
      </c>
      <c r="IP41" s="21">
        <v>1</v>
      </c>
      <c r="IQ41" s="128">
        <v>1</v>
      </c>
      <c r="IR41" s="54"/>
      <c r="IS41" s="64"/>
      <c r="IT41" s="69">
        <v>1</v>
      </c>
      <c r="IV41" s="21"/>
      <c r="IW41" s="128"/>
      <c r="IX41" s="54"/>
      <c r="IY41" s="64"/>
      <c r="IZ41" s="69"/>
      <c r="JA41">
        <v>2</v>
      </c>
      <c r="JB41" s="21"/>
      <c r="JC41" s="128"/>
      <c r="JD41" s="54"/>
      <c r="JE41" s="64"/>
      <c r="JF41" s="69"/>
      <c r="JH41" s="21"/>
      <c r="JI41" s="128"/>
      <c r="JJ41" s="54"/>
      <c r="JK41" s="64"/>
      <c r="JL41" s="69"/>
      <c r="JN41" s="21"/>
      <c r="JO41" s="128"/>
      <c r="JP41" s="54"/>
      <c r="JQ41" s="64"/>
      <c r="JR41" s="69"/>
      <c r="JT41" s="21"/>
      <c r="JU41" s="128"/>
      <c r="JV41" s="54"/>
      <c r="JW41" s="64"/>
      <c r="JX41" s="69"/>
      <c r="JZ41" s="21"/>
      <c r="KA41" s="128"/>
      <c r="KB41" s="54"/>
      <c r="KC41" s="64"/>
      <c r="KD41" s="69"/>
      <c r="KF41" s="38"/>
      <c r="KG41" s="35"/>
      <c r="KI41" s="54"/>
      <c r="KJ41" s="64"/>
      <c r="KK41" s="69"/>
      <c r="KL41" s="126"/>
      <c r="KM41" s="127"/>
      <c r="KO41" s="38"/>
      <c r="KP41" s="83"/>
      <c r="KQ41" s="158"/>
      <c r="KR41" s="174"/>
      <c r="KS41" s="38"/>
      <c r="KT41" s="35"/>
      <c r="KU41" s="4">
        <v>1</v>
      </c>
      <c r="KV41" s="54">
        <v>1</v>
      </c>
      <c r="KW41" s="64">
        <v>1</v>
      </c>
      <c r="KX41" s="69">
        <v>1</v>
      </c>
      <c r="KY41" s="126">
        <v>1</v>
      </c>
      <c r="KZ41" s="127">
        <v>1</v>
      </c>
      <c r="LA41" s="4">
        <v>1</v>
      </c>
      <c r="LB41" s="38">
        <v>1</v>
      </c>
      <c r="LC41" s="83">
        <v>1</v>
      </c>
      <c r="LD41" s="158">
        <v>1</v>
      </c>
      <c r="LE41" s="174">
        <v>1</v>
      </c>
      <c r="LF41" s="38"/>
      <c r="LG41" s="35"/>
      <c r="LI41" s="54"/>
      <c r="LJ41" s="64"/>
      <c r="LK41" s="69"/>
      <c r="LL41" s="126"/>
      <c r="LM41" s="127"/>
      <c r="LO41" s="38"/>
      <c r="LP41" s="83"/>
      <c r="LQ41" s="158"/>
      <c r="LR41" s="174"/>
      <c r="LS41" s="38"/>
      <c r="LT41" s="35"/>
      <c r="LV41" s="54"/>
      <c r="LW41" s="64"/>
      <c r="LX41" s="69"/>
      <c r="LY41" s="126"/>
      <c r="LZ41" s="127"/>
      <c r="MB41" s="38"/>
      <c r="MC41" s="83"/>
      <c r="MD41" s="158"/>
      <c r="ME41" s="174"/>
      <c r="MF41" s="38"/>
      <c r="MG41" s="35"/>
      <c r="MI41" s="54"/>
      <c r="MJ41" s="64"/>
      <c r="MK41" s="69"/>
      <c r="ML41" s="126"/>
      <c r="MM41" s="127"/>
      <c r="MO41" s="38"/>
      <c r="MP41" s="83"/>
      <c r="MQ41" s="158"/>
      <c r="MR41" s="174"/>
      <c r="MT41" s="4">
        <f t="shared" si="10"/>
        <v>132</v>
      </c>
      <c r="NC41" s="21"/>
      <c r="ND41" s="128"/>
      <c r="NE41" s="54"/>
    </row>
    <row r="42" spans="1:369" x14ac:dyDescent="0.15">
      <c r="A42" s="2" t="s">
        <v>11</v>
      </c>
      <c r="B42">
        <v>4</v>
      </c>
      <c r="C42" s="21">
        <v>1</v>
      </c>
      <c r="D42" s="128">
        <v>4</v>
      </c>
      <c r="E42" s="54">
        <v>4</v>
      </c>
      <c r="F42" s="64">
        <v>3</v>
      </c>
      <c r="G42" s="69">
        <v>2</v>
      </c>
      <c r="H42" s="127">
        <v>4</v>
      </c>
      <c r="I42">
        <v>4</v>
      </c>
      <c r="J42" s="21"/>
      <c r="K42" s="128">
        <v>2</v>
      </c>
      <c r="L42" s="54">
        <v>2</v>
      </c>
      <c r="M42" s="64">
        <v>2</v>
      </c>
      <c r="N42" s="69">
        <v>2</v>
      </c>
      <c r="O42" s="127">
        <v>3</v>
      </c>
      <c r="Q42" s="21"/>
      <c r="R42" s="128">
        <v>1</v>
      </c>
      <c r="S42" s="54">
        <v>1</v>
      </c>
      <c r="T42" s="64">
        <v>1</v>
      </c>
      <c r="U42" s="69">
        <v>1</v>
      </c>
      <c r="V42" s="127">
        <v>3</v>
      </c>
      <c r="X42" s="21"/>
      <c r="Y42" s="128">
        <v>1</v>
      </c>
      <c r="Z42" s="54">
        <v>1</v>
      </c>
      <c r="AA42" s="64">
        <v>1</v>
      </c>
      <c r="AB42" s="69"/>
      <c r="AC42" s="127">
        <v>1</v>
      </c>
      <c r="AE42" s="21">
        <v>1</v>
      </c>
      <c r="AF42" s="128">
        <v>1</v>
      </c>
      <c r="AG42" s="54">
        <v>1</v>
      </c>
      <c r="AH42" s="64">
        <v>2</v>
      </c>
      <c r="AI42" s="69">
        <v>2</v>
      </c>
      <c r="AJ42" s="127">
        <v>3</v>
      </c>
      <c r="AL42" s="21">
        <v>1</v>
      </c>
      <c r="AM42" s="128"/>
      <c r="AN42" s="54">
        <v>1</v>
      </c>
      <c r="AO42" s="64">
        <v>1</v>
      </c>
      <c r="AP42" s="69">
        <v>1</v>
      </c>
      <c r="AQ42" s="127">
        <v>1</v>
      </c>
      <c r="AS42" s="21"/>
      <c r="AT42" s="128"/>
      <c r="AU42" s="54"/>
      <c r="AV42" s="64"/>
      <c r="AW42" s="69"/>
      <c r="AX42" s="127"/>
      <c r="AZ42" s="21"/>
      <c r="BA42" s="128"/>
      <c r="BB42" s="54"/>
      <c r="BC42" s="64">
        <v>1</v>
      </c>
      <c r="BD42" s="69">
        <v>1</v>
      </c>
      <c r="BE42" s="127">
        <v>1</v>
      </c>
      <c r="BG42" s="21"/>
      <c r="BH42" s="128">
        <v>1</v>
      </c>
      <c r="BI42" s="54"/>
      <c r="BJ42" s="64">
        <v>1</v>
      </c>
      <c r="BK42" s="69">
        <v>1</v>
      </c>
      <c r="BL42" s="127">
        <v>1</v>
      </c>
      <c r="BN42" s="21"/>
      <c r="BO42" s="128"/>
      <c r="BP42" s="54"/>
      <c r="BQ42" s="64"/>
      <c r="BR42" s="69"/>
      <c r="BS42" s="127"/>
      <c r="BU42" s="21"/>
      <c r="BV42" s="128"/>
      <c r="BW42" s="54"/>
      <c r="BX42" s="64"/>
      <c r="BY42" s="69"/>
      <c r="BZ42" s="127"/>
      <c r="CB42" s="21"/>
      <c r="CC42" s="128"/>
      <c r="CD42" s="54"/>
      <c r="CE42" s="64"/>
      <c r="CF42" s="69"/>
      <c r="CG42" s="127"/>
      <c r="CI42" s="21"/>
      <c r="CJ42" s="128"/>
      <c r="CK42" s="54"/>
      <c r="CL42" s="64"/>
      <c r="CM42" s="69"/>
      <c r="CN42" s="127"/>
      <c r="CP42" s="21"/>
      <c r="CQ42" s="128"/>
      <c r="CR42" s="54"/>
      <c r="CS42" s="64"/>
      <c r="CT42" s="69"/>
      <c r="CU42">
        <v>2</v>
      </c>
      <c r="CV42" s="21"/>
      <c r="CW42" s="128"/>
      <c r="CX42" s="54"/>
      <c r="CY42" s="64"/>
      <c r="CZ42" s="69"/>
      <c r="DB42" s="21"/>
      <c r="DC42" s="128">
        <v>1</v>
      </c>
      <c r="DD42" s="54">
        <v>1</v>
      </c>
      <c r="DE42" s="64">
        <v>1</v>
      </c>
      <c r="DF42" s="69">
        <v>1</v>
      </c>
      <c r="DH42" s="21"/>
      <c r="DI42" s="128"/>
      <c r="DJ42" s="54"/>
      <c r="DK42" s="64"/>
      <c r="DL42" s="69"/>
      <c r="DN42" s="21"/>
      <c r="DO42" s="128"/>
      <c r="DP42" s="54"/>
      <c r="DQ42" s="64"/>
      <c r="DR42" s="69"/>
      <c r="DT42" s="21"/>
      <c r="DU42" s="128"/>
      <c r="DV42" s="54"/>
      <c r="DW42" s="64"/>
      <c r="DX42" s="69"/>
      <c r="DZ42" s="21"/>
      <c r="EA42" s="128"/>
      <c r="EB42" s="54"/>
      <c r="EC42" s="64"/>
      <c r="ED42" s="69"/>
      <c r="EF42" s="21"/>
      <c r="EG42" s="128"/>
      <c r="EH42" s="54"/>
      <c r="EI42" s="64"/>
      <c r="EJ42" s="69"/>
      <c r="EL42" s="21"/>
      <c r="EM42" s="128"/>
      <c r="EN42" s="54"/>
      <c r="EO42" s="64"/>
      <c r="EP42" s="69"/>
      <c r="ER42" s="21"/>
      <c r="ES42" s="128"/>
      <c r="ET42" s="54"/>
      <c r="EU42" s="64"/>
      <c r="EV42" s="69"/>
      <c r="EX42" s="21"/>
      <c r="EY42" s="128"/>
      <c r="EZ42" s="54"/>
      <c r="FA42" s="64"/>
      <c r="FB42" s="69"/>
      <c r="FD42" s="21"/>
      <c r="FE42" s="128"/>
      <c r="FF42" s="54"/>
      <c r="FG42" s="64"/>
      <c r="FH42" s="69"/>
      <c r="FJ42" s="21"/>
      <c r="FK42" s="128"/>
      <c r="FL42" s="54"/>
      <c r="FM42" s="64"/>
      <c r="FN42" s="69"/>
      <c r="FO42" s="128"/>
      <c r="FP42" s="54"/>
      <c r="FQ42" s="64"/>
      <c r="FR42" s="69"/>
      <c r="FT42" s="21"/>
      <c r="FU42" s="128"/>
      <c r="FV42" s="54"/>
      <c r="FW42" s="64"/>
      <c r="FX42" s="69"/>
      <c r="FZ42" s="21"/>
      <c r="GA42" s="128"/>
      <c r="GB42" s="54"/>
      <c r="GC42" s="64"/>
      <c r="GD42" s="69"/>
      <c r="GF42" s="21"/>
      <c r="GG42" s="128"/>
      <c r="GH42" s="54"/>
      <c r="GI42" s="64"/>
      <c r="GJ42" s="69"/>
      <c r="GL42" s="21"/>
      <c r="GM42" s="128"/>
      <c r="GN42" s="54"/>
      <c r="GO42" s="64"/>
      <c r="GP42" s="69"/>
      <c r="GR42" s="21"/>
      <c r="GS42" s="128"/>
      <c r="GT42" s="54"/>
      <c r="GU42" s="64"/>
      <c r="GV42" s="69"/>
      <c r="GX42" s="21"/>
      <c r="GY42" s="128"/>
      <c r="GZ42" s="54"/>
      <c r="HA42" s="64"/>
      <c r="HB42" s="69"/>
      <c r="HD42" s="21"/>
      <c r="HE42" s="128"/>
      <c r="HF42" s="54"/>
      <c r="HG42" s="64"/>
      <c r="HH42" s="69"/>
      <c r="HJ42" s="21"/>
      <c r="HK42" s="128"/>
      <c r="HL42" s="54"/>
      <c r="HM42" s="64"/>
      <c r="HN42" s="69"/>
      <c r="HP42" s="21"/>
      <c r="HQ42" s="128"/>
      <c r="HR42" s="54"/>
      <c r="HS42" s="64"/>
      <c r="HT42" s="69"/>
      <c r="HV42" s="21"/>
      <c r="HW42" s="128"/>
      <c r="HX42" s="54"/>
      <c r="HY42" s="64"/>
      <c r="HZ42" s="69"/>
      <c r="IB42" s="21"/>
      <c r="IC42" s="128"/>
      <c r="ID42" s="54"/>
      <c r="IE42" s="64"/>
      <c r="IF42" s="69"/>
      <c r="IH42" s="21"/>
      <c r="IJ42" s="21"/>
      <c r="IK42" s="128"/>
      <c r="IL42" s="54"/>
      <c r="IM42" s="64"/>
      <c r="IN42" s="69"/>
      <c r="IP42" s="21"/>
      <c r="IQ42" s="128"/>
      <c r="IR42" s="54"/>
      <c r="IS42" s="64"/>
      <c r="IT42" s="69"/>
      <c r="IV42" s="21"/>
      <c r="IW42" s="128"/>
      <c r="IX42" s="54"/>
      <c r="IY42" s="64"/>
      <c r="IZ42" s="69"/>
      <c r="JB42" s="21"/>
      <c r="JC42" s="128"/>
      <c r="JD42" s="54"/>
      <c r="JE42" s="64"/>
      <c r="JF42" s="69"/>
      <c r="JH42" s="21"/>
      <c r="JI42" s="128"/>
      <c r="JJ42" s="54"/>
      <c r="JK42" s="64"/>
      <c r="JL42" s="69"/>
      <c r="JN42" s="21"/>
      <c r="JO42" s="128"/>
      <c r="JP42" s="54"/>
      <c r="JQ42" s="64"/>
      <c r="JR42" s="69"/>
      <c r="JT42" s="21"/>
      <c r="JU42" s="128"/>
      <c r="JV42" s="54"/>
      <c r="JW42" s="64"/>
      <c r="JX42" s="69"/>
      <c r="JZ42" s="21"/>
      <c r="KA42" s="128"/>
      <c r="KB42" s="54"/>
      <c r="KC42" s="64"/>
      <c r="KD42" s="69"/>
      <c r="KF42" s="38"/>
      <c r="KG42" s="35"/>
      <c r="KI42" s="54"/>
      <c r="KJ42" s="64"/>
      <c r="KK42" s="69"/>
      <c r="KL42" s="126"/>
      <c r="KM42" s="127"/>
      <c r="KO42" s="38"/>
      <c r="KP42" s="83"/>
      <c r="KQ42" s="158"/>
      <c r="KR42" s="174"/>
      <c r="KS42" s="38"/>
      <c r="KT42" s="35"/>
      <c r="KV42" s="54"/>
      <c r="KW42" s="64"/>
      <c r="KX42" s="69"/>
      <c r="KY42" s="126"/>
      <c r="KZ42" s="127"/>
      <c r="LB42" s="38"/>
      <c r="LC42" s="83">
        <v>1</v>
      </c>
      <c r="LD42" s="158">
        <v>1</v>
      </c>
      <c r="LE42" s="174">
        <v>1</v>
      </c>
      <c r="LF42" s="38"/>
      <c r="LG42" s="35"/>
      <c r="LI42" s="54"/>
      <c r="LJ42" s="64"/>
      <c r="LK42" s="69">
        <v>1</v>
      </c>
      <c r="LL42" s="126">
        <v>1</v>
      </c>
      <c r="LM42" s="127">
        <v>1</v>
      </c>
      <c r="LO42" s="38">
        <v>1</v>
      </c>
      <c r="LP42" s="83"/>
      <c r="LQ42" s="158"/>
      <c r="LR42" s="174"/>
      <c r="LS42" s="38"/>
      <c r="LT42" s="35"/>
      <c r="LV42" s="54"/>
      <c r="LW42" s="64"/>
      <c r="LX42" s="69"/>
      <c r="LY42" s="126"/>
      <c r="LZ42" s="127"/>
      <c r="MB42" s="38"/>
      <c r="MC42" s="83"/>
      <c r="MD42" s="158"/>
      <c r="ME42" s="174"/>
      <c r="MF42" s="38"/>
      <c r="MG42" s="35"/>
      <c r="MI42" s="54"/>
      <c r="MJ42" s="64"/>
      <c r="MK42" s="69"/>
      <c r="ML42" s="126"/>
      <c r="MM42" s="127"/>
      <c r="MO42" s="38"/>
      <c r="MP42" s="83"/>
      <c r="MQ42" s="158"/>
      <c r="MR42" s="174"/>
      <c r="MT42" s="4">
        <f t="shared" si="10"/>
        <v>52</v>
      </c>
      <c r="NC42" s="21"/>
      <c r="ND42" s="128"/>
      <c r="NE42" s="54"/>
    </row>
    <row r="43" spans="1:369" x14ac:dyDescent="0.15">
      <c r="A43" s="2" t="s">
        <v>21</v>
      </c>
      <c r="B43">
        <v>1</v>
      </c>
      <c r="C43" s="21">
        <v>2</v>
      </c>
      <c r="D43" s="128">
        <v>1</v>
      </c>
      <c r="E43" s="54">
        <v>1</v>
      </c>
      <c r="F43" s="64">
        <v>1</v>
      </c>
      <c r="G43" s="69">
        <v>3</v>
      </c>
      <c r="H43" s="127">
        <v>1</v>
      </c>
      <c r="I43">
        <v>1</v>
      </c>
      <c r="J43" s="21">
        <v>2</v>
      </c>
      <c r="K43" s="128">
        <v>2</v>
      </c>
      <c r="L43" s="54">
        <v>2</v>
      </c>
      <c r="M43" s="64">
        <v>1</v>
      </c>
      <c r="N43" s="69">
        <v>2</v>
      </c>
      <c r="O43" s="127">
        <v>1</v>
      </c>
      <c r="Q43" s="21">
        <v>1</v>
      </c>
      <c r="R43" s="128">
        <v>1</v>
      </c>
      <c r="S43" s="54">
        <v>3</v>
      </c>
      <c r="T43" s="64">
        <v>2</v>
      </c>
      <c r="U43" s="69">
        <v>2</v>
      </c>
      <c r="V43" s="127">
        <v>1</v>
      </c>
      <c r="W43">
        <v>1</v>
      </c>
      <c r="X43" s="21">
        <v>1</v>
      </c>
      <c r="Y43" s="128">
        <v>1</v>
      </c>
      <c r="Z43" s="54">
        <v>2</v>
      </c>
      <c r="AA43" s="64">
        <v>2</v>
      </c>
      <c r="AB43" s="69">
        <v>2</v>
      </c>
      <c r="AC43" s="127">
        <v>2</v>
      </c>
      <c r="AE43" s="21"/>
      <c r="AF43" s="128"/>
      <c r="AG43" s="54"/>
      <c r="AH43" s="64"/>
      <c r="AI43" s="69"/>
      <c r="AJ43" s="127"/>
      <c r="AK43">
        <v>2</v>
      </c>
      <c r="AL43" s="21">
        <v>2</v>
      </c>
      <c r="AM43" s="128">
        <v>1</v>
      </c>
      <c r="AN43" s="54">
        <v>2</v>
      </c>
      <c r="AO43" s="64">
        <v>2</v>
      </c>
      <c r="AP43" s="69">
        <v>2</v>
      </c>
      <c r="AQ43" s="127">
        <v>3</v>
      </c>
      <c r="AS43" s="21"/>
      <c r="AT43" s="128">
        <v>1</v>
      </c>
      <c r="AU43" s="54"/>
      <c r="AV43" s="64"/>
      <c r="AW43" s="69">
        <v>1</v>
      </c>
      <c r="AX43" s="127">
        <v>1</v>
      </c>
      <c r="AY43">
        <v>2</v>
      </c>
      <c r="AZ43" s="21">
        <v>2</v>
      </c>
      <c r="BA43" s="128">
        <v>1</v>
      </c>
      <c r="BB43" s="54">
        <v>1</v>
      </c>
      <c r="BC43" s="64">
        <v>1</v>
      </c>
      <c r="BD43" s="69">
        <v>1</v>
      </c>
      <c r="BE43" s="127">
        <v>1</v>
      </c>
      <c r="BF43">
        <v>2</v>
      </c>
      <c r="BG43" s="21">
        <v>2</v>
      </c>
      <c r="BH43" s="128">
        <v>2</v>
      </c>
      <c r="BI43" s="54">
        <v>2</v>
      </c>
      <c r="BJ43" s="64">
        <v>1</v>
      </c>
      <c r="BK43" s="69">
        <v>2</v>
      </c>
      <c r="BL43" s="127">
        <v>2</v>
      </c>
      <c r="BN43" s="21"/>
      <c r="BO43" s="128"/>
      <c r="BP43" s="54"/>
      <c r="BQ43" s="64">
        <v>2</v>
      </c>
      <c r="BR43" s="69">
        <v>3</v>
      </c>
      <c r="BS43" s="127">
        <v>2</v>
      </c>
      <c r="BT43">
        <v>4</v>
      </c>
      <c r="BU43" s="21">
        <v>4</v>
      </c>
      <c r="BV43" s="128">
        <v>3</v>
      </c>
      <c r="BW43" s="54">
        <v>3</v>
      </c>
      <c r="BX43" s="64">
        <v>2</v>
      </c>
      <c r="BY43" s="69">
        <v>1</v>
      </c>
      <c r="BZ43" s="127">
        <v>2</v>
      </c>
      <c r="CA43">
        <v>4</v>
      </c>
      <c r="CB43" s="21">
        <v>3</v>
      </c>
      <c r="CC43" s="128">
        <v>2</v>
      </c>
      <c r="CD43" s="54">
        <v>3</v>
      </c>
      <c r="CE43" s="64">
        <v>3</v>
      </c>
      <c r="CF43" s="69">
        <v>3</v>
      </c>
      <c r="CG43" s="127">
        <v>2</v>
      </c>
      <c r="CH43">
        <v>3</v>
      </c>
      <c r="CI43" s="21">
        <v>3</v>
      </c>
      <c r="CJ43" s="128">
        <v>3</v>
      </c>
      <c r="CK43" s="54">
        <v>2</v>
      </c>
      <c r="CL43" s="64">
        <v>2</v>
      </c>
      <c r="CM43" s="69">
        <v>3</v>
      </c>
      <c r="CN43" s="127">
        <v>2</v>
      </c>
      <c r="CP43" s="21">
        <v>1</v>
      </c>
      <c r="CQ43" s="128">
        <v>1</v>
      </c>
      <c r="CR43" s="54">
        <v>1</v>
      </c>
      <c r="CS43" s="64">
        <v>2</v>
      </c>
      <c r="CT43" s="69">
        <v>1</v>
      </c>
      <c r="CU43">
        <v>3</v>
      </c>
      <c r="CV43" s="21">
        <v>2</v>
      </c>
      <c r="CW43" s="128">
        <v>1</v>
      </c>
      <c r="CX43" s="54">
        <v>1</v>
      </c>
      <c r="CY43" s="64">
        <v>1</v>
      </c>
      <c r="CZ43" s="69">
        <v>1</v>
      </c>
      <c r="DA43">
        <v>4</v>
      </c>
      <c r="DB43" s="21">
        <v>2</v>
      </c>
      <c r="DC43" s="128">
        <v>3</v>
      </c>
      <c r="DD43" s="54">
        <v>3</v>
      </c>
      <c r="DE43" s="64">
        <v>3</v>
      </c>
      <c r="DF43" s="69">
        <v>2</v>
      </c>
      <c r="DG43">
        <v>5</v>
      </c>
      <c r="DH43" s="21">
        <v>3</v>
      </c>
      <c r="DI43" s="128">
        <v>3</v>
      </c>
      <c r="DJ43" s="54">
        <v>3</v>
      </c>
      <c r="DK43" s="64">
        <v>3</v>
      </c>
      <c r="DL43" s="69">
        <v>1</v>
      </c>
      <c r="DM43">
        <v>3</v>
      </c>
      <c r="DN43" s="21">
        <v>3</v>
      </c>
      <c r="DO43" s="128">
        <v>3</v>
      </c>
      <c r="DP43" s="54">
        <v>3</v>
      </c>
      <c r="DQ43" s="64">
        <v>3</v>
      </c>
      <c r="DR43" s="69">
        <v>3</v>
      </c>
      <c r="DT43" s="21"/>
      <c r="DU43" s="128"/>
      <c r="DV43" s="54"/>
      <c r="DW43" s="64"/>
      <c r="DX43" s="69"/>
      <c r="DY43">
        <v>2</v>
      </c>
      <c r="DZ43" s="21">
        <v>1</v>
      </c>
      <c r="EA43" s="128">
        <v>1</v>
      </c>
      <c r="EB43" s="54">
        <v>1</v>
      </c>
      <c r="EC43" s="64">
        <v>1</v>
      </c>
      <c r="ED43" s="69">
        <v>2</v>
      </c>
      <c r="EE43">
        <v>3</v>
      </c>
      <c r="EF43" s="21">
        <v>1</v>
      </c>
      <c r="EG43" s="128">
        <v>1</v>
      </c>
      <c r="EH43" s="54">
        <v>1</v>
      </c>
      <c r="EI43" s="64">
        <v>1</v>
      </c>
      <c r="EJ43" s="69">
        <v>1</v>
      </c>
      <c r="EK43">
        <v>3</v>
      </c>
      <c r="EL43" s="21"/>
      <c r="EM43" s="128"/>
      <c r="EN43" s="54"/>
      <c r="EO43" s="64"/>
      <c r="EP43" s="69"/>
      <c r="ER43" s="21"/>
      <c r="ES43" s="128"/>
      <c r="ET43" s="54"/>
      <c r="EU43" s="64"/>
      <c r="EV43" s="69"/>
      <c r="EW43">
        <v>1</v>
      </c>
      <c r="EX43" s="21">
        <v>1</v>
      </c>
      <c r="EY43" s="128">
        <v>1</v>
      </c>
      <c r="EZ43" s="54">
        <v>1</v>
      </c>
      <c r="FA43" s="64">
        <v>1</v>
      </c>
      <c r="FB43" s="69">
        <v>1</v>
      </c>
      <c r="FC43">
        <v>1</v>
      </c>
      <c r="FD43" s="21">
        <v>1</v>
      </c>
      <c r="FE43" s="128">
        <v>1</v>
      </c>
      <c r="FF43" s="54">
        <v>1</v>
      </c>
      <c r="FG43" s="64">
        <v>1</v>
      </c>
      <c r="FH43" s="69">
        <v>1</v>
      </c>
      <c r="FJ43" s="21"/>
      <c r="FK43" s="128"/>
      <c r="FL43" s="54"/>
      <c r="FM43" s="64"/>
      <c r="FN43" s="69"/>
      <c r="FO43" s="128"/>
      <c r="FP43" s="54"/>
      <c r="FQ43" s="64"/>
      <c r="FR43" s="69"/>
      <c r="FT43" s="21"/>
      <c r="FU43" s="128">
        <v>1</v>
      </c>
      <c r="FV43" s="54"/>
      <c r="FW43" s="64"/>
      <c r="FX43" s="69"/>
      <c r="FY43">
        <v>3</v>
      </c>
      <c r="FZ43" s="21">
        <v>2</v>
      </c>
      <c r="GA43" s="128">
        <v>2</v>
      </c>
      <c r="GB43" s="54">
        <v>2</v>
      </c>
      <c r="GC43" s="64">
        <v>2</v>
      </c>
      <c r="GD43" s="69">
        <v>1</v>
      </c>
      <c r="GE43">
        <v>4</v>
      </c>
      <c r="GF43" s="21">
        <v>2</v>
      </c>
      <c r="GG43" s="128">
        <v>2</v>
      </c>
      <c r="GH43" s="54">
        <v>2</v>
      </c>
      <c r="GI43" s="64">
        <v>1</v>
      </c>
      <c r="GJ43" s="69">
        <v>1</v>
      </c>
      <c r="GL43" s="21"/>
      <c r="GM43" s="128">
        <v>1</v>
      </c>
      <c r="GN43" s="54">
        <v>1</v>
      </c>
      <c r="GO43" s="64">
        <v>1</v>
      </c>
      <c r="GP43" s="69">
        <v>1</v>
      </c>
      <c r="GQ43">
        <v>3</v>
      </c>
      <c r="GR43" s="21">
        <v>3</v>
      </c>
      <c r="GS43" s="128">
        <v>1</v>
      </c>
      <c r="GT43" s="54">
        <v>3</v>
      </c>
      <c r="GU43" s="64">
        <v>4</v>
      </c>
      <c r="GV43" s="69">
        <v>3</v>
      </c>
      <c r="GW43">
        <v>3</v>
      </c>
      <c r="GX43" s="21">
        <v>2</v>
      </c>
      <c r="GY43" s="128">
        <v>2</v>
      </c>
      <c r="GZ43" s="54">
        <v>1</v>
      </c>
      <c r="HA43" s="64">
        <v>1</v>
      </c>
      <c r="HB43" s="69">
        <v>2</v>
      </c>
      <c r="HC43">
        <v>2</v>
      </c>
      <c r="HD43" s="21">
        <v>1</v>
      </c>
      <c r="HE43" s="128">
        <v>2</v>
      </c>
      <c r="HF43" s="54">
        <v>1</v>
      </c>
      <c r="HG43" s="64">
        <v>1</v>
      </c>
      <c r="HH43" s="69">
        <v>1</v>
      </c>
      <c r="HJ43" s="21">
        <v>1</v>
      </c>
      <c r="HK43" s="128">
        <v>1</v>
      </c>
      <c r="HL43" s="54">
        <v>1</v>
      </c>
      <c r="HM43" s="64">
        <v>1</v>
      </c>
      <c r="HN43" s="69">
        <v>1</v>
      </c>
      <c r="HO43">
        <v>2</v>
      </c>
      <c r="HP43" s="21">
        <v>3</v>
      </c>
      <c r="HQ43" s="128">
        <v>3</v>
      </c>
      <c r="HR43" s="54">
        <v>3</v>
      </c>
      <c r="HS43" s="64">
        <v>3</v>
      </c>
      <c r="HT43" s="69">
        <v>2</v>
      </c>
      <c r="HU43">
        <v>3</v>
      </c>
      <c r="HV43" s="21">
        <v>2</v>
      </c>
      <c r="HW43" s="128">
        <v>2</v>
      </c>
      <c r="HX43" s="54">
        <v>2</v>
      </c>
      <c r="HY43" s="64">
        <v>1</v>
      </c>
      <c r="HZ43" s="69">
        <v>1</v>
      </c>
      <c r="IA43">
        <v>3</v>
      </c>
      <c r="IB43" s="21">
        <v>2</v>
      </c>
      <c r="IC43" s="128">
        <v>1</v>
      </c>
      <c r="ID43" s="54">
        <v>1</v>
      </c>
      <c r="IE43" s="64">
        <v>2</v>
      </c>
      <c r="IF43" s="69">
        <v>1</v>
      </c>
      <c r="IG43">
        <v>1</v>
      </c>
      <c r="IH43" s="21"/>
      <c r="II43">
        <v>2</v>
      </c>
      <c r="IJ43" s="21">
        <v>2</v>
      </c>
      <c r="IK43" s="128">
        <v>2</v>
      </c>
      <c r="IL43" s="54">
        <v>1</v>
      </c>
      <c r="IM43" s="64">
        <v>1</v>
      </c>
      <c r="IN43" s="69">
        <v>1</v>
      </c>
      <c r="IO43">
        <v>3</v>
      </c>
      <c r="IP43" s="21">
        <v>1</v>
      </c>
      <c r="IQ43" s="128">
        <v>1</v>
      </c>
      <c r="IR43" s="54">
        <v>1</v>
      </c>
      <c r="IS43" s="64">
        <v>1</v>
      </c>
      <c r="IT43" s="69">
        <v>1</v>
      </c>
      <c r="IU43">
        <v>3</v>
      </c>
      <c r="IV43" s="21">
        <v>3</v>
      </c>
      <c r="IW43" s="128">
        <v>3</v>
      </c>
      <c r="IX43" s="54">
        <v>3</v>
      </c>
      <c r="IY43" s="64">
        <v>3</v>
      </c>
      <c r="IZ43" s="69">
        <v>3</v>
      </c>
      <c r="JB43" s="21">
        <v>1</v>
      </c>
      <c r="JC43" s="128">
        <v>1</v>
      </c>
      <c r="JD43" s="54"/>
      <c r="JE43" s="64">
        <v>1</v>
      </c>
      <c r="JF43" s="69"/>
      <c r="JG43">
        <v>3</v>
      </c>
      <c r="JH43" s="21">
        <v>3</v>
      </c>
      <c r="JI43" s="128">
        <v>1</v>
      </c>
      <c r="JJ43" s="54">
        <v>1</v>
      </c>
      <c r="JK43" s="64">
        <v>2</v>
      </c>
      <c r="JL43" s="69">
        <v>2</v>
      </c>
      <c r="JM43">
        <v>2</v>
      </c>
      <c r="JN43" s="21">
        <v>2</v>
      </c>
      <c r="JO43" s="128">
        <v>1</v>
      </c>
      <c r="JP43" s="54">
        <v>1</v>
      </c>
      <c r="JQ43" s="64">
        <v>2</v>
      </c>
      <c r="JR43" s="69">
        <v>2</v>
      </c>
      <c r="JS43">
        <v>2</v>
      </c>
      <c r="JT43" s="21">
        <v>2</v>
      </c>
      <c r="JU43" s="128">
        <v>2</v>
      </c>
      <c r="JV43" s="54">
        <v>2</v>
      </c>
      <c r="JW43" s="64">
        <v>2</v>
      </c>
      <c r="JX43" s="69">
        <v>2</v>
      </c>
      <c r="JY43">
        <v>2</v>
      </c>
      <c r="JZ43" s="21">
        <v>2</v>
      </c>
      <c r="KA43" s="128">
        <v>2</v>
      </c>
      <c r="KB43" s="54">
        <v>1</v>
      </c>
      <c r="KC43" s="64">
        <v>1</v>
      </c>
      <c r="KD43" s="69">
        <v>1</v>
      </c>
      <c r="KF43" s="38"/>
      <c r="KG43" s="35"/>
      <c r="KI43" s="54"/>
      <c r="KJ43" s="64"/>
      <c r="KK43" s="69"/>
      <c r="KL43" s="126"/>
      <c r="KM43" s="127"/>
      <c r="KO43" s="38"/>
      <c r="KP43" s="83"/>
      <c r="KQ43" s="158"/>
      <c r="KR43" s="174"/>
      <c r="KS43" s="38"/>
      <c r="KT43" s="35">
        <v>1</v>
      </c>
      <c r="KU43" s="4">
        <v>1</v>
      </c>
      <c r="KV43" s="54">
        <v>1</v>
      </c>
      <c r="KW43" s="64">
        <v>1</v>
      </c>
      <c r="KX43" s="69"/>
      <c r="KY43" s="126">
        <v>1</v>
      </c>
      <c r="KZ43" s="127">
        <v>1</v>
      </c>
      <c r="LA43" s="4">
        <v>1</v>
      </c>
      <c r="LB43" s="38">
        <v>1</v>
      </c>
      <c r="LC43" s="83">
        <v>1</v>
      </c>
      <c r="LD43" s="158">
        <v>1</v>
      </c>
      <c r="LE43" s="174">
        <v>1</v>
      </c>
      <c r="LF43" s="38"/>
      <c r="LG43" s="35">
        <v>1</v>
      </c>
      <c r="LH43" s="4">
        <v>1</v>
      </c>
      <c r="LI43" s="54">
        <v>1</v>
      </c>
      <c r="LJ43" s="64">
        <v>1</v>
      </c>
      <c r="LK43" s="69">
        <v>1</v>
      </c>
      <c r="LL43" s="126">
        <v>1</v>
      </c>
      <c r="LM43" s="127">
        <v>1</v>
      </c>
      <c r="LN43" s="4">
        <v>1</v>
      </c>
      <c r="LO43" s="38">
        <v>1</v>
      </c>
      <c r="LP43" s="83">
        <v>1</v>
      </c>
      <c r="LQ43" s="158">
        <v>1</v>
      </c>
      <c r="LR43" s="174">
        <v>1</v>
      </c>
      <c r="LS43" s="38"/>
      <c r="LT43" s="35"/>
      <c r="LV43" s="54"/>
      <c r="LW43" s="64"/>
      <c r="LX43" s="69"/>
      <c r="LY43" s="126"/>
      <c r="LZ43" s="127"/>
      <c r="MB43" s="38"/>
      <c r="MC43" s="83"/>
      <c r="MD43" s="158"/>
      <c r="ME43" s="174"/>
      <c r="MF43" s="38"/>
      <c r="MG43" s="35"/>
      <c r="MI43" s="54"/>
      <c r="MJ43" s="64"/>
      <c r="MK43" s="69"/>
      <c r="ML43" s="126"/>
      <c r="MM43" s="127"/>
      <c r="MO43" s="38"/>
      <c r="MP43" s="83"/>
      <c r="MQ43" s="158"/>
      <c r="MR43" s="174"/>
      <c r="MT43" s="4">
        <f t="shared" si="10"/>
        <v>256</v>
      </c>
      <c r="NC43" s="21">
        <v>1</v>
      </c>
      <c r="ND43" s="128">
        <v>1</v>
      </c>
      <c r="NE43" s="54"/>
    </row>
    <row r="44" spans="1:369" x14ac:dyDescent="0.15">
      <c r="A44" s="2" t="s">
        <v>197</v>
      </c>
      <c r="C44" s="21"/>
      <c r="D44" s="128"/>
      <c r="E44" s="54"/>
      <c r="F44" s="64"/>
      <c r="G44" s="69"/>
      <c r="H44" s="127"/>
      <c r="J44" s="21"/>
      <c r="K44" s="128"/>
      <c r="L44" s="54"/>
      <c r="M44" s="64"/>
      <c r="N44" s="69"/>
      <c r="O44" s="127"/>
      <c r="Q44" s="21"/>
      <c r="R44" s="128"/>
      <c r="S44" s="54"/>
      <c r="T44" s="64"/>
      <c r="U44" s="69"/>
      <c r="V44" s="127"/>
      <c r="X44" s="21"/>
      <c r="Y44" s="128"/>
      <c r="Z44" s="54"/>
      <c r="AA44" s="64"/>
      <c r="AB44" s="69"/>
      <c r="AC44" s="127"/>
      <c r="AE44" s="21"/>
      <c r="AF44" s="128"/>
      <c r="AG44" s="54"/>
      <c r="AH44" s="64"/>
      <c r="AI44" s="69"/>
      <c r="AJ44" s="127"/>
      <c r="AL44" s="21"/>
      <c r="AM44" s="128"/>
      <c r="AN44" s="54"/>
      <c r="AO44" s="64"/>
      <c r="AP44" s="69">
        <v>1</v>
      </c>
      <c r="AQ44" s="127"/>
      <c r="AS44" s="21"/>
      <c r="AT44" s="128"/>
      <c r="AU44" s="54"/>
      <c r="AV44" s="64"/>
      <c r="AW44" s="69"/>
      <c r="AX44" s="127"/>
      <c r="AZ44" s="21"/>
      <c r="BA44" s="128">
        <v>1</v>
      </c>
      <c r="BB44" s="54">
        <v>1</v>
      </c>
      <c r="BC44" s="64"/>
      <c r="BD44" s="69"/>
      <c r="BE44" s="127"/>
      <c r="BG44" s="21"/>
      <c r="BH44" s="128"/>
      <c r="BI44" s="54"/>
      <c r="BJ44" s="64"/>
      <c r="BK44" s="69"/>
      <c r="BL44" s="127"/>
      <c r="BN44" s="21">
        <v>1</v>
      </c>
      <c r="BO44" s="128">
        <v>1</v>
      </c>
      <c r="BP44" s="54">
        <v>1</v>
      </c>
      <c r="BQ44" s="64"/>
      <c r="BR44" s="69"/>
      <c r="BS44" s="127"/>
      <c r="BU44" s="21">
        <v>1</v>
      </c>
      <c r="BV44" s="128">
        <v>1</v>
      </c>
      <c r="BW44" s="54">
        <v>1</v>
      </c>
      <c r="BX44" s="64">
        <v>2</v>
      </c>
      <c r="BY44" s="69">
        <v>1</v>
      </c>
      <c r="BZ44" s="127">
        <v>1</v>
      </c>
      <c r="CB44" s="21"/>
      <c r="CC44" s="128"/>
      <c r="CD44" s="54"/>
      <c r="CE44" s="64"/>
      <c r="CF44" s="69"/>
      <c r="CG44" s="127"/>
      <c r="CI44" s="21"/>
      <c r="CJ44" s="128"/>
      <c r="CK44" s="54"/>
      <c r="CL44" s="64"/>
      <c r="CM44" s="69"/>
      <c r="CN44" s="127"/>
      <c r="CP44" s="21"/>
      <c r="CQ44" s="128"/>
      <c r="CR44" s="54"/>
      <c r="CS44" s="64"/>
      <c r="CT44" s="69"/>
      <c r="CV44" s="21"/>
      <c r="CW44" s="128"/>
      <c r="CX44" s="54"/>
      <c r="CY44" s="64"/>
      <c r="CZ44" s="69"/>
      <c r="DB44" s="21"/>
      <c r="DC44" s="128"/>
      <c r="DD44" s="54"/>
      <c r="DE44" s="64"/>
      <c r="DF44" s="69"/>
      <c r="DH44" s="21"/>
      <c r="DI44" s="128"/>
      <c r="DJ44" s="54"/>
      <c r="DK44" s="64"/>
      <c r="DL44" s="69"/>
      <c r="DN44" s="21"/>
      <c r="DO44" s="128"/>
      <c r="DP44" s="54"/>
      <c r="DQ44" s="64"/>
      <c r="DR44" s="69"/>
      <c r="DT44" s="21"/>
      <c r="DU44" s="128"/>
      <c r="DV44" s="54"/>
      <c r="DW44" s="64"/>
      <c r="DX44" s="69"/>
      <c r="DZ44" s="21"/>
      <c r="EA44" s="128"/>
      <c r="EB44" s="54"/>
      <c r="EC44" s="64"/>
      <c r="ED44" s="69"/>
      <c r="EF44" s="21"/>
      <c r="EG44" s="128"/>
      <c r="EH44" s="54"/>
      <c r="EI44" s="64"/>
      <c r="EJ44" s="69"/>
      <c r="EL44" s="21"/>
      <c r="EM44" s="128"/>
      <c r="EN44" s="54"/>
      <c r="EO44" s="64"/>
      <c r="EP44" s="69"/>
      <c r="ER44" s="21"/>
      <c r="ES44" s="128"/>
      <c r="ET44" s="54"/>
      <c r="EU44" s="64"/>
      <c r="EV44" s="69"/>
      <c r="EX44" s="21"/>
      <c r="EY44" s="128"/>
      <c r="EZ44" s="54"/>
      <c r="FA44" s="64"/>
      <c r="FB44" s="69"/>
      <c r="FD44" s="21"/>
      <c r="FE44" s="128"/>
      <c r="FF44" s="54"/>
      <c r="FG44" s="64"/>
      <c r="FH44" s="69"/>
      <c r="FJ44" s="21"/>
      <c r="FK44" s="128"/>
      <c r="FL44" s="54"/>
      <c r="FM44" s="64"/>
      <c r="FN44" s="69"/>
      <c r="FO44" s="128"/>
      <c r="FP44" s="54"/>
      <c r="FQ44" s="64"/>
      <c r="FR44" s="69"/>
      <c r="FT44" s="21"/>
      <c r="FU44" s="128"/>
      <c r="FV44" s="54"/>
      <c r="FW44" s="64"/>
      <c r="FX44" s="69"/>
      <c r="FZ44" s="21"/>
      <c r="GA44" s="128"/>
      <c r="GB44" s="54"/>
      <c r="GC44" s="64"/>
      <c r="GD44" s="69"/>
      <c r="GF44" s="21"/>
      <c r="GG44" s="128"/>
      <c r="GH44" s="54"/>
      <c r="GI44" s="64"/>
      <c r="GJ44" s="69"/>
      <c r="GL44" s="21"/>
      <c r="GM44" s="128"/>
      <c r="GN44" s="54"/>
      <c r="GO44" s="64"/>
      <c r="GP44" s="69"/>
      <c r="GR44" s="21"/>
      <c r="GS44" s="128"/>
      <c r="GT44" s="54"/>
      <c r="GU44" s="64"/>
      <c r="GV44" s="69"/>
      <c r="GX44" s="21"/>
      <c r="GY44" s="128"/>
      <c r="GZ44" s="54"/>
      <c r="HA44" s="64"/>
      <c r="HB44" s="69"/>
      <c r="HD44" s="21"/>
      <c r="HE44" s="128"/>
      <c r="HF44" s="54"/>
      <c r="HG44" s="64"/>
      <c r="HH44" s="69"/>
      <c r="HJ44" s="21"/>
      <c r="HK44" s="128"/>
      <c r="HL44" s="54"/>
      <c r="HM44" s="64"/>
      <c r="HN44" s="69"/>
      <c r="HP44" s="21"/>
      <c r="HQ44" s="128"/>
      <c r="HR44" s="54"/>
      <c r="HS44" s="64"/>
      <c r="HT44" s="69"/>
      <c r="HV44" s="21"/>
      <c r="HW44" s="128"/>
      <c r="HX44" s="54"/>
      <c r="HY44" s="64"/>
      <c r="HZ44" s="69"/>
      <c r="IB44" s="21"/>
      <c r="IC44" s="128"/>
      <c r="ID44" s="54"/>
      <c r="IE44" s="64"/>
      <c r="IF44" s="69"/>
      <c r="IH44" s="21"/>
      <c r="IJ44" s="21"/>
      <c r="IK44" s="128"/>
      <c r="IL44" s="54"/>
      <c r="IM44" s="64"/>
      <c r="IN44" s="69"/>
      <c r="IP44" s="21"/>
      <c r="IQ44" s="128"/>
      <c r="IR44" s="54"/>
      <c r="IS44" s="64"/>
      <c r="IT44" s="69"/>
      <c r="IV44" s="21"/>
      <c r="IW44" s="128"/>
      <c r="IX44" s="54"/>
      <c r="IY44" s="64"/>
      <c r="IZ44" s="69"/>
      <c r="JB44" s="21"/>
      <c r="JC44" s="128"/>
      <c r="JD44" s="54"/>
      <c r="JE44" s="64"/>
      <c r="JF44" s="69"/>
      <c r="JH44" s="21"/>
      <c r="JI44" s="128"/>
      <c r="JJ44" s="54"/>
      <c r="JK44" s="64"/>
      <c r="JL44" s="69"/>
      <c r="JN44" s="21"/>
      <c r="JO44" s="128"/>
      <c r="JP44" s="54"/>
      <c r="JQ44" s="64"/>
      <c r="JR44" s="69"/>
      <c r="JT44" s="21"/>
      <c r="JU44" s="128"/>
      <c r="JV44" s="54"/>
      <c r="JW44" s="64"/>
      <c r="JX44" s="69"/>
      <c r="JZ44" s="21"/>
      <c r="KA44" s="128"/>
      <c r="KB44" s="54"/>
      <c r="KC44" s="64"/>
      <c r="KD44" s="69"/>
      <c r="KF44" s="38"/>
      <c r="KG44" s="35"/>
      <c r="KI44" s="54"/>
      <c r="KJ44" s="64"/>
      <c r="KK44" s="69"/>
      <c r="KL44" s="126"/>
      <c r="KM44" s="127"/>
      <c r="KO44" s="38"/>
      <c r="KP44" s="83"/>
      <c r="KQ44" s="158"/>
      <c r="KR44" s="174"/>
      <c r="KS44" s="38"/>
      <c r="KT44" s="35"/>
      <c r="KV44" s="54"/>
      <c r="KW44" s="64"/>
      <c r="KX44" s="69"/>
      <c r="KY44" s="126"/>
      <c r="KZ44" s="127"/>
      <c r="LB44" s="38"/>
      <c r="LC44" s="83"/>
      <c r="LD44" s="158"/>
      <c r="LE44" s="174"/>
      <c r="LF44" s="38"/>
      <c r="LG44" s="35"/>
      <c r="LI44" s="54"/>
      <c r="LJ44" s="64"/>
      <c r="LK44" s="69"/>
      <c r="LL44" s="126"/>
      <c r="LM44" s="127"/>
      <c r="LO44" s="38"/>
      <c r="LP44" s="83"/>
      <c r="LQ44" s="158"/>
      <c r="LR44" s="174"/>
      <c r="LS44" s="38"/>
      <c r="LT44" s="35"/>
      <c r="LV44" s="54"/>
      <c r="LW44" s="64"/>
      <c r="LX44" s="69"/>
      <c r="LY44" s="126"/>
      <c r="LZ44" s="127"/>
      <c r="MB44" s="38"/>
      <c r="MC44" s="83"/>
      <c r="MD44" s="158"/>
      <c r="ME44" s="174"/>
      <c r="MF44" s="38"/>
      <c r="MG44" s="35"/>
      <c r="MI44" s="54"/>
      <c r="MJ44" s="64"/>
      <c r="MK44" s="69"/>
      <c r="ML44" s="126"/>
      <c r="MM44" s="127"/>
      <c r="MO44" s="38"/>
      <c r="MP44" s="83"/>
      <c r="MQ44" s="158"/>
      <c r="MR44" s="174"/>
      <c r="MT44" s="4">
        <f t="shared" si="10"/>
        <v>12</v>
      </c>
      <c r="NC44" s="21"/>
      <c r="ND44" s="128"/>
      <c r="NE44" s="54"/>
    </row>
    <row r="45" spans="1:369" x14ac:dyDescent="0.15">
      <c r="A45" s="2" t="s">
        <v>196</v>
      </c>
      <c r="C45" s="21"/>
      <c r="D45" s="128"/>
      <c r="E45" s="54"/>
      <c r="F45" s="64"/>
      <c r="G45" s="69"/>
      <c r="H45" s="127"/>
      <c r="J45" s="21"/>
      <c r="K45" s="128"/>
      <c r="L45" s="54"/>
      <c r="M45" s="64"/>
      <c r="N45" s="69"/>
      <c r="O45" s="127"/>
      <c r="Q45" s="21"/>
      <c r="R45" s="128"/>
      <c r="S45" s="54"/>
      <c r="T45" s="64"/>
      <c r="U45" s="69"/>
      <c r="V45" s="127"/>
      <c r="X45" s="21"/>
      <c r="Y45" s="128"/>
      <c r="Z45" s="54"/>
      <c r="AA45" s="64"/>
      <c r="AB45" s="69"/>
      <c r="AC45" s="127"/>
      <c r="AE45" s="21"/>
      <c r="AF45" s="128"/>
      <c r="AG45" s="54"/>
      <c r="AH45" s="64">
        <v>1</v>
      </c>
      <c r="AI45" s="69">
        <v>2</v>
      </c>
      <c r="AJ45" s="127">
        <v>2</v>
      </c>
      <c r="AL45" s="21">
        <v>2</v>
      </c>
      <c r="AM45" s="128">
        <v>2</v>
      </c>
      <c r="AN45" s="54">
        <v>2</v>
      </c>
      <c r="AO45" s="64">
        <v>3</v>
      </c>
      <c r="AP45" s="69">
        <v>3</v>
      </c>
      <c r="AQ45" s="127">
        <v>2</v>
      </c>
      <c r="AS45" s="21"/>
      <c r="AT45" s="128"/>
      <c r="AU45" s="54"/>
      <c r="AV45" s="64"/>
      <c r="AW45" s="69"/>
      <c r="AX45" s="127"/>
      <c r="AZ45" s="21"/>
      <c r="BA45" s="128"/>
      <c r="BB45" s="54"/>
      <c r="BC45" s="64"/>
      <c r="BD45" s="69">
        <v>1</v>
      </c>
      <c r="BE45" s="127">
        <v>1</v>
      </c>
      <c r="BG45" s="21"/>
      <c r="BH45" s="128"/>
      <c r="BI45" s="54"/>
      <c r="BJ45" s="64">
        <v>1</v>
      </c>
      <c r="BK45" s="69">
        <v>1</v>
      </c>
      <c r="BL45" s="127">
        <v>1</v>
      </c>
      <c r="BN45" s="21"/>
      <c r="BO45" s="128">
        <v>1</v>
      </c>
      <c r="BP45" s="54">
        <v>1</v>
      </c>
      <c r="BQ45" s="64">
        <v>1</v>
      </c>
      <c r="BR45" s="69">
        <v>1</v>
      </c>
      <c r="BS45" s="127">
        <v>1</v>
      </c>
      <c r="BU45" s="21"/>
      <c r="BV45" s="128"/>
      <c r="BW45" s="54"/>
      <c r="BX45" s="64"/>
      <c r="BY45" s="69">
        <v>2</v>
      </c>
      <c r="BZ45" s="127">
        <v>3</v>
      </c>
      <c r="CB45" s="21"/>
      <c r="CC45" s="128"/>
      <c r="CD45" s="54"/>
      <c r="CE45" s="64"/>
      <c r="CF45" s="69"/>
      <c r="CG45" s="127"/>
      <c r="CI45" s="21"/>
      <c r="CJ45" s="128"/>
      <c r="CK45" s="54"/>
      <c r="CL45" s="64"/>
      <c r="CM45" s="69"/>
      <c r="CN45" s="127"/>
      <c r="CP45" s="21"/>
      <c r="CQ45" s="128"/>
      <c r="CR45" s="54"/>
      <c r="CS45" s="64"/>
      <c r="CT45" s="69"/>
      <c r="CV45" s="21"/>
      <c r="CW45" s="128"/>
      <c r="CX45" s="54"/>
      <c r="CY45" s="64"/>
      <c r="CZ45" s="69"/>
      <c r="DB45" s="21"/>
      <c r="DC45" s="128"/>
      <c r="DD45" s="54"/>
      <c r="DE45" s="64"/>
      <c r="DF45" s="69"/>
      <c r="DH45" s="21"/>
      <c r="DI45" s="128"/>
      <c r="DJ45" s="54"/>
      <c r="DK45" s="64"/>
      <c r="DL45" s="69"/>
      <c r="DN45" s="21"/>
      <c r="DO45" s="128"/>
      <c r="DP45" s="54"/>
      <c r="DQ45" s="64"/>
      <c r="DR45" s="69"/>
      <c r="DT45" s="21"/>
      <c r="DU45" s="128"/>
      <c r="DV45" s="54"/>
      <c r="DW45" s="64"/>
      <c r="DX45" s="69"/>
      <c r="DZ45" s="21"/>
      <c r="EA45" s="128"/>
      <c r="EB45" s="54"/>
      <c r="EC45" s="64"/>
      <c r="ED45" s="69"/>
      <c r="EF45" s="21"/>
      <c r="EG45" s="128"/>
      <c r="EH45" s="54"/>
      <c r="EI45" s="64"/>
      <c r="EJ45" s="69"/>
      <c r="EL45" s="21"/>
      <c r="EM45" s="128"/>
      <c r="EN45" s="54"/>
      <c r="EO45" s="64"/>
      <c r="EP45" s="69"/>
      <c r="ER45" s="21"/>
      <c r="ES45" s="128"/>
      <c r="ET45" s="54"/>
      <c r="EU45" s="64"/>
      <c r="EV45" s="69"/>
      <c r="EX45" s="21"/>
      <c r="EY45" s="128"/>
      <c r="EZ45" s="54"/>
      <c r="FA45" s="64"/>
      <c r="FB45" s="69"/>
      <c r="FD45" s="21"/>
      <c r="FE45" s="128"/>
      <c r="FF45" s="54"/>
      <c r="FG45" s="64"/>
      <c r="FH45" s="69"/>
      <c r="FJ45" s="21"/>
      <c r="FK45" s="128"/>
      <c r="FL45" s="54"/>
      <c r="FM45" s="64"/>
      <c r="FN45" s="69"/>
      <c r="FO45" s="128"/>
      <c r="FP45" s="54"/>
      <c r="FQ45" s="64"/>
      <c r="FR45" s="69"/>
      <c r="FT45" s="21"/>
      <c r="FU45" s="128"/>
      <c r="FV45" s="54"/>
      <c r="FW45" s="64"/>
      <c r="FX45" s="69"/>
      <c r="FZ45" s="21"/>
      <c r="GA45" s="128"/>
      <c r="GB45" s="54"/>
      <c r="GC45" s="64"/>
      <c r="GD45" s="69"/>
      <c r="GF45" s="21"/>
      <c r="GG45" s="128"/>
      <c r="GH45" s="54"/>
      <c r="GI45" s="64"/>
      <c r="GJ45" s="69"/>
      <c r="GL45" s="21"/>
      <c r="GM45" s="128"/>
      <c r="GN45" s="54"/>
      <c r="GO45" s="64"/>
      <c r="GP45" s="69"/>
      <c r="GR45" s="21"/>
      <c r="GS45" s="128"/>
      <c r="GT45" s="54"/>
      <c r="GU45" s="64"/>
      <c r="GV45" s="69"/>
      <c r="GX45" s="21"/>
      <c r="GY45" s="128"/>
      <c r="GZ45" s="54"/>
      <c r="HA45" s="64"/>
      <c r="HB45" s="69"/>
      <c r="HD45" s="21"/>
      <c r="HE45" s="128"/>
      <c r="HF45" s="54"/>
      <c r="HG45" s="64"/>
      <c r="HH45" s="69"/>
      <c r="HJ45" s="21"/>
      <c r="HK45" s="128"/>
      <c r="HL45" s="54"/>
      <c r="HM45" s="64"/>
      <c r="HN45" s="69"/>
      <c r="HP45" s="21"/>
      <c r="HQ45" s="128"/>
      <c r="HR45" s="54"/>
      <c r="HS45" s="64"/>
      <c r="HT45" s="69"/>
      <c r="HV45" s="21"/>
      <c r="HW45" s="128"/>
      <c r="HX45" s="54"/>
      <c r="HY45" s="64"/>
      <c r="HZ45" s="69"/>
      <c r="IB45" s="21"/>
      <c r="IC45" s="128"/>
      <c r="ID45" s="54"/>
      <c r="IE45" s="64"/>
      <c r="IF45" s="69"/>
      <c r="IH45" s="21"/>
      <c r="IJ45" s="21"/>
      <c r="IK45" s="128"/>
      <c r="IL45" s="54"/>
      <c r="IM45" s="64"/>
      <c r="IN45" s="69"/>
      <c r="IP45" s="21"/>
      <c r="IQ45" s="128"/>
      <c r="IR45" s="54"/>
      <c r="IS45" s="64"/>
      <c r="IT45" s="69"/>
      <c r="IV45" s="21"/>
      <c r="IW45" s="128"/>
      <c r="IX45" s="54"/>
      <c r="IY45" s="64"/>
      <c r="IZ45" s="69"/>
      <c r="JB45" s="21"/>
      <c r="JC45" s="128"/>
      <c r="JD45" s="54"/>
      <c r="JE45" s="64"/>
      <c r="JF45" s="69"/>
      <c r="JH45" s="21"/>
      <c r="JI45" s="128"/>
      <c r="JJ45" s="54"/>
      <c r="JK45" s="64"/>
      <c r="JL45" s="69"/>
      <c r="JN45" s="21"/>
      <c r="JO45" s="128"/>
      <c r="JP45" s="54"/>
      <c r="JQ45" s="64"/>
      <c r="JR45" s="69"/>
      <c r="JT45" s="21"/>
      <c r="JU45" s="128"/>
      <c r="JV45" s="54"/>
      <c r="JW45" s="64"/>
      <c r="JX45" s="69"/>
      <c r="JZ45" s="21"/>
      <c r="KA45" s="128"/>
      <c r="KB45" s="54"/>
      <c r="KC45" s="64"/>
      <c r="KD45" s="69"/>
      <c r="KF45" s="38"/>
      <c r="KG45" s="35"/>
      <c r="KI45" s="54"/>
      <c r="KJ45" s="64"/>
      <c r="KK45" s="69"/>
      <c r="KL45" s="126"/>
      <c r="KM45" s="127"/>
      <c r="KO45" s="38"/>
      <c r="KP45" s="83"/>
      <c r="KQ45" s="158"/>
      <c r="KR45" s="174"/>
      <c r="KS45" s="38"/>
      <c r="KT45" s="35"/>
      <c r="KV45" s="54"/>
      <c r="KW45" s="64"/>
      <c r="KX45" s="69"/>
      <c r="KY45" s="126"/>
      <c r="KZ45" s="127"/>
      <c r="LA45" s="4">
        <v>1</v>
      </c>
      <c r="LB45" s="38"/>
      <c r="LC45" s="83"/>
      <c r="LD45" s="158"/>
      <c r="LE45" s="174">
        <v>1</v>
      </c>
      <c r="LF45" s="38"/>
      <c r="LG45" s="35"/>
      <c r="LI45" s="54"/>
      <c r="LJ45" s="64"/>
      <c r="LK45" s="69"/>
      <c r="LL45" s="126"/>
      <c r="LM45" s="127"/>
      <c r="LO45" s="38"/>
      <c r="LP45" s="83"/>
      <c r="LQ45" s="158"/>
      <c r="LR45" s="174"/>
      <c r="LS45" s="38"/>
      <c r="LT45" s="35"/>
      <c r="LV45" s="54"/>
      <c r="LW45" s="64"/>
      <c r="LX45" s="69"/>
      <c r="LY45" s="126"/>
      <c r="LZ45" s="127"/>
      <c r="MB45" s="38"/>
      <c r="MC45" s="83"/>
      <c r="MD45" s="158"/>
      <c r="ME45" s="174"/>
      <c r="MF45" s="38"/>
      <c r="MG45" s="35"/>
      <c r="MI45" s="54"/>
      <c r="MJ45" s="64"/>
      <c r="MK45" s="69"/>
      <c r="ML45" s="126"/>
      <c r="MM45" s="127"/>
      <c r="MO45" s="38"/>
      <c r="MP45" s="83"/>
      <c r="MQ45" s="158"/>
      <c r="MR45" s="174"/>
      <c r="MT45" s="4">
        <f t="shared" si="10"/>
        <v>23</v>
      </c>
      <c r="NC45" s="21"/>
      <c r="ND45" s="128"/>
      <c r="NE45" s="54"/>
    </row>
    <row r="46" spans="1:369" x14ac:dyDescent="0.15">
      <c r="A46" s="5" t="s">
        <v>198</v>
      </c>
      <c r="C46" s="21"/>
      <c r="D46" s="128"/>
      <c r="E46" s="54"/>
      <c r="F46" s="64"/>
      <c r="G46" s="69"/>
      <c r="H46" s="127"/>
      <c r="J46" s="21"/>
      <c r="K46" s="128"/>
      <c r="L46" s="54"/>
      <c r="M46" s="64"/>
      <c r="N46" s="69"/>
      <c r="O46" s="127"/>
      <c r="Q46" s="21"/>
      <c r="R46" s="128"/>
      <c r="S46" s="54"/>
      <c r="T46" s="64"/>
      <c r="U46" s="69"/>
      <c r="V46" s="127">
        <v>1</v>
      </c>
      <c r="X46" s="21"/>
      <c r="Y46" s="128"/>
      <c r="Z46" s="54"/>
      <c r="AA46" s="64"/>
      <c r="AB46" s="69"/>
      <c r="AC46" s="127"/>
      <c r="AE46" s="21"/>
      <c r="AF46" s="128"/>
      <c r="AG46" s="54"/>
      <c r="AH46" s="64"/>
      <c r="AI46" s="69"/>
      <c r="AJ46" s="127"/>
      <c r="AL46" s="21">
        <v>2</v>
      </c>
      <c r="AM46" s="128">
        <v>2</v>
      </c>
      <c r="AN46" s="54">
        <v>2</v>
      </c>
      <c r="AO46" s="64">
        <v>2</v>
      </c>
      <c r="AP46" s="69">
        <v>2</v>
      </c>
      <c r="AQ46" s="127">
        <v>1</v>
      </c>
      <c r="AS46" s="21"/>
      <c r="AT46" s="128"/>
      <c r="AU46" s="54"/>
      <c r="AV46" s="64">
        <v>1</v>
      </c>
      <c r="AW46" s="69">
        <v>1</v>
      </c>
      <c r="AX46" s="127">
        <v>1</v>
      </c>
      <c r="AZ46" s="21"/>
      <c r="BA46" s="128"/>
      <c r="BB46" s="54">
        <v>1</v>
      </c>
      <c r="BC46" s="64">
        <v>1</v>
      </c>
      <c r="BD46" s="69"/>
      <c r="BE46" s="127"/>
      <c r="BG46" s="21"/>
      <c r="BH46" s="128"/>
      <c r="BI46" s="54"/>
      <c r="BJ46" s="64">
        <v>1</v>
      </c>
      <c r="BK46" s="69"/>
      <c r="BL46" s="127">
        <v>1</v>
      </c>
      <c r="BN46" s="21"/>
      <c r="BO46" s="128"/>
      <c r="BP46" s="54"/>
      <c r="BQ46" s="64"/>
      <c r="BR46" s="69"/>
      <c r="BS46" s="127">
        <v>1</v>
      </c>
      <c r="BU46" s="21"/>
      <c r="BV46" s="128"/>
      <c r="BW46" s="54">
        <v>1</v>
      </c>
      <c r="BX46" s="64">
        <v>1</v>
      </c>
      <c r="BY46" s="69">
        <v>1</v>
      </c>
      <c r="BZ46" s="127"/>
      <c r="CB46" s="21"/>
      <c r="CC46" s="128"/>
      <c r="CD46" s="54"/>
      <c r="CE46" s="64"/>
      <c r="CF46" s="69"/>
      <c r="CG46" s="127"/>
      <c r="CI46" s="21"/>
      <c r="CJ46" s="128"/>
      <c r="CK46" s="54"/>
      <c r="CL46" s="64"/>
      <c r="CM46" s="69"/>
      <c r="CN46" s="127"/>
      <c r="CP46" s="21"/>
      <c r="CQ46" s="128"/>
      <c r="CR46" s="54"/>
      <c r="CS46" s="64"/>
      <c r="CT46" s="69"/>
      <c r="CV46" s="21"/>
      <c r="CW46" s="128"/>
      <c r="CX46" s="54"/>
      <c r="CY46" s="64"/>
      <c r="CZ46" s="69"/>
      <c r="DB46" s="21"/>
      <c r="DC46" s="128"/>
      <c r="DD46" s="54"/>
      <c r="DE46" s="64"/>
      <c r="DF46" s="69"/>
      <c r="DH46" s="21"/>
      <c r="DI46" s="128"/>
      <c r="DJ46" s="54"/>
      <c r="DK46" s="64"/>
      <c r="DL46" s="69"/>
      <c r="DN46" s="21"/>
      <c r="DO46" s="128"/>
      <c r="DP46" s="54"/>
      <c r="DQ46" s="64"/>
      <c r="DR46" s="69"/>
      <c r="DT46" s="21"/>
      <c r="DU46" s="128"/>
      <c r="DV46" s="54"/>
      <c r="DW46" s="64"/>
      <c r="DX46" s="69"/>
      <c r="DZ46" s="21"/>
      <c r="EA46" s="128"/>
      <c r="EB46" s="54"/>
      <c r="EC46" s="64"/>
      <c r="ED46" s="69"/>
      <c r="EF46" s="21"/>
      <c r="EG46" s="128"/>
      <c r="EH46" s="54"/>
      <c r="EI46" s="64"/>
      <c r="EJ46" s="69"/>
      <c r="EL46" s="21"/>
      <c r="EM46" s="128"/>
      <c r="EN46" s="54"/>
      <c r="EO46" s="64"/>
      <c r="EP46" s="69"/>
      <c r="ER46" s="21"/>
      <c r="ES46" s="128"/>
      <c r="ET46" s="54"/>
      <c r="EU46" s="64"/>
      <c r="EV46" s="69"/>
      <c r="EX46" s="21"/>
      <c r="EY46" s="128"/>
      <c r="EZ46" s="54"/>
      <c r="FA46" s="64"/>
      <c r="FB46" s="69"/>
      <c r="FD46" s="21"/>
      <c r="FE46" s="128"/>
      <c r="FF46" s="54"/>
      <c r="FG46" s="64"/>
      <c r="FH46" s="69"/>
      <c r="FJ46" s="21"/>
      <c r="FK46" s="128"/>
      <c r="FL46" s="54"/>
      <c r="FM46" s="64"/>
      <c r="FN46" s="69"/>
      <c r="FO46" s="128"/>
      <c r="FP46" s="54"/>
      <c r="FQ46" s="64"/>
      <c r="FR46" s="69"/>
      <c r="FT46" s="21"/>
      <c r="FU46" s="128"/>
      <c r="FV46" s="54"/>
      <c r="FW46" s="64"/>
      <c r="FX46" s="69"/>
      <c r="FZ46" s="21"/>
      <c r="GA46" s="128"/>
      <c r="GB46" s="54"/>
      <c r="GC46" s="64"/>
      <c r="GD46" s="69"/>
      <c r="GF46" s="21"/>
      <c r="GG46" s="128"/>
      <c r="GH46" s="54"/>
      <c r="GI46" s="64"/>
      <c r="GJ46" s="69"/>
      <c r="GL46" s="21"/>
      <c r="GM46" s="128"/>
      <c r="GN46" s="54"/>
      <c r="GO46" s="64"/>
      <c r="GP46" s="69"/>
      <c r="GR46" s="21"/>
      <c r="GS46" s="128"/>
      <c r="GT46" s="54"/>
      <c r="GU46" s="64"/>
      <c r="GV46" s="69"/>
      <c r="GX46" s="21"/>
      <c r="GY46" s="128"/>
      <c r="GZ46" s="54"/>
      <c r="HA46" s="64"/>
      <c r="HB46" s="69"/>
      <c r="HD46" s="21"/>
      <c r="HE46" s="128"/>
      <c r="HF46" s="54"/>
      <c r="HG46" s="64"/>
      <c r="HH46" s="69"/>
      <c r="HJ46" s="21"/>
      <c r="HK46" s="128"/>
      <c r="HL46" s="54"/>
      <c r="HM46" s="64"/>
      <c r="HN46" s="69"/>
      <c r="HP46" s="21"/>
      <c r="HQ46" s="128"/>
      <c r="HR46" s="54"/>
      <c r="HS46" s="64"/>
      <c r="HT46" s="69"/>
      <c r="HV46" s="21"/>
      <c r="HW46" s="128"/>
      <c r="HX46" s="54"/>
      <c r="HY46" s="64"/>
      <c r="HZ46" s="69"/>
      <c r="IB46" s="21"/>
      <c r="IC46" s="128"/>
      <c r="ID46" s="54"/>
      <c r="IE46" s="64"/>
      <c r="IF46" s="69"/>
      <c r="IH46" s="21"/>
      <c r="IJ46" s="21"/>
      <c r="IK46" s="128"/>
      <c r="IL46" s="54"/>
      <c r="IM46" s="64"/>
      <c r="IN46" s="69"/>
      <c r="IP46" s="21"/>
      <c r="IQ46" s="128"/>
      <c r="IR46" s="54"/>
      <c r="IS46" s="64"/>
      <c r="IT46" s="69"/>
      <c r="IV46" s="21"/>
      <c r="IW46" s="128"/>
      <c r="IX46" s="54"/>
      <c r="IY46" s="64"/>
      <c r="IZ46" s="69"/>
      <c r="JB46" s="21"/>
      <c r="JC46" s="128"/>
      <c r="JD46" s="54"/>
      <c r="JE46" s="64"/>
      <c r="JF46" s="69"/>
      <c r="JH46" s="21"/>
      <c r="JI46" s="128"/>
      <c r="JJ46" s="54"/>
      <c r="JK46" s="64"/>
      <c r="JL46" s="69"/>
      <c r="JN46" s="21"/>
      <c r="JO46" s="128"/>
      <c r="JP46" s="54"/>
      <c r="JQ46" s="64"/>
      <c r="JR46" s="69"/>
      <c r="JT46" s="21"/>
      <c r="JU46" s="128"/>
      <c r="JV46" s="54"/>
      <c r="JW46" s="64"/>
      <c r="JX46" s="69"/>
      <c r="JZ46" s="21"/>
      <c r="KA46" s="128"/>
      <c r="KB46" s="54"/>
      <c r="KC46" s="64"/>
      <c r="KD46" s="69"/>
      <c r="KF46" s="38"/>
      <c r="KG46" s="35"/>
      <c r="KI46" s="54"/>
      <c r="KJ46" s="64"/>
      <c r="KK46" s="69"/>
      <c r="KL46" s="126"/>
      <c r="KM46" s="127"/>
      <c r="KO46" s="38"/>
      <c r="KP46" s="83"/>
      <c r="KQ46" s="158"/>
      <c r="KR46" s="174"/>
      <c r="KS46" s="38"/>
      <c r="KT46" s="35"/>
      <c r="KV46" s="54"/>
      <c r="KW46" s="64"/>
      <c r="KX46" s="69"/>
      <c r="KY46" s="126"/>
      <c r="KZ46" s="127"/>
      <c r="LB46" s="38"/>
      <c r="LC46" s="83"/>
      <c r="LD46" s="158"/>
      <c r="LE46" s="174"/>
      <c r="LF46" s="38"/>
      <c r="LG46" s="35"/>
      <c r="LI46" s="54"/>
      <c r="LJ46" s="64"/>
      <c r="LK46" s="69"/>
      <c r="LL46" s="126"/>
      <c r="LM46" s="127"/>
      <c r="LO46" s="38"/>
      <c r="LP46" s="83"/>
      <c r="LQ46" s="158"/>
      <c r="LR46" s="174"/>
      <c r="LS46" s="38"/>
      <c r="LT46" s="35"/>
      <c r="LV46" s="54"/>
      <c r="LW46" s="64"/>
      <c r="LX46" s="69"/>
      <c r="LY46" s="126"/>
      <c r="LZ46" s="127"/>
      <c r="MB46" s="38"/>
      <c r="MC46" s="83"/>
      <c r="MD46" s="158"/>
      <c r="ME46" s="174"/>
      <c r="MF46" s="38"/>
      <c r="MG46" s="35"/>
      <c r="MI46" s="54"/>
      <c r="MJ46" s="64"/>
      <c r="MK46" s="69"/>
      <c r="ML46" s="126"/>
      <c r="MM46" s="127"/>
      <c r="MO46" s="38"/>
      <c r="MP46" s="83"/>
      <c r="MQ46" s="158"/>
      <c r="MR46" s="174"/>
      <c r="MT46" s="4">
        <f t="shared" si="10"/>
        <v>18</v>
      </c>
      <c r="NC46" s="21"/>
      <c r="ND46" s="128"/>
      <c r="NE46" s="54"/>
    </row>
    <row r="47" spans="1:369" x14ac:dyDescent="0.15">
      <c r="A47" s="2" t="s">
        <v>35</v>
      </c>
      <c r="C47" s="21"/>
      <c r="D47" s="128">
        <v>1</v>
      </c>
      <c r="E47" s="54"/>
      <c r="F47" s="64"/>
      <c r="G47" s="69"/>
      <c r="H47" s="127"/>
      <c r="J47" s="21"/>
      <c r="K47" s="128"/>
      <c r="L47" s="54"/>
      <c r="M47" s="64"/>
      <c r="N47" s="69"/>
      <c r="O47" s="127"/>
      <c r="Q47" s="21"/>
      <c r="R47" s="128"/>
      <c r="S47" s="54"/>
      <c r="T47" s="64"/>
      <c r="U47" s="69"/>
      <c r="V47" s="127"/>
      <c r="X47" s="21"/>
      <c r="Y47" s="128"/>
      <c r="Z47" s="54">
        <v>1</v>
      </c>
      <c r="AA47" s="64">
        <v>1</v>
      </c>
      <c r="AB47" s="69">
        <v>1</v>
      </c>
      <c r="AC47" s="127"/>
      <c r="AD47">
        <v>2</v>
      </c>
      <c r="AE47" s="21"/>
      <c r="AF47" s="128"/>
      <c r="AG47" s="54"/>
      <c r="AH47" s="64"/>
      <c r="AI47" s="69">
        <v>1</v>
      </c>
      <c r="AJ47" s="127"/>
      <c r="AK47">
        <v>2</v>
      </c>
      <c r="AL47" s="21"/>
      <c r="AM47" s="128">
        <v>1</v>
      </c>
      <c r="AN47" s="54">
        <v>1</v>
      </c>
      <c r="AO47" s="64"/>
      <c r="AP47" s="69">
        <v>1</v>
      </c>
      <c r="AQ47" s="127"/>
      <c r="AS47" s="21"/>
      <c r="AT47" s="128"/>
      <c r="AU47" s="54"/>
      <c r="AV47" s="64"/>
      <c r="AW47" s="69">
        <v>1</v>
      </c>
      <c r="AX47" s="127"/>
      <c r="AZ47" s="21">
        <v>1</v>
      </c>
      <c r="BA47" s="128">
        <v>1</v>
      </c>
      <c r="BB47" s="54">
        <v>1</v>
      </c>
      <c r="BC47" s="64">
        <v>1</v>
      </c>
      <c r="BD47" s="69">
        <v>1</v>
      </c>
      <c r="BE47" s="127"/>
      <c r="BF47">
        <v>1</v>
      </c>
      <c r="BG47" s="21">
        <v>1</v>
      </c>
      <c r="BH47" s="128">
        <v>1</v>
      </c>
      <c r="BI47" s="54">
        <v>1</v>
      </c>
      <c r="BJ47" s="64">
        <v>1</v>
      </c>
      <c r="BK47" s="69">
        <v>1</v>
      </c>
      <c r="BL47" s="127">
        <v>2</v>
      </c>
      <c r="BN47" s="21"/>
      <c r="BO47" s="128"/>
      <c r="BP47" s="54"/>
      <c r="BQ47" s="64">
        <v>1</v>
      </c>
      <c r="BR47" s="69"/>
      <c r="BS47" s="127">
        <v>1</v>
      </c>
      <c r="BU47" s="21"/>
      <c r="BV47" s="128">
        <v>1</v>
      </c>
      <c r="BW47" s="54">
        <v>2</v>
      </c>
      <c r="BX47" s="64">
        <v>1</v>
      </c>
      <c r="BY47" s="69">
        <v>1</v>
      </c>
      <c r="BZ47" s="127">
        <v>1</v>
      </c>
      <c r="CA47">
        <v>2</v>
      </c>
      <c r="CB47" s="21">
        <v>1</v>
      </c>
      <c r="CC47" s="128">
        <v>1</v>
      </c>
      <c r="CD47" s="54"/>
      <c r="CE47" s="64">
        <v>1</v>
      </c>
      <c r="CF47" s="69">
        <v>1</v>
      </c>
      <c r="CG47" s="127">
        <v>1</v>
      </c>
      <c r="CH47">
        <v>1</v>
      </c>
      <c r="CI47" s="21"/>
      <c r="CJ47" s="128">
        <v>1</v>
      </c>
      <c r="CK47" s="54">
        <v>1</v>
      </c>
      <c r="CL47" s="64">
        <v>1</v>
      </c>
      <c r="CM47" s="69">
        <v>1</v>
      </c>
      <c r="CN47" s="127">
        <v>1</v>
      </c>
      <c r="CP47" s="21"/>
      <c r="CQ47" s="128"/>
      <c r="CR47" s="54">
        <v>1</v>
      </c>
      <c r="CS47" s="64">
        <v>1</v>
      </c>
      <c r="CT47" s="69"/>
      <c r="CU47">
        <v>1</v>
      </c>
      <c r="CV47" s="21">
        <v>1</v>
      </c>
      <c r="CW47" s="128"/>
      <c r="CX47" s="54"/>
      <c r="CY47" s="64"/>
      <c r="CZ47" s="69"/>
      <c r="DA47">
        <v>1</v>
      </c>
      <c r="DB47" s="21"/>
      <c r="DC47" s="128"/>
      <c r="DD47" s="54"/>
      <c r="DE47" s="64"/>
      <c r="DF47" s="69"/>
      <c r="DG47">
        <v>1</v>
      </c>
      <c r="DH47" s="21">
        <v>1</v>
      </c>
      <c r="DI47" s="128">
        <v>1</v>
      </c>
      <c r="DJ47" s="54">
        <v>1</v>
      </c>
      <c r="DK47" s="64">
        <v>2</v>
      </c>
      <c r="DL47" s="69">
        <v>4</v>
      </c>
      <c r="DN47" s="21"/>
      <c r="DO47" s="128">
        <v>1</v>
      </c>
      <c r="DP47" s="54">
        <v>1</v>
      </c>
      <c r="DQ47" s="64">
        <v>2</v>
      </c>
      <c r="DR47" s="69">
        <v>1</v>
      </c>
      <c r="DS47">
        <v>3</v>
      </c>
      <c r="DT47" s="21"/>
      <c r="DU47" s="128"/>
      <c r="DV47" s="54"/>
      <c r="DW47" s="64"/>
      <c r="DX47" s="69">
        <v>1</v>
      </c>
      <c r="DY47">
        <v>1</v>
      </c>
      <c r="DZ47" s="21"/>
      <c r="EA47" s="128"/>
      <c r="EB47" s="54">
        <v>1</v>
      </c>
      <c r="EC47" s="64">
        <v>1</v>
      </c>
      <c r="ED47" s="69">
        <v>1</v>
      </c>
      <c r="EF47" s="21"/>
      <c r="EG47" s="128"/>
      <c r="EH47" s="54">
        <v>1</v>
      </c>
      <c r="EI47" s="64"/>
      <c r="EJ47" s="69">
        <v>1</v>
      </c>
      <c r="EL47" s="21">
        <v>1</v>
      </c>
      <c r="EM47" s="128">
        <v>1</v>
      </c>
      <c r="EN47" s="54">
        <v>1</v>
      </c>
      <c r="EO47" s="64">
        <v>1</v>
      </c>
      <c r="EP47" s="69"/>
      <c r="ER47" s="21">
        <v>1</v>
      </c>
      <c r="ES47" s="128">
        <v>1</v>
      </c>
      <c r="ET47" s="54">
        <v>1</v>
      </c>
      <c r="EU47" s="64">
        <v>1</v>
      </c>
      <c r="EV47" s="69"/>
      <c r="EW47">
        <v>1</v>
      </c>
      <c r="EX47" s="21">
        <v>1</v>
      </c>
      <c r="EY47" s="128">
        <v>1</v>
      </c>
      <c r="EZ47" s="54">
        <v>1</v>
      </c>
      <c r="FA47" s="64">
        <v>1</v>
      </c>
      <c r="FB47" s="69">
        <v>1</v>
      </c>
      <c r="FC47">
        <v>2</v>
      </c>
      <c r="FD47" s="21">
        <v>1</v>
      </c>
      <c r="FE47" s="128">
        <v>1</v>
      </c>
      <c r="FF47" s="54">
        <v>1</v>
      </c>
      <c r="FG47" s="64">
        <v>1</v>
      </c>
      <c r="FH47" s="69">
        <v>1</v>
      </c>
      <c r="FI47">
        <v>3</v>
      </c>
      <c r="FJ47" s="21">
        <v>1</v>
      </c>
      <c r="FK47" s="128"/>
      <c r="FL47" s="54"/>
      <c r="FM47" s="64"/>
      <c r="FN47" s="69"/>
      <c r="FO47" s="128"/>
      <c r="FP47" s="54"/>
      <c r="FQ47" s="64"/>
      <c r="FR47" s="69"/>
      <c r="FS47">
        <v>1</v>
      </c>
      <c r="FT47" s="21"/>
      <c r="FU47" s="128"/>
      <c r="FV47" s="54"/>
      <c r="FW47" s="64"/>
      <c r="FX47" s="69"/>
      <c r="FY47">
        <v>2</v>
      </c>
      <c r="FZ47" s="21">
        <v>2</v>
      </c>
      <c r="GA47" s="128">
        <v>1</v>
      </c>
      <c r="GB47" s="54">
        <v>2</v>
      </c>
      <c r="GC47" s="64">
        <v>2</v>
      </c>
      <c r="GD47" s="69">
        <v>2</v>
      </c>
      <c r="GE47">
        <v>3</v>
      </c>
      <c r="GF47" s="21">
        <v>1</v>
      </c>
      <c r="GG47" s="128">
        <v>1</v>
      </c>
      <c r="GH47" s="54">
        <v>2</v>
      </c>
      <c r="GI47" s="64">
        <v>2</v>
      </c>
      <c r="GJ47" s="69">
        <v>1</v>
      </c>
      <c r="GK47">
        <v>1</v>
      </c>
      <c r="GL47" s="21">
        <v>1</v>
      </c>
      <c r="GM47" s="128">
        <v>1</v>
      </c>
      <c r="GN47" s="54">
        <v>1</v>
      </c>
      <c r="GO47" s="64">
        <v>1</v>
      </c>
      <c r="GP47" s="69">
        <v>1</v>
      </c>
      <c r="GQ47">
        <v>2</v>
      </c>
      <c r="GR47" s="21">
        <v>1</v>
      </c>
      <c r="GS47" s="128"/>
      <c r="GT47" s="54">
        <v>2</v>
      </c>
      <c r="GU47" s="64">
        <v>2</v>
      </c>
      <c r="GV47" s="69">
        <v>2</v>
      </c>
      <c r="GW47">
        <v>1</v>
      </c>
      <c r="GX47" s="21">
        <v>1</v>
      </c>
      <c r="GY47" s="128">
        <v>1</v>
      </c>
      <c r="GZ47" s="54">
        <v>1</v>
      </c>
      <c r="HA47" s="64">
        <v>1</v>
      </c>
      <c r="HB47" s="69">
        <v>1</v>
      </c>
      <c r="HC47">
        <v>3</v>
      </c>
      <c r="HD47" s="21">
        <v>1</v>
      </c>
      <c r="HE47" s="128">
        <v>1</v>
      </c>
      <c r="HF47" s="54">
        <v>2</v>
      </c>
      <c r="HG47" s="64">
        <v>1</v>
      </c>
      <c r="HH47" s="69">
        <v>1</v>
      </c>
      <c r="HI47">
        <v>1</v>
      </c>
      <c r="HJ47" s="21">
        <v>1</v>
      </c>
      <c r="HK47" s="128">
        <v>2</v>
      </c>
      <c r="HL47" s="54">
        <v>1</v>
      </c>
      <c r="HM47" s="64">
        <v>2</v>
      </c>
      <c r="HN47" s="69">
        <v>1</v>
      </c>
      <c r="HO47">
        <v>1</v>
      </c>
      <c r="HP47" s="21">
        <v>1</v>
      </c>
      <c r="HQ47" s="128">
        <v>1</v>
      </c>
      <c r="HR47" s="54">
        <v>1</v>
      </c>
      <c r="HS47" s="64">
        <v>1</v>
      </c>
      <c r="HT47" s="69">
        <v>1</v>
      </c>
      <c r="HU47">
        <v>2</v>
      </c>
      <c r="HV47" s="21">
        <v>1</v>
      </c>
      <c r="HW47" s="128">
        <v>1</v>
      </c>
      <c r="HX47" s="54">
        <v>1</v>
      </c>
      <c r="HY47" s="64">
        <v>2</v>
      </c>
      <c r="HZ47" s="69">
        <v>1</v>
      </c>
      <c r="IA47">
        <v>3</v>
      </c>
      <c r="IB47" s="21">
        <v>1</v>
      </c>
      <c r="IC47" s="128"/>
      <c r="ID47" s="54">
        <v>1</v>
      </c>
      <c r="IE47" s="64">
        <v>1</v>
      </c>
      <c r="IF47" s="69">
        <v>1</v>
      </c>
      <c r="IH47" s="21"/>
      <c r="II47">
        <v>1</v>
      </c>
      <c r="IJ47" s="21">
        <v>1</v>
      </c>
      <c r="IK47" s="128">
        <v>1</v>
      </c>
      <c r="IL47" s="54">
        <v>1</v>
      </c>
      <c r="IM47" s="64">
        <v>1</v>
      </c>
      <c r="IN47" s="69">
        <v>1</v>
      </c>
      <c r="IP47" s="21">
        <v>1</v>
      </c>
      <c r="IQ47" s="128"/>
      <c r="IR47" s="54"/>
      <c r="IS47" s="64"/>
      <c r="IT47" s="69">
        <v>1</v>
      </c>
      <c r="IV47" s="21"/>
      <c r="IW47" s="128"/>
      <c r="IX47" s="54"/>
      <c r="IY47" s="64">
        <v>1</v>
      </c>
      <c r="IZ47" s="69"/>
      <c r="JA47">
        <v>3</v>
      </c>
      <c r="JB47" s="21"/>
      <c r="JC47" s="128"/>
      <c r="JD47" s="54"/>
      <c r="JE47" s="64">
        <v>1</v>
      </c>
      <c r="JF47" s="69">
        <v>1</v>
      </c>
      <c r="JG47">
        <v>1</v>
      </c>
      <c r="JH47" s="21"/>
      <c r="JI47" s="128"/>
      <c r="JJ47" s="54"/>
      <c r="JK47" s="64">
        <v>1</v>
      </c>
      <c r="JL47" s="69"/>
      <c r="JN47" s="21"/>
      <c r="JO47" s="128"/>
      <c r="JP47" s="54"/>
      <c r="JQ47" s="64"/>
      <c r="JR47" s="69"/>
      <c r="JS47">
        <v>1</v>
      </c>
      <c r="JT47" s="21"/>
      <c r="JU47" s="128"/>
      <c r="JV47" s="54">
        <v>1</v>
      </c>
      <c r="JW47" s="64">
        <v>1</v>
      </c>
      <c r="JX47" s="69">
        <v>1</v>
      </c>
      <c r="JZ47" s="21"/>
      <c r="KA47" s="128"/>
      <c r="KB47" s="54"/>
      <c r="KC47" s="64"/>
      <c r="KD47" s="69"/>
      <c r="KF47" s="38"/>
      <c r="KG47" s="35"/>
      <c r="KI47" s="54"/>
      <c r="KJ47" s="64"/>
      <c r="KK47" s="69"/>
      <c r="KL47" s="126"/>
      <c r="KM47" s="127"/>
      <c r="KO47" s="38"/>
      <c r="KP47" s="83"/>
      <c r="KQ47" s="158"/>
      <c r="KR47" s="174"/>
      <c r="KS47" s="38"/>
      <c r="KT47" s="35"/>
      <c r="KV47" s="54"/>
      <c r="KW47" s="64"/>
      <c r="KX47" s="69"/>
      <c r="KY47" s="126"/>
      <c r="KZ47" s="127"/>
      <c r="LB47" s="38"/>
      <c r="LC47" s="83"/>
      <c r="LD47" s="158"/>
      <c r="LE47" s="174"/>
      <c r="LF47" s="38"/>
      <c r="LG47" s="35"/>
      <c r="LI47" s="54"/>
      <c r="LJ47" s="64"/>
      <c r="LK47" s="69"/>
      <c r="LL47" s="126"/>
      <c r="LM47" s="127"/>
      <c r="LO47" s="38"/>
      <c r="LP47" s="83"/>
      <c r="LQ47" s="158"/>
      <c r="LR47" s="174">
        <v>1</v>
      </c>
      <c r="LS47" s="38"/>
      <c r="LT47" s="35"/>
      <c r="LV47" s="54"/>
      <c r="LW47" s="64"/>
      <c r="LX47" s="69"/>
      <c r="LY47" s="126"/>
      <c r="LZ47" s="127"/>
      <c r="MB47" s="38"/>
      <c r="MC47" s="83"/>
      <c r="MD47" s="158"/>
      <c r="ME47" s="174"/>
      <c r="MF47" s="38"/>
      <c r="MG47" s="35"/>
      <c r="MI47" s="54"/>
      <c r="MJ47" s="64"/>
      <c r="MK47" s="69"/>
      <c r="ML47" s="126"/>
      <c r="MM47" s="127"/>
      <c r="MO47" s="38"/>
      <c r="MP47" s="83"/>
      <c r="MQ47" s="158"/>
      <c r="MR47" s="174"/>
      <c r="MT47" s="4">
        <f t="shared" si="10"/>
        <v>165</v>
      </c>
      <c r="NB47">
        <v>1</v>
      </c>
      <c r="NC47" s="21"/>
      <c r="ND47" s="128"/>
      <c r="NE47" s="54"/>
    </row>
    <row r="48" spans="1:369" x14ac:dyDescent="0.15">
      <c r="A48" s="2" t="s">
        <v>110</v>
      </c>
      <c r="C48" s="21"/>
      <c r="D48" s="128"/>
      <c r="E48" s="54"/>
      <c r="F48" s="64"/>
      <c r="G48" s="69"/>
      <c r="H48" s="127"/>
      <c r="J48" s="21"/>
      <c r="K48" s="128"/>
      <c r="L48" s="54"/>
      <c r="M48" s="64"/>
      <c r="N48" s="69"/>
      <c r="O48" s="127"/>
      <c r="Q48" s="21"/>
      <c r="R48" s="128"/>
      <c r="S48" s="54"/>
      <c r="T48" s="64"/>
      <c r="U48" s="69"/>
      <c r="V48" s="127"/>
      <c r="X48" s="21"/>
      <c r="Y48" s="128"/>
      <c r="Z48" s="54"/>
      <c r="AA48" s="64"/>
      <c r="AB48" s="69"/>
      <c r="AC48" s="127"/>
      <c r="AE48" s="21"/>
      <c r="AF48" s="128"/>
      <c r="AG48" s="54"/>
      <c r="AH48" s="64"/>
      <c r="AI48" s="69"/>
      <c r="AJ48" s="127"/>
      <c r="AL48" s="21"/>
      <c r="AM48" s="128"/>
      <c r="AN48" s="54"/>
      <c r="AO48" s="64"/>
      <c r="AP48" s="69"/>
      <c r="AQ48" s="127"/>
      <c r="AS48" s="21"/>
      <c r="AT48" s="128"/>
      <c r="AU48" s="54"/>
      <c r="AV48" s="64"/>
      <c r="AW48" s="69"/>
      <c r="AX48" s="127"/>
      <c r="AZ48" s="21"/>
      <c r="BA48" s="128"/>
      <c r="BB48" s="54"/>
      <c r="BC48" s="64"/>
      <c r="BD48" s="69"/>
      <c r="BE48" s="127"/>
      <c r="BG48" s="21"/>
      <c r="BH48" s="128"/>
      <c r="BI48" s="54"/>
      <c r="BJ48" s="64"/>
      <c r="BK48" s="69"/>
      <c r="BL48" s="127"/>
      <c r="BN48" s="21"/>
      <c r="BO48" s="128"/>
      <c r="BP48" s="54"/>
      <c r="BQ48" s="64"/>
      <c r="BR48" s="69"/>
      <c r="BS48" s="127"/>
      <c r="BU48" s="21"/>
      <c r="BV48" s="128"/>
      <c r="BW48" s="54"/>
      <c r="BX48" s="64"/>
      <c r="BY48" s="69"/>
      <c r="BZ48" s="127"/>
      <c r="CB48" s="21"/>
      <c r="CC48" s="128"/>
      <c r="CD48" s="54"/>
      <c r="CE48" s="64"/>
      <c r="CF48" s="69"/>
      <c r="CG48" s="127"/>
      <c r="CI48" s="21"/>
      <c r="CJ48" s="128"/>
      <c r="CK48" s="54"/>
      <c r="CL48" s="64"/>
      <c r="CM48" s="69"/>
      <c r="CN48" s="127"/>
      <c r="CP48" s="21"/>
      <c r="CQ48" s="128"/>
      <c r="CR48" s="54"/>
      <c r="CS48" s="64"/>
      <c r="CT48" s="69"/>
      <c r="CV48" s="21"/>
      <c r="CW48" s="128"/>
      <c r="CX48" s="54"/>
      <c r="CY48" s="64"/>
      <c r="CZ48" s="69"/>
      <c r="DB48" s="21"/>
      <c r="DC48" s="128"/>
      <c r="DD48" s="54"/>
      <c r="DE48" s="64"/>
      <c r="DF48" s="69"/>
      <c r="DH48" s="21"/>
      <c r="DI48" s="128"/>
      <c r="DJ48" s="54"/>
      <c r="DK48" s="64"/>
      <c r="DL48" s="69"/>
      <c r="DN48" s="21"/>
      <c r="DO48" s="128"/>
      <c r="DP48" s="54"/>
      <c r="DQ48" s="64"/>
      <c r="DR48" s="69"/>
      <c r="DT48" s="21"/>
      <c r="DU48" s="128"/>
      <c r="DV48" s="54"/>
      <c r="DW48" s="64"/>
      <c r="DX48" s="69"/>
      <c r="DZ48" s="21"/>
      <c r="EA48" s="128"/>
      <c r="EB48" s="54"/>
      <c r="EC48" s="64"/>
      <c r="ED48" s="69"/>
      <c r="EF48" s="21"/>
      <c r="EG48" s="128"/>
      <c r="EH48" s="54"/>
      <c r="EI48" s="64"/>
      <c r="EJ48" s="69"/>
      <c r="EL48" s="21"/>
      <c r="EM48" s="128"/>
      <c r="EN48" s="54"/>
      <c r="EO48" s="64"/>
      <c r="EP48" s="69"/>
      <c r="ER48" s="21"/>
      <c r="ES48" s="128"/>
      <c r="ET48" s="54"/>
      <c r="EU48" s="64"/>
      <c r="EV48" s="69"/>
      <c r="EX48" s="21"/>
      <c r="EY48" s="128"/>
      <c r="EZ48" s="54"/>
      <c r="FA48" s="64"/>
      <c r="FB48" s="69"/>
      <c r="FD48" s="21"/>
      <c r="FE48" s="128"/>
      <c r="FF48" s="54"/>
      <c r="FG48" s="64"/>
      <c r="FH48" s="69"/>
      <c r="FJ48" s="21"/>
      <c r="FK48" s="128"/>
      <c r="FL48" s="54"/>
      <c r="FM48" s="64"/>
      <c r="FN48" s="69"/>
      <c r="FO48" s="128"/>
      <c r="FP48" s="54"/>
      <c r="FQ48" s="64"/>
      <c r="FR48" s="69"/>
      <c r="FT48" s="21"/>
      <c r="FU48" s="128"/>
      <c r="FV48" s="54"/>
      <c r="FW48" s="64"/>
      <c r="FX48" s="69"/>
      <c r="FZ48" s="21"/>
      <c r="GA48" s="128"/>
      <c r="GB48" s="54"/>
      <c r="GC48" s="64"/>
      <c r="GD48" s="69"/>
      <c r="GF48" s="21"/>
      <c r="GG48" s="128"/>
      <c r="GH48" s="54"/>
      <c r="GI48" s="64"/>
      <c r="GJ48" s="69"/>
      <c r="GL48" s="21"/>
      <c r="GM48" s="128"/>
      <c r="GN48" s="54"/>
      <c r="GO48" s="64"/>
      <c r="GP48" s="69"/>
      <c r="GR48" s="21"/>
      <c r="GS48" s="128"/>
      <c r="GT48" s="54"/>
      <c r="GU48" s="64"/>
      <c r="GV48" s="69"/>
      <c r="GX48" s="21"/>
      <c r="GY48" s="128"/>
      <c r="GZ48" s="54"/>
      <c r="HA48" s="64"/>
      <c r="HB48" s="69"/>
      <c r="HD48" s="21"/>
      <c r="HE48" s="128"/>
      <c r="HF48" s="54"/>
      <c r="HG48" s="64"/>
      <c r="HH48" s="69"/>
      <c r="HJ48" s="21"/>
      <c r="HK48" s="128"/>
      <c r="HL48" s="54"/>
      <c r="HM48" s="64"/>
      <c r="HN48" s="69"/>
      <c r="HP48" s="21"/>
      <c r="HQ48" s="128"/>
      <c r="HR48" s="54"/>
      <c r="HS48" s="64"/>
      <c r="HT48" s="69"/>
      <c r="HV48" s="21"/>
      <c r="HW48" s="128"/>
      <c r="HX48" s="54"/>
      <c r="HY48" s="64"/>
      <c r="HZ48" s="69"/>
      <c r="IB48" s="21"/>
      <c r="IC48" s="128"/>
      <c r="ID48" s="54"/>
      <c r="IE48" s="64"/>
      <c r="IF48" s="69"/>
      <c r="IH48" s="21"/>
      <c r="IJ48" s="21"/>
      <c r="IK48" s="128"/>
      <c r="IL48" s="54"/>
      <c r="IM48" s="64"/>
      <c r="IN48" s="69"/>
      <c r="IP48" s="21"/>
      <c r="IQ48" s="128"/>
      <c r="IR48" s="54"/>
      <c r="IS48" s="64"/>
      <c r="IT48" s="69"/>
      <c r="IV48" s="21"/>
      <c r="IW48" s="128"/>
      <c r="IX48" s="54"/>
      <c r="IY48" s="64"/>
      <c r="IZ48" s="69"/>
      <c r="JB48" s="21"/>
      <c r="JC48" s="128"/>
      <c r="JD48" s="54"/>
      <c r="JE48" s="64"/>
      <c r="JF48" s="69"/>
      <c r="JH48" s="21"/>
      <c r="JI48" s="128"/>
      <c r="JJ48" s="54"/>
      <c r="JK48" s="64"/>
      <c r="JL48" s="69"/>
      <c r="JN48" s="21"/>
      <c r="JO48" s="128"/>
      <c r="JP48" s="54"/>
      <c r="JQ48" s="64"/>
      <c r="JR48" s="69"/>
      <c r="JT48" s="21"/>
      <c r="JU48" s="128"/>
      <c r="JV48" s="54"/>
      <c r="JW48" s="64"/>
      <c r="JX48" s="69"/>
      <c r="JZ48" s="21"/>
      <c r="KA48" s="128"/>
      <c r="KB48" s="54"/>
      <c r="KC48" s="64"/>
      <c r="KD48" s="69"/>
      <c r="KF48" s="38"/>
      <c r="KG48" s="35"/>
      <c r="KI48" s="54"/>
      <c r="KJ48" s="64"/>
      <c r="KK48" s="69"/>
      <c r="KL48" s="126"/>
      <c r="KM48" s="127"/>
      <c r="KO48" s="38"/>
      <c r="KP48" s="83"/>
      <c r="KQ48" s="158"/>
      <c r="KR48" s="174"/>
      <c r="KS48" s="38"/>
      <c r="KT48" s="35">
        <v>4</v>
      </c>
      <c r="KU48" s="4">
        <v>4</v>
      </c>
      <c r="KV48" s="54">
        <v>3</v>
      </c>
      <c r="KW48" s="64">
        <v>2</v>
      </c>
      <c r="KX48" s="69">
        <v>2</v>
      </c>
      <c r="KY48" s="126">
        <v>2</v>
      </c>
      <c r="KZ48" s="127">
        <v>1</v>
      </c>
      <c r="LA48" s="4">
        <v>1</v>
      </c>
      <c r="LB48" s="38"/>
      <c r="LC48" s="83"/>
      <c r="LD48" s="158"/>
      <c r="LE48" s="174"/>
      <c r="LF48" s="38"/>
      <c r="LG48" s="35">
        <v>4</v>
      </c>
      <c r="LH48" s="4">
        <v>4</v>
      </c>
      <c r="LI48" s="54">
        <v>3</v>
      </c>
      <c r="LJ48" s="64">
        <v>3</v>
      </c>
      <c r="LK48" s="69">
        <v>2</v>
      </c>
      <c r="LL48" s="126">
        <v>2</v>
      </c>
      <c r="LM48" s="127">
        <v>1</v>
      </c>
      <c r="LN48" s="4">
        <v>1</v>
      </c>
      <c r="LO48" s="38">
        <v>1</v>
      </c>
      <c r="LP48" s="83">
        <v>1</v>
      </c>
      <c r="LQ48" s="158">
        <v>1</v>
      </c>
      <c r="LR48" s="174">
        <v>1</v>
      </c>
      <c r="LS48" s="38"/>
      <c r="LT48" s="35"/>
      <c r="LV48" s="54"/>
      <c r="LW48" s="64"/>
      <c r="LX48" s="69"/>
      <c r="LY48" s="126"/>
      <c r="LZ48" s="127"/>
      <c r="MB48" s="38"/>
      <c r="MC48" s="83"/>
      <c r="MD48" s="158"/>
      <c r="ME48" s="174"/>
      <c r="MF48" s="38"/>
      <c r="MG48" s="35"/>
      <c r="MI48" s="54"/>
      <c r="MJ48" s="64"/>
      <c r="MK48" s="69"/>
      <c r="ML48" s="126"/>
      <c r="MM48" s="127"/>
      <c r="MO48" s="38"/>
      <c r="MP48" s="83"/>
      <c r="MQ48" s="158"/>
      <c r="MR48" s="174"/>
      <c r="MT48" s="4">
        <f t="shared" si="10"/>
        <v>20</v>
      </c>
      <c r="NC48" s="21"/>
      <c r="ND48" s="128"/>
      <c r="NE48" s="54"/>
    </row>
    <row r="49" spans="1:369" x14ac:dyDescent="0.15">
      <c r="A49" s="2" t="s">
        <v>25</v>
      </c>
      <c r="C49" s="21"/>
      <c r="D49" s="128"/>
      <c r="E49" s="54"/>
      <c r="F49" s="64"/>
      <c r="G49" s="69"/>
      <c r="H49" s="127"/>
      <c r="J49" s="21"/>
      <c r="K49" s="128"/>
      <c r="L49" s="54"/>
      <c r="M49" s="64"/>
      <c r="N49" s="69"/>
      <c r="O49" s="127"/>
      <c r="Q49" s="21"/>
      <c r="R49" s="128"/>
      <c r="S49" s="54"/>
      <c r="T49" s="64"/>
      <c r="U49" s="69"/>
      <c r="V49" s="127"/>
      <c r="X49" s="21"/>
      <c r="Y49" s="128"/>
      <c r="Z49" s="54"/>
      <c r="AA49" s="64"/>
      <c r="AB49" s="69"/>
      <c r="AC49" s="127"/>
      <c r="AE49" s="21"/>
      <c r="AF49" s="128"/>
      <c r="AG49" s="54"/>
      <c r="AH49" s="64"/>
      <c r="AI49" s="69"/>
      <c r="AJ49" s="127"/>
      <c r="AK49">
        <v>1</v>
      </c>
      <c r="AL49" s="21">
        <v>1</v>
      </c>
      <c r="AM49" s="128"/>
      <c r="AN49" s="54"/>
      <c r="AO49" s="64">
        <v>1</v>
      </c>
      <c r="AP49" s="69">
        <v>2</v>
      </c>
      <c r="AQ49" s="127">
        <v>1</v>
      </c>
      <c r="AR49">
        <v>5</v>
      </c>
      <c r="AS49" s="21">
        <v>5</v>
      </c>
      <c r="AT49" s="128">
        <v>5</v>
      </c>
      <c r="AU49" s="54">
        <v>4</v>
      </c>
      <c r="AV49" s="64">
        <v>4</v>
      </c>
      <c r="AW49" s="69">
        <v>3</v>
      </c>
      <c r="AX49" s="127">
        <v>5</v>
      </c>
      <c r="AZ49" s="21"/>
      <c r="BA49" s="128"/>
      <c r="BB49" s="54"/>
      <c r="BC49" s="64"/>
      <c r="BD49" s="69"/>
      <c r="BE49" s="127"/>
      <c r="BG49" s="21"/>
      <c r="BH49" s="128"/>
      <c r="BI49" s="54"/>
      <c r="BJ49" s="64"/>
      <c r="BK49" s="69"/>
      <c r="BL49" s="127"/>
      <c r="BN49" s="21"/>
      <c r="BO49" s="128"/>
      <c r="BP49" s="54"/>
      <c r="BQ49" s="64"/>
      <c r="BR49" s="69"/>
      <c r="BS49" s="127"/>
      <c r="BU49" s="21"/>
      <c r="BV49" s="128"/>
      <c r="BW49" s="54"/>
      <c r="BX49" s="64"/>
      <c r="BY49" s="69"/>
      <c r="BZ49" s="127"/>
      <c r="CA49">
        <v>1</v>
      </c>
      <c r="CB49" s="21">
        <v>1</v>
      </c>
      <c r="CC49" s="128">
        <v>1</v>
      </c>
      <c r="CD49" s="54"/>
      <c r="CE49" s="64"/>
      <c r="CF49" s="69"/>
      <c r="CG49" s="127"/>
      <c r="CI49" s="21"/>
      <c r="CJ49" s="128"/>
      <c r="CK49" s="54"/>
      <c r="CL49" s="64"/>
      <c r="CM49" s="69"/>
      <c r="CN49" s="127"/>
      <c r="CP49" s="21"/>
      <c r="CQ49" s="128"/>
      <c r="CR49" s="54"/>
      <c r="CS49" s="64"/>
      <c r="CT49" s="69"/>
      <c r="CV49" s="21"/>
      <c r="CW49" s="128"/>
      <c r="CX49" s="54"/>
      <c r="CY49" s="64"/>
      <c r="CZ49" s="69"/>
      <c r="DB49" s="21"/>
      <c r="DC49" s="128"/>
      <c r="DD49" s="54"/>
      <c r="DE49" s="64"/>
      <c r="DF49" s="69"/>
      <c r="DH49" s="21"/>
      <c r="DI49" s="128"/>
      <c r="DJ49" s="54"/>
      <c r="DK49" s="64"/>
      <c r="DL49" s="69"/>
      <c r="DN49" s="21"/>
      <c r="DO49" s="128"/>
      <c r="DP49" s="54"/>
      <c r="DQ49" s="64"/>
      <c r="DR49" s="69"/>
      <c r="DT49" s="21"/>
      <c r="DU49" s="128"/>
      <c r="DV49" s="54"/>
      <c r="DW49" s="64"/>
      <c r="DX49" s="69"/>
      <c r="DZ49" s="21"/>
      <c r="EA49" s="128"/>
      <c r="EB49" s="54"/>
      <c r="EC49" s="64"/>
      <c r="ED49" s="69"/>
      <c r="EF49" s="21"/>
      <c r="EG49" s="128"/>
      <c r="EH49" s="54"/>
      <c r="EI49" s="64"/>
      <c r="EJ49" s="69"/>
      <c r="EL49" s="21"/>
      <c r="EM49" s="128"/>
      <c r="EN49" s="54"/>
      <c r="EO49" s="64"/>
      <c r="EP49" s="69"/>
      <c r="ER49" s="21"/>
      <c r="ES49" s="128"/>
      <c r="ET49" s="54"/>
      <c r="EU49" s="64"/>
      <c r="EV49" s="69"/>
      <c r="EX49" s="21"/>
      <c r="EY49" s="128"/>
      <c r="EZ49" s="54"/>
      <c r="FA49" s="64"/>
      <c r="FB49" s="69"/>
      <c r="FD49" s="21"/>
      <c r="FE49" s="128"/>
      <c r="FF49" s="54"/>
      <c r="FG49" s="64"/>
      <c r="FH49" s="69"/>
      <c r="FJ49" s="21"/>
      <c r="FK49" s="128"/>
      <c r="FL49" s="54"/>
      <c r="FM49" s="64"/>
      <c r="FN49" s="69"/>
      <c r="FO49" s="128"/>
      <c r="FP49" s="54"/>
      <c r="FQ49" s="64"/>
      <c r="FR49" s="69"/>
      <c r="FT49" s="21"/>
      <c r="FU49" s="128"/>
      <c r="FV49" s="54"/>
      <c r="FW49" s="64"/>
      <c r="FX49" s="69"/>
      <c r="FZ49" s="21"/>
      <c r="GA49" s="128"/>
      <c r="GB49" s="54"/>
      <c r="GC49" s="64"/>
      <c r="GD49" s="69"/>
      <c r="GF49" s="21"/>
      <c r="GG49" s="128"/>
      <c r="GH49" s="54"/>
      <c r="GI49" s="64"/>
      <c r="GJ49" s="69"/>
      <c r="GL49" s="21"/>
      <c r="GM49" s="128"/>
      <c r="GN49" s="54"/>
      <c r="GO49" s="64"/>
      <c r="GP49" s="69"/>
      <c r="GR49" s="21"/>
      <c r="GS49" s="128">
        <v>1</v>
      </c>
      <c r="GT49" s="54"/>
      <c r="GU49" s="64">
        <v>1</v>
      </c>
      <c r="GV49" s="69">
        <v>2</v>
      </c>
      <c r="GX49" s="21"/>
      <c r="GY49" s="128"/>
      <c r="GZ49" s="54"/>
      <c r="HA49" s="64"/>
      <c r="HB49" s="69"/>
      <c r="HD49" s="21"/>
      <c r="HE49" s="128"/>
      <c r="HF49" s="54"/>
      <c r="HG49" s="64"/>
      <c r="HH49" s="69"/>
      <c r="HJ49" s="21"/>
      <c r="HK49" s="128"/>
      <c r="HL49" s="54"/>
      <c r="HM49" s="64"/>
      <c r="HN49" s="69"/>
      <c r="HP49" s="21"/>
      <c r="HQ49" s="128"/>
      <c r="HR49" s="54"/>
      <c r="HS49" s="64"/>
      <c r="HT49" s="69"/>
      <c r="HV49" s="21"/>
      <c r="HW49" s="128"/>
      <c r="HX49" s="54"/>
      <c r="HY49" s="64"/>
      <c r="HZ49" s="69"/>
      <c r="IB49" s="21"/>
      <c r="IC49" s="128"/>
      <c r="ID49" s="54"/>
      <c r="IE49" s="64"/>
      <c r="IF49" s="69"/>
      <c r="IH49" s="21"/>
      <c r="IJ49" s="21"/>
      <c r="IK49" s="128"/>
      <c r="IL49" s="54"/>
      <c r="IM49" s="64"/>
      <c r="IN49" s="69"/>
      <c r="IP49" s="21"/>
      <c r="IQ49" s="128"/>
      <c r="IR49" s="54"/>
      <c r="IS49" s="64"/>
      <c r="IT49" s="69"/>
      <c r="IV49" s="21"/>
      <c r="IW49" s="128"/>
      <c r="IX49" s="54"/>
      <c r="IY49" s="64"/>
      <c r="IZ49" s="69"/>
      <c r="JB49" s="21"/>
      <c r="JC49" s="128"/>
      <c r="JD49" s="54"/>
      <c r="JE49" s="64"/>
      <c r="JF49" s="69"/>
      <c r="JH49" s="21"/>
      <c r="JI49" s="128"/>
      <c r="JJ49" s="54"/>
      <c r="JK49" s="64"/>
      <c r="JL49" s="69"/>
      <c r="JN49" s="21"/>
      <c r="JO49" s="128"/>
      <c r="JP49" s="54"/>
      <c r="JQ49" s="64"/>
      <c r="JR49" s="69"/>
      <c r="JT49" s="21"/>
      <c r="JU49" s="128"/>
      <c r="JV49" s="54"/>
      <c r="JW49" s="64"/>
      <c r="JX49" s="69"/>
      <c r="JZ49" s="21"/>
      <c r="KA49" s="128"/>
      <c r="KB49" s="54"/>
      <c r="KC49" s="64"/>
      <c r="KD49" s="69"/>
      <c r="KF49" s="38"/>
      <c r="KG49" s="35"/>
      <c r="KI49" s="54"/>
      <c r="KJ49" s="64"/>
      <c r="KK49" s="69"/>
      <c r="KL49" s="126"/>
      <c r="KM49" s="127"/>
      <c r="KO49" s="38"/>
      <c r="KP49" s="83"/>
      <c r="KQ49" s="158"/>
      <c r="KR49" s="174"/>
      <c r="KS49" s="38"/>
      <c r="KT49" s="35"/>
      <c r="KV49" s="54"/>
      <c r="KW49" s="64"/>
      <c r="KX49" s="69"/>
      <c r="KY49" s="126"/>
      <c r="KZ49" s="127"/>
      <c r="LB49" s="38"/>
      <c r="LC49" s="83"/>
      <c r="LD49" s="158"/>
      <c r="LE49" s="174"/>
      <c r="LF49" s="38"/>
      <c r="LG49" s="35"/>
      <c r="LI49" s="54"/>
      <c r="LJ49" s="64"/>
      <c r="LK49" s="69"/>
      <c r="LL49" s="126"/>
      <c r="LM49" s="127"/>
      <c r="LO49" s="38"/>
      <c r="LP49" s="83"/>
      <c r="LQ49" s="158"/>
      <c r="LR49" s="174"/>
      <c r="LS49" s="38"/>
      <c r="LT49" s="35"/>
      <c r="LV49" s="54"/>
      <c r="LW49" s="64"/>
      <c r="LX49" s="69"/>
      <c r="LY49" s="126"/>
      <c r="LZ49" s="127"/>
      <c r="MB49" s="38"/>
      <c r="MC49" s="83"/>
      <c r="MD49" s="158"/>
      <c r="ME49" s="174"/>
      <c r="MF49" s="38"/>
      <c r="MG49" s="35"/>
      <c r="MI49" s="54"/>
      <c r="MJ49" s="64"/>
      <c r="MK49" s="69"/>
      <c r="ML49" s="126"/>
      <c r="MM49" s="127"/>
      <c r="MO49" s="38"/>
      <c r="MP49" s="83"/>
      <c r="MQ49" s="158"/>
      <c r="MR49" s="174"/>
      <c r="MT49" s="4">
        <f t="shared" si="10"/>
        <v>18</v>
      </c>
      <c r="NC49" s="21"/>
      <c r="ND49" s="128"/>
      <c r="NE49" s="54"/>
    </row>
    <row r="50" spans="1:369" x14ac:dyDescent="0.15">
      <c r="A50" s="2" t="s">
        <v>38</v>
      </c>
      <c r="C50" s="21"/>
      <c r="D50" s="128">
        <v>1</v>
      </c>
      <c r="E50" s="54">
        <v>1</v>
      </c>
      <c r="F50" s="64">
        <v>1</v>
      </c>
      <c r="G50" s="69">
        <v>1</v>
      </c>
      <c r="H50" s="127">
        <v>2</v>
      </c>
      <c r="I50">
        <v>1</v>
      </c>
      <c r="J50" s="21"/>
      <c r="K50" s="128">
        <v>1</v>
      </c>
      <c r="L50" s="54">
        <v>1</v>
      </c>
      <c r="M50" s="64">
        <v>1</v>
      </c>
      <c r="N50" s="69">
        <v>2</v>
      </c>
      <c r="O50" s="127">
        <v>1</v>
      </c>
      <c r="Q50" s="21">
        <v>1</v>
      </c>
      <c r="R50" s="128">
        <v>1</v>
      </c>
      <c r="S50" s="54">
        <v>1</v>
      </c>
      <c r="T50" s="64">
        <v>1</v>
      </c>
      <c r="U50" s="69"/>
      <c r="V50" s="127">
        <v>1</v>
      </c>
      <c r="X50" s="21"/>
      <c r="Y50" s="128"/>
      <c r="Z50" s="54"/>
      <c r="AA50" s="64"/>
      <c r="AB50" s="69"/>
      <c r="AC50" s="127"/>
      <c r="AE50" s="21"/>
      <c r="AF50" s="128">
        <v>1</v>
      </c>
      <c r="AG50" s="54">
        <v>1</v>
      </c>
      <c r="AH50" s="64">
        <v>1</v>
      </c>
      <c r="AI50" s="69"/>
      <c r="AJ50" s="127"/>
      <c r="AK50">
        <v>1</v>
      </c>
      <c r="AL50" s="21">
        <v>1</v>
      </c>
      <c r="AM50" s="128"/>
      <c r="AN50" s="54"/>
      <c r="AO50" s="64"/>
      <c r="AP50" s="69"/>
      <c r="AQ50" s="127"/>
      <c r="AS50" s="21"/>
      <c r="AT50" s="128"/>
      <c r="AU50" s="54"/>
      <c r="AV50" s="64"/>
      <c r="AW50" s="69"/>
      <c r="AX50" s="127"/>
      <c r="AZ50" s="21"/>
      <c r="BA50" s="128"/>
      <c r="BB50" s="54"/>
      <c r="BC50" s="64"/>
      <c r="BD50" s="69"/>
      <c r="BE50" s="127"/>
      <c r="BG50" s="21"/>
      <c r="BH50" s="128"/>
      <c r="BI50" s="54">
        <v>1</v>
      </c>
      <c r="BJ50" s="64"/>
      <c r="BK50" s="69"/>
      <c r="BL50" s="127">
        <v>1</v>
      </c>
      <c r="BN50" s="21"/>
      <c r="BO50" s="128"/>
      <c r="BP50" s="54"/>
      <c r="BQ50" s="64"/>
      <c r="BR50" s="69"/>
      <c r="BS50" s="127"/>
      <c r="BU50" s="21"/>
      <c r="BV50" s="128"/>
      <c r="BW50" s="54"/>
      <c r="BX50" s="64">
        <v>1</v>
      </c>
      <c r="BY50" s="69"/>
      <c r="BZ50" s="127"/>
      <c r="CB50" s="21"/>
      <c r="CC50" s="128"/>
      <c r="CD50" s="54"/>
      <c r="CE50" s="64"/>
      <c r="CF50" s="69"/>
      <c r="CG50" s="127"/>
      <c r="CI50" s="21"/>
      <c r="CJ50" s="128"/>
      <c r="CK50" s="54"/>
      <c r="CL50" s="64"/>
      <c r="CM50" s="69"/>
      <c r="CN50" s="127"/>
      <c r="CP50" s="21"/>
      <c r="CQ50" s="128"/>
      <c r="CR50" s="54"/>
      <c r="CS50" s="64"/>
      <c r="CT50" s="69"/>
      <c r="CV50" s="21"/>
      <c r="CW50" s="128"/>
      <c r="CX50" s="54"/>
      <c r="CY50" s="64"/>
      <c r="CZ50" s="69"/>
      <c r="DB50" s="21"/>
      <c r="DC50" s="128"/>
      <c r="DD50" s="54"/>
      <c r="DE50" s="64"/>
      <c r="DF50" s="69"/>
      <c r="DH50" s="21"/>
      <c r="DI50" s="128"/>
      <c r="DJ50" s="54"/>
      <c r="DK50" s="64"/>
      <c r="DL50" s="69"/>
      <c r="DN50" s="21"/>
      <c r="DO50" s="128"/>
      <c r="DP50" s="54"/>
      <c r="DQ50" s="64"/>
      <c r="DR50" s="69"/>
      <c r="DT50" s="21"/>
      <c r="DU50" s="128"/>
      <c r="DV50" s="54"/>
      <c r="DW50" s="64"/>
      <c r="DX50" s="69"/>
      <c r="DZ50" s="21"/>
      <c r="EA50" s="128"/>
      <c r="EB50" s="54"/>
      <c r="EC50" s="64"/>
      <c r="ED50" s="69"/>
      <c r="EF50" s="21"/>
      <c r="EG50" s="128"/>
      <c r="EH50" s="54"/>
      <c r="EI50" s="64"/>
      <c r="EJ50" s="69"/>
      <c r="EL50" s="21"/>
      <c r="EM50" s="128"/>
      <c r="EN50" s="54"/>
      <c r="EO50" s="64"/>
      <c r="EP50" s="69"/>
      <c r="ER50" s="21"/>
      <c r="ES50" s="128"/>
      <c r="ET50" s="54"/>
      <c r="EU50" s="64"/>
      <c r="EV50" s="69"/>
      <c r="EX50" s="21"/>
      <c r="EY50" s="128"/>
      <c r="EZ50" s="54"/>
      <c r="FA50" s="64"/>
      <c r="FB50" s="69"/>
      <c r="FD50" s="21"/>
      <c r="FE50" s="128"/>
      <c r="FF50" s="54"/>
      <c r="FG50" s="64"/>
      <c r="FH50" s="69"/>
      <c r="FJ50" s="21"/>
      <c r="FK50" s="128"/>
      <c r="FL50" s="54"/>
      <c r="FM50" s="64"/>
      <c r="FN50" s="69"/>
      <c r="FO50" s="128"/>
      <c r="FP50" s="54"/>
      <c r="FQ50" s="64"/>
      <c r="FR50" s="69"/>
      <c r="FT50" s="21"/>
      <c r="FU50" s="128"/>
      <c r="FV50" s="54"/>
      <c r="FW50" s="64"/>
      <c r="FX50" s="69"/>
      <c r="FZ50" s="21"/>
      <c r="GA50" s="128"/>
      <c r="GB50" s="54"/>
      <c r="GC50" s="64"/>
      <c r="GD50" s="69"/>
      <c r="GF50" s="21"/>
      <c r="GG50" s="128"/>
      <c r="GH50" s="54"/>
      <c r="GI50" s="64"/>
      <c r="GJ50" s="69"/>
      <c r="GL50" s="21"/>
      <c r="GM50" s="128"/>
      <c r="GN50" s="54"/>
      <c r="GO50" s="64"/>
      <c r="GP50" s="69"/>
      <c r="GR50" s="21"/>
      <c r="GS50" s="128"/>
      <c r="GT50" s="54"/>
      <c r="GU50" s="64"/>
      <c r="GV50" s="69"/>
      <c r="GX50" s="21"/>
      <c r="GY50" s="128"/>
      <c r="GZ50" s="54"/>
      <c r="HA50" s="64"/>
      <c r="HB50" s="69"/>
      <c r="HD50" s="21"/>
      <c r="HE50" s="128"/>
      <c r="HF50" s="54"/>
      <c r="HG50" s="64"/>
      <c r="HH50" s="69"/>
      <c r="HJ50" s="21"/>
      <c r="HK50" s="128"/>
      <c r="HL50" s="54"/>
      <c r="HM50" s="64"/>
      <c r="HN50" s="69"/>
      <c r="HP50" s="21"/>
      <c r="HQ50" s="128"/>
      <c r="HR50" s="54"/>
      <c r="HS50" s="64"/>
      <c r="HT50" s="69"/>
      <c r="HV50" s="21"/>
      <c r="HW50" s="128"/>
      <c r="HX50" s="54"/>
      <c r="HY50" s="64"/>
      <c r="HZ50" s="69"/>
      <c r="IB50" s="21"/>
      <c r="IC50" s="128"/>
      <c r="ID50" s="54"/>
      <c r="IE50" s="64"/>
      <c r="IF50" s="69"/>
      <c r="IH50" s="21"/>
      <c r="IJ50" s="21"/>
      <c r="IK50" s="128"/>
      <c r="IL50" s="54"/>
      <c r="IM50" s="64"/>
      <c r="IN50" s="69"/>
      <c r="IP50" s="21"/>
      <c r="IQ50" s="128"/>
      <c r="IR50" s="54"/>
      <c r="IS50" s="64"/>
      <c r="IT50" s="69"/>
      <c r="IV50" s="21"/>
      <c r="IW50" s="128"/>
      <c r="IX50" s="54"/>
      <c r="IY50" s="64"/>
      <c r="IZ50" s="69"/>
      <c r="JB50" s="21"/>
      <c r="JC50" s="128"/>
      <c r="JD50" s="54"/>
      <c r="JE50" s="64"/>
      <c r="JF50" s="69"/>
      <c r="JH50" s="21"/>
      <c r="JI50" s="128"/>
      <c r="JJ50" s="54"/>
      <c r="JK50" s="64"/>
      <c r="JL50" s="69"/>
      <c r="JN50" s="21"/>
      <c r="JO50" s="128"/>
      <c r="JP50" s="54"/>
      <c r="JQ50" s="64"/>
      <c r="JR50" s="69"/>
      <c r="JT50" s="21"/>
      <c r="JU50" s="128"/>
      <c r="JV50" s="54"/>
      <c r="JW50" s="64"/>
      <c r="JX50" s="69"/>
      <c r="JZ50" s="21"/>
      <c r="KA50" s="128"/>
      <c r="KB50" s="54"/>
      <c r="KC50" s="64"/>
      <c r="KD50" s="69"/>
      <c r="KF50" s="38"/>
      <c r="KG50" s="35"/>
      <c r="KH50" s="4">
        <v>1</v>
      </c>
      <c r="KI50" s="54">
        <v>1</v>
      </c>
      <c r="KJ50" s="64">
        <v>1</v>
      </c>
      <c r="KK50" s="69">
        <v>1</v>
      </c>
      <c r="KL50" s="126">
        <v>1</v>
      </c>
      <c r="KM50" s="127"/>
      <c r="KN50" s="4">
        <v>1</v>
      </c>
      <c r="KO50" s="38">
        <v>1</v>
      </c>
      <c r="KP50" s="83">
        <v>1</v>
      </c>
      <c r="KQ50" s="158">
        <v>1</v>
      </c>
      <c r="KR50" s="174">
        <v>1</v>
      </c>
      <c r="KS50" s="38"/>
      <c r="KT50" s="35"/>
      <c r="KV50" s="54"/>
      <c r="KW50" s="64"/>
      <c r="KX50" s="69"/>
      <c r="KY50" s="126"/>
      <c r="KZ50" s="127">
        <v>1</v>
      </c>
      <c r="LA50" s="4">
        <v>1</v>
      </c>
      <c r="LB50" s="38">
        <v>1</v>
      </c>
      <c r="LC50" s="83">
        <v>1</v>
      </c>
      <c r="LD50" s="158">
        <v>1</v>
      </c>
      <c r="LE50" s="174">
        <v>1</v>
      </c>
      <c r="LF50" s="38"/>
      <c r="LG50" s="35"/>
      <c r="LI50" s="54"/>
      <c r="LJ50" s="64"/>
      <c r="LK50" s="69"/>
      <c r="LL50" s="126"/>
      <c r="LM50" s="127"/>
      <c r="LO50" s="38"/>
      <c r="LP50" s="83"/>
      <c r="LQ50" s="158"/>
      <c r="LR50" s="174"/>
      <c r="LS50" s="38"/>
      <c r="LT50" s="35"/>
      <c r="LV50" s="54"/>
      <c r="LW50" s="64"/>
      <c r="LX50" s="69"/>
      <c r="LY50" s="126"/>
      <c r="LZ50" s="127"/>
      <c r="MB50" s="38"/>
      <c r="MC50" s="83"/>
      <c r="MD50" s="158"/>
      <c r="ME50" s="174"/>
      <c r="MF50" s="38"/>
      <c r="MG50" s="35"/>
      <c r="MI50" s="54"/>
      <c r="MJ50" s="64"/>
      <c r="MK50" s="69"/>
      <c r="ML50" s="126"/>
      <c r="MM50" s="127"/>
      <c r="MO50" s="38"/>
      <c r="MP50" s="83"/>
      <c r="MQ50" s="158"/>
      <c r="MR50" s="174"/>
      <c r="MT50" s="4">
        <f t="shared" si="10"/>
        <v>40</v>
      </c>
      <c r="NC50" s="21"/>
      <c r="ND50" s="128"/>
      <c r="NE50" s="54"/>
    </row>
    <row r="51" spans="1:369" x14ac:dyDescent="0.15">
      <c r="A51" s="2" t="s">
        <v>27</v>
      </c>
      <c r="C51" s="21"/>
      <c r="D51" s="128"/>
      <c r="E51" s="54"/>
      <c r="F51" s="64"/>
      <c r="G51" s="69"/>
      <c r="H51" s="127"/>
      <c r="J51" s="21"/>
      <c r="K51" s="128"/>
      <c r="L51" s="54"/>
      <c r="M51" s="64"/>
      <c r="N51" s="69"/>
      <c r="O51" s="127"/>
      <c r="Q51" s="21"/>
      <c r="R51" s="128"/>
      <c r="S51" s="54"/>
      <c r="T51" s="64"/>
      <c r="U51" s="69"/>
      <c r="V51" s="127"/>
      <c r="X51" s="21"/>
      <c r="Y51" s="128"/>
      <c r="Z51" s="54"/>
      <c r="AA51" s="64"/>
      <c r="AB51" s="69"/>
      <c r="AC51" s="127"/>
      <c r="AE51" s="21"/>
      <c r="AF51" s="128"/>
      <c r="AG51" s="54"/>
      <c r="AH51" s="64"/>
      <c r="AI51" s="69"/>
      <c r="AJ51" s="127"/>
      <c r="AL51" s="21">
        <v>1</v>
      </c>
      <c r="AM51" s="128"/>
      <c r="AN51" s="54">
        <v>2</v>
      </c>
      <c r="AO51" s="64">
        <v>1</v>
      </c>
      <c r="AP51" s="69">
        <v>1</v>
      </c>
      <c r="AQ51" s="127">
        <v>1</v>
      </c>
      <c r="AS51" s="21"/>
      <c r="AT51" s="128"/>
      <c r="AU51" s="54">
        <v>1</v>
      </c>
      <c r="AV51" s="64">
        <v>1</v>
      </c>
      <c r="AW51" s="69">
        <v>1</v>
      </c>
      <c r="AX51" s="127">
        <v>1</v>
      </c>
      <c r="AZ51" s="21">
        <v>1</v>
      </c>
      <c r="BA51" s="128"/>
      <c r="BB51" s="54"/>
      <c r="BC51" s="64">
        <v>1</v>
      </c>
      <c r="BD51" s="69"/>
      <c r="BE51" s="127"/>
      <c r="BG51" s="21"/>
      <c r="BH51" s="128"/>
      <c r="BI51" s="54">
        <v>1</v>
      </c>
      <c r="BJ51" s="64"/>
      <c r="BK51" s="69"/>
      <c r="BL51" s="127"/>
      <c r="BN51" s="21"/>
      <c r="BO51" s="128"/>
      <c r="BP51" s="54"/>
      <c r="BQ51" s="64"/>
      <c r="BR51" s="69"/>
      <c r="BS51" s="127"/>
      <c r="BU51" s="21">
        <v>1</v>
      </c>
      <c r="BV51" s="128">
        <v>1</v>
      </c>
      <c r="BW51" s="54">
        <v>2</v>
      </c>
      <c r="BX51" s="64">
        <v>2</v>
      </c>
      <c r="BY51" s="69">
        <v>2</v>
      </c>
      <c r="BZ51" s="127">
        <v>1</v>
      </c>
      <c r="CA51">
        <v>2</v>
      </c>
      <c r="CB51" s="21">
        <v>3</v>
      </c>
      <c r="CC51" s="128">
        <v>1</v>
      </c>
      <c r="CD51" s="54">
        <v>2</v>
      </c>
      <c r="CE51" s="64">
        <v>1</v>
      </c>
      <c r="CF51" s="69">
        <v>3</v>
      </c>
      <c r="CG51" s="127">
        <v>2</v>
      </c>
      <c r="CI51" s="21"/>
      <c r="CJ51" s="128"/>
      <c r="CK51" s="54"/>
      <c r="CL51" s="64"/>
      <c r="CM51" s="69"/>
      <c r="CN51" s="127"/>
      <c r="CP51" s="21"/>
      <c r="CQ51" s="128"/>
      <c r="CR51" s="54"/>
      <c r="CS51" s="64"/>
      <c r="CT51" s="69"/>
      <c r="CV51" s="21"/>
      <c r="CW51" s="128"/>
      <c r="CX51" s="54"/>
      <c r="CY51" s="64"/>
      <c r="CZ51" s="69"/>
      <c r="DB51" s="21"/>
      <c r="DC51" s="128"/>
      <c r="DD51" s="54"/>
      <c r="DE51" s="64"/>
      <c r="DF51" s="69"/>
      <c r="DH51" s="21"/>
      <c r="DI51" s="128"/>
      <c r="DJ51" s="54"/>
      <c r="DK51" s="64"/>
      <c r="DL51" s="69"/>
      <c r="DN51" s="21"/>
      <c r="DO51" s="128"/>
      <c r="DP51" s="54"/>
      <c r="DQ51" s="64"/>
      <c r="DR51" s="69"/>
      <c r="DT51" s="21"/>
      <c r="DU51" s="128"/>
      <c r="DV51" s="54"/>
      <c r="DW51" s="64"/>
      <c r="DX51" s="69"/>
      <c r="DZ51" s="21"/>
      <c r="EA51" s="128"/>
      <c r="EB51" s="54"/>
      <c r="EC51" s="64"/>
      <c r="ED51" s="69"/>
      <c r="EF51" s="21"/>
      <c r="EG51" s="128"/>
      <c r="EH51" s="54"/>
      <c r="EI51" s="64"/>
      <c r="EJ51" s="69"/>
      <c r="EL51" s="21"/>
      <c r="EM51" s="128"/>
      <c r="EN51" s="54"/>
      <c r="EO51" s="64"/>
      <c r="EP51" s="69"/>
      <c r="ER51" s="21"/>
      <c r="ES51" s="128"/>
      <c r="ET51" s="54"/>
      <c r="EU51" s="64"/>
      <c r="EV51" s="69"/>
      <c r="EX51" s="21"/>
      <c r="EY51" s="128"/>
      <c r="EZ51" s="54"/>
      <c r="FA51" s="64"/>
      <c r="FB51" s="69"/>
      <c r="FD51" s="21"/>
      <c r="FE51" s="128"/>
      <c r="FF51" s="54"/>
      <c r="FG51" s="64"/>
      <c r="FH51" s="69"/>
      <c r="FJ51" s="21"/>
      <c r="FK51" s="128"/>
      <c r="FL51" s="54"/>
      <c r="FM51" s="64"/>
      <c r="FN51" s="69"/>
      <c r="FO51" s="128"/>
      <c r="FP51" s="54"/>
      <c r="FQ51" s="64"/>
      <c r="FR51" s="69"/>
      <c r="FT51" s="21"/>
      <c r="FU51" s="128"/>
      <c r="FV51" s="54"/>
      <c r="FW51" s="64"/>
      <c r="FX51" s="69"/>
      <c r="FZ51" s="21"/>
      <c r="GA51" s="128"/>
      <c r="GB51" s="54"/>
      <c r="GC51" s="64"/>
      <c r="GD51" s="69"/>
      <c r="GF51" s="21"/>
      <c r="GG51" s="128"/>
      <c r="GH51" s="54"/>
      <c r="GI51" s="64"/>
      <c r="GJ51" s="69"/>
      <c r="GL51" s="21"/>
      <c r="GM51" s="128"/>
      <c r="GN51" s="54"/>
      <c r="GO51" s="64"/>
      <c r="GP51" s="69"/>
      <c r="GR51" s="21"/>
      <c r="GS51" s="128"/>
      <c r="GT51" s="54"/>
      <c r="GU51" s="64"/>
      <c r="GV51" s="69"/>
      <c r="GX51" s="21"/>
      <c r="GY51" s="128"/>
      <c r="GZ51" s="54"/>
      <c r="HA51" s="64"/>
      <c r="HB51" s="69"/>
      <c r="HD51" s="21"/>
      <c r="HE51" s="128"/>
      <c r="HF51" s="54"/>
      <c r="HG51" s="64"/>
      <c r="HH51" s="69"/>
      <c r="HJ51" s="21"/>
      <c r="HK51" s="128"/>
      <c r="HL51" s="54"/>
      <c r="HM51" s="64"/>
      <c r="HN51" s="69"/>
      <c r="HP51" s="21"/>
      <c r="HQ51" s="128"/>
      <c r="HR51" s="54"/>
      <c r="HS51" s="64"/>
      <c r="HT51" s="69"/>
      <c r="HV51" s="21"/>
      <c r="HW51" s="128"/>
      <c r="HX51" s="54"/>
      <c r="HY51" s="64"/>
      <c r="HZ51" s="69"/>
      <c r="IB51" s="21"/>
      <c r="IC51" s="128"/>
      <c r="ID51" s="54"/>
      <c r="IE51" s="64"/>
      <c r="IF51" s="69"/>
      <c r="IH51" s="21"/>
      <c r="IJ51" s="21"/>
      <c r="IK51" s="128"/>
      <c r="IL51" s="54"/>
      <c r="IM51" s="64"/>
      <c r="IN51" s="69"/>
      <c r="IP51" s="21"/>
      <c r="IQ51" s="128"/>
      <c r="IR51" s="54"/>
      <c r="IS51" s="64"/>
      <c r="IT51" s="69"/>
      <c r="IV51" s="21"/>
      <c r="IW51" s="128"/>
      <c r="IX51" s="54"/>
      <c r="IY51" s="64"/>
      <c r="IZ51" s="69"/>
      <c r="JB51" s="21"/>
      <c r="JC51" s="128"/>
      <c r="JD51" s="54"/>
      <c r="JE51" s="64"/>
      <c r="JF51" s="69"/>
      <c r="JH51" s="21"/>
      <c r="JI51" s="128"/>
      <c r="JJ51" s="54"/>
      <c r="JK51" s="64"/>
      <c r="JL51" s="69"/>
      <c r="JN51" s="21"/>
      <c r="JO51" s="128"/>
      <c r="JP51" s="54"/>
      <c r="JQ51" s="64"/>
      <c r="JR51" s="69"/>
      <c r="JT51" s="21"/>
      <c r="JU51" s="128"/>
      <c r="JV51" s="54"/>
      <c r="JW51" s="64"/>
      <c r="JX51" s="69"/>
      <c r="JZ51" s="21"/>
      <c r="KA51" s="128"/>
      <c r="KB51" s="54"/>
      <c r="KC51" s="64"/>
      <c r="KD51" s="69"/>
      <c r="KF51" s="38"/>
      <c r="KG51" s="35"/>
      <c r="KI51" s="54"/>
      <c r="KJ51" s="64"/>
      <c r="KK51" s="69"/>
      <c r="KL51" s="126"/>
      <c r="KM51" s="127"/>
      <c r="KO51" s="38"/>
      <c r="KP51" s="83"/>
      <c r="KQ51" s="158"/>
      <c r="KR51" s="174"/>
      <c r="KS51" s="38"/>
      <c r="KT51" s="35"/>
      <c r="KV51" s="54"/>
      <c r="KW51" s="64"/>
      <c r="KX51" s="69"/>
      <c r="KY51" s="126"/>
      <c r="KZ51" s="127"/>
      <c r="LB51" s="38"/>
      <c r="LC51" s="83"/>
      <c r="LD51" s="158"/>
      <c r="LE51" s="174"/>
      <c r="LF51" s="38"/>
      <c r="LG51" s="35"/>
      <c r="LI51" s="54"/>
      <c r="LJ51" s="64"/>
      <c r="LK51" s="69"/>
      <c r="LL51" s="126"/>
      <c r="LM51" s="127"/>
      <c r="LO51" s="38"/>
      <c r="LP51" s="83"/>
      <c r="LQ51" s="158"/>
      <c r="LR51" s="174"/>
      <c r="LS51" s="38"/>
      <c r="LT51" s="35"/>
      <c r="LV51" s="54"/>
      <c r="LW51" s="64"/>
      <c r="LX51" s="69"/>
      <c r="LY51" s="126"/>
      <c r="LZ51" s="127"/>
      <c r="MB51" s="38"/>
      <c r="MC51" s="83"/>
      <c r="MD51" s="158"/>
      <c r="ME51" s="174"/>
      <c r="MF51" s="38"/>
      <c r="MG51" s="35"/>
      <c r="MI51" s="54"/>
      <c r="MJ51" s="64"/>
      <c r="MK51" s="69"/>
      <c r="ML51" s="126"/>
      <c r="MM51" s="127"/>
      <c r="MO51" s="38"/>
      <c r="MP51" s="83"/>
      <c r="MQ51" s="158"/>
      <c r="MR51" s="174"/>
      <c r="MT51" s="4">
        <f t="shared" si="10"/>
        <v>25</v>
      </c>
      <c r="NC51" s="21"/>
      <c r="ND51" s="128"/>
      <c r="NE51" s="54"/>
    </row>
    <row r="52" spans="1:369" x14ac:dyDescent="0.15">
      <c r="A52" s="2" t="s">
        <v>229</v>
      </c>
      <c r="C52" s="21"/>
      <c r="D52" s="128"/>
      <c r="E52" s="54"/>
      <c r="F52" s="64"/>
      <c r="G52" s="69"/>
      <c r="H52" s="127"/>
      <c r="J52" s="21"/>
      <c r="K52" s="128"/>
      <c r="L52" s="54"/>
      <c r="M52" s="64"/>
      <c r="N52" s="69"/>
      <c r="O52" s="127"/>
      <c r="Q52" s="21"/>
      <c r="R52" s="128"/>
      <c r="S52" s="54"/>
      <c r="T52" s="64"/>
      <c r="U52" s="69"/>
      <c r="V52" s="127"/>
      <c r="X52" s="21"/>
      <c r="Y52" s="128"/>
      <c r="Z52" s="54"/>
      <c r="AA52" s="64"/>
      <c r="AB52" s="69"/>
      <c r="AC52" s="127"/>
      <c r="AE52" s="21"/>
      <c r="AF52" s="128"/>
      <c r="AG52" s="54"/>
      <c r="AH52" s="64"/>
      <c r="AI52" s="69"/>
      <c r="AJ52" s="127"/>
      <c r="AL52" s="21"/>
      <c r="AM52" s="128"/>
      <c r="AN52" s="54"/>
      <c r="AO52" s="64"/>
      <c r="AP52" s="69">
        <v>1</v>
      </c>
      <c r="AQ52" s="127">
        <v>1</v>
      </c>
      <c r="AS52" s="21"/>
      <c r="AT52" s="128"/>
      <c r="AU52" s="54"/>
      <c r="AV52" s="64"/>
      <c r="AW52" s="69"/>
      <c r="AX52" s="127"/>
      <c r="AZ52" s="21"/>
      <c r="BA52" s="128"/>
      <c r="BB52" s="54"/>
      <c r="BC52" s="64"/>
      <c r="BD52" s="69"/>
      <c r="BE52" s="127"/>
      <c r="BG52" s="21"/>
      <c r="BH52" s="128"/>
      <c r="BI52" s="54"/>
      <c r="BJ52" s="64"/>
      <c r="BK52" s="69"/>
      <c r="BL52" s="127"/>
      <c r="BN52" s="21"/>
      <c r="BO52" s="128"/>
      <c r="BP52" s="54"/>
      <c r="BQ52" s="64"/>
      <c r="BR52" s="69"/>
      <c r="BS52" s="127"/>
      <c r="BU52" s="21"/>
      <c r="BV52" s="128"/>
      <c r="BW52" s="54"/>
      <c r="BX52" s="64"/>
      <c r="BY52" s="69"/>
      <c r="BZ52" s="127"/>
      <c r="CB52" s="21"/>
      <c r="CC52" s="128"/>
      <c r="CD52" s="54"/>
      <c r="CE52" s="64"/>
      <c r="CF52" s="69"/>
      <c r="CG52" s="127"/>
      <c r="CI52" s="21"/>
      <c r="CJ52" s="128"/>
      <c r="CK52" s="54"/>
      <c r="CL52" s="64"/>
      <c r="CM52" s="69"/>
      <c r="CN52" s="127"/>
      <c r="CP52" s="21"/>
      <c r="CQ52" s="128"/>
      <c r="CR52" s="54"/>
      <c r="CS52" s="64"/>
      <c r="CT52" s="69"/>
      <c r="CV52" s="21"/>
      <c r="CW52" s="128"/>
      <c r="CX52" s="54"/>
      <c r="CY52" s="64"/>
      <c r="CZ52" s="69"/>
      <c r="DB52" s="21"/>
      <c r="DC52" s="128"/>
      <c r="DD52" s="54"/>
      <c r="DE52" s="64"/>
      <c r="DF52" s="69"/>
      <c r="DH52" s="21"/>
      <c r="DI52" s="128"/>
      <c r="DJ52" s="54"/>
      <c r="DK52" s="64"/>
      <c r="DL52" s="69"/>
      <c r="DN52" s="21"/>
      <c r="DO52" s="128"/>
      <c r="DP52" s="54"/>
      <c r="DQ52" s="64"/>
      <c r="DR52" s="69"/>
      <c r="DT52" s="21"/>
      <c r="DU52" s="128"/>
      <c r="DV52" s="54"/>
      <c r="DW52" s="64"/>
      <c r="DX52" s="69"/>
      <c r="DZ52" s="21"/>
      <c r="EA52" s="128"/>
      <c r="EB52" s="54"/>
      <c r="EC52" s="64"/>
      <c r="ED52" s="69"/>
      <c r="EF52" s="21"/>
      <c r="EG52" s="128"/>
      <c r="EH52" s="54"/>
      <c r="EI52" s="64"/>
      <c r="EJ52" s="69"/>
      <c r="EL52" s="21"/>
      <c r="EM52" s="128"/>
      <c r="EN52" s="54"/>
      <c r="EO52" s="64"/>
      <c r="EP52" s="69"/>
      <c r="ER52" s="21"/>
      <c r="ES52" s="128"/>
      <c r="ET52" s="54"/>
      <c r="EU52" s="64"/>
      <c r="EV52" s="69"/>
      <c r="EX52" s="21"/>
      <c r="EY52" s="128"/>
      <c r="EZ52" s="54"/>
      <c r="FA52" s="64"/>
      <c r="FB52" s="69"/>
      <c r="FD52" s="21"/>
      <c r="FE52" s="128"/>
      <c r="FF52" s="54"/>
      <c r="FG52" s="64"/>
      <c r="FH52" s="69"/>
      <c r="FJ52" s="21"/>
      <c r="FK52" s="128"/>
      <c r="FL52" s="54"/>
      <c r="FM52" s="64"/>
      <c r="FN52" s="69"/>
      <c r="FO52" s="128"/>
      <c r="FP52" s="54"/>
      <c r="FQ52" s="64"/>
      <c r="FR52" s="69"/>
      <c r="FT52" s="21"/>
      <c r="FU52" s="128"/>
      <c r="FV52" s="54"/>
      <c r="FW52" s="64"/>
      <c r="FX52" s="69"/>
      <c r="FZ52" s="21"/>
      <c r="GA52" s="128"/>
      <c r="GB52" s="54"/>
      <c r="GC52" s="64"/>
      <c r="GD52" s="69"/>
      <c r="GF52" s="21"/>
      <c r="GG52" s="128"/>
      <c r="GH52" s="54"/>
      <c r="GI52" s="64"/>
      <c r="GJ52" s="69"/>
      <c r="GL52" s="21"/>
      <c r="GM52" s="128"/>
      <c r="GN52" s="54"/>
      <c r="GO52" s="64"/>
      <c r="GP52" s="69"/>
      <c r="GR52" s="21"/>
      <c r="GS52" s="128"/>
      <c r="GT52" s="54"/>
      <c r="GU52" s="64"/>
      <c r="GV52" s="69"/>
      <c r="GX52" s="21"/>
      <c r="GY52" s="128"/>
      <c r="GZ52" s="54"/>
      <c r="HA52" s="64"/>
      <c r="HB52" s="69"/>
      <c r="HD52" s="21"/>
      <c r="HE52" s="128"/>
      <c r="HF52" s="54"/>
      <c r="HG52" s="64"/>
      <c r="HH52" s="69"/>
      <c r="HJ52" s="21"/>
      <c r="HK52" s="128"/>
      <c r="HL52" s="54"/>
      <c r="HM52" s="64"/>
      <c r="HN52" s="69"/>
      <c r="HP52" s="21"/>
      <c r="HQ52" s="128"/>
      <c r="HR52" s="54"/>
      <c r="HS52" s="64"/>
      <c r="HT52" s="69"/>
      <c r="HV52" s="21"/>
      <c r="HW52" s="128"/>
      <c r="HX52" s="54"/>
      <c r="HY52" s="64"/>
      <c r="HZ52" s="69"/>
      <c r="IB52" s="21"/>
      <c r="IC52" s="128"/>
      <c r="ID52" s="54"/>
      <c r="IE52" s="64"/>
      <c r="IF52" s="69"/>
      <c r="IH52" s="21"/>
      <c r="IJ52" s="21"/>
      <c r="IK52" s="128"/>
      <c r="IL52" s="54"/>
      <c r="IM52" s="64"/>
      <c r="IN52" s="69"/>
      <c r="IP52" s="21"/>
      <c r="IQ52" s="128"/>
      <c r="IR52" s="54"/>
      <c r="IS52" s="64"/>
      <c r="IT52" s="69"/>
      <c r="IV52" s="21"/>
      <c r="IW52" s="128"/>
      <c r="IX52" s="54"/>
      <c r="IY52" s="64"/>
      <c r="IZ52" s="69"/>
      <c r="JB52" s="21"/>
      <c r="JC52" s="128"/>
      <c r="JD52" s="54"/>
      <c r="JE52" s="64"/>
      <c r="JF52" s="69"/>
      <c r="JH52" s="21"/>
      <c r="JI52" s="128"/>
      <c r="JJ52" s="54"/>
      <c r="JK52" s="64"/>
      <c r="JL52" s="69"/>
      <c r="JN52" s="21"/>
      <c r="JO52" s="128"/>
      <c r="JP52" s="54"/>
      <c r="JQ52" s="64"/>
      <c r="JR52" s="69"/>
      <c r="JT52" s="21"/>
      <c r="JU52" s="128"/>
      <c r="JV52" s="54"/>
      <c r="JW52" s="64"/>
      <c r="JX52" s="69"/>
      <c r="JZ52" s="21"/>
      <c r="KA52" s="128"/>
      <c r="KB52" s="54"/>
      <c r="KC52" s="64"/>
      <c r="KD52" s="69"/>
      <c r="KF52" s="38"/>
      <c r="KG52" s="35"/>
      <c r="KI52" s="54"/>
      <c r="KJ52" s="64"/>
      <c r="KK52" s="69"/>
      <c r="KL52" s="126"/>
      <c r="KM52" s="127"/>
      <c r="KO52" s="38"/>
      <c r="KP52" s="83"/>
      <c r="KQ52" s="158"/>
      <c r="KR52" s="174"/>
      <c r="KS52" s="38"/>
      <c r="KT52" s="35"/>
      <c r="KV52" s="54"/>
      <c r="KW52" s="64"/>
      <c r="KX52" s="69"/>
      <c r="KY52" s="126"/>
      <c r="KZ52" s="127"/>
      <c r="LB52" s="38">
        <v>1</v>
      </c>
      <c r="LC52" s="83">
        <v>1</v>
      </c>
      <c r="LD52" s="158">
        <v>1</v>
      </c>
      <c r="LE52" s="174">
        <v>1</v>
      </c>
      <c r="LF52" s="38"/>
      <c r="LG52" s="35"/>
      <c r="LI52" s="54"/>
      <c r="LJ52" s="64"/>
      <c r="LK52" s="69"/>
      <c r="LL52" s="126"/>
      <c r="LM52" s="127"/>
      <c r="LO52" s="38"/>
      <c r="LP52" s="83"/>
      <c r="LQ52" s="158"/>
      <c r="LR52" s="174"/>
      <c r="LS52" s="38"/>
      <c r="LT52" s="35"/>
      <c r="LV52" s="54"/>
      <c r="LW52" s="64"/>
      <c r="LX52" s="69"/>
      <c r="LY52" s="126"/>
      <c r="LZ52" s="127"/>
      <c r="MB52" s="38"/>
      <c r="MC52" s="83"/>
      <c r="MD52" s="158"/>
      <c r="ME52" s="174"/>
      <c r="MF52" s="38"/>
      <c r="MG52" s="35"/>
      <c r="MI52" s="54"/>
      <c r="MJ52" s="64"/>
      <c r="MK52" s="69"/>
      <c r="ML52" s="126"/>
      <c r="MM52" s="127"/>
      <c r="MO52" s="38"/>
      <c r="MP52" s="83"/>
      <c r="MQ52" s="158"/>
      <c r="MR52" s="174"/>
      <c r="MT52" s="4">
        <f t="shared" si="10"/>
        <v>6</v>
      </c>
      <c r="NC52" s="21"/>
      <c r="ND52" s="128"/>
      <c r="NE52" s="54"/>
    </row>
    <row r="53" spans="1:369" x14ac:dyDescent="0.15">
      <c r="A53" s="2" t="s">
        <v>36</v>
      </c>
      <c r="C53" s="21"/>
      <c r="D53" s="128"/>
      <c r="E53" s="54"/>
      <c r="F53" s="64"/>
      <c r="G53" s="69"/>
      <c r="H53" s="127"/>
      <c r="J53" s="21"/>
      <c r="K53" s="128"/>
      <c r="L53" s="54"/>
      <c r="M53" s="64"/>
      <c r="N53" s="69"/>
      <c r="O53" s="127"/>
      <c r="Q53" s="21"/>
      <c r="R53" s="128"/>
      <c r="S53" s="54"/>
      <c r="T53" s="64"/>
      <c r="U53" s="69"/>
      <c r="V53" s="127"/>
      <c r="W53">
        <v>1</v>
      </c>
      <c r="X53" s="21"/>
      <c r="Y53" s="128"/>
      <c r="Z53" s="54"/>
      <c r="AA53" s="64"/>
      <c r="AB53" s="69"/>
      <c r="AC53" s="127"/>
      <c r="AE53" s="21"/>
      <c r="AF53" s="128"/>
      <c r="AG53" s="54"/>
      <c r="AH53" s="64"/>
      <c r="AI53" s="69"/>
      <c r="AJ53" s="127"/>
      <c r="AL53" s="21"/>
      <c r="AM53" s="128"/>
      <c r="AN53" s="54"/>
      <c r="AO53" s="64"/>
      <c r="AP53" s="69"/>
      <c r="AQ53" s="127"/>
      <c r="AS53" s="21"/>
      <c r="AT53" s="128"/>
      <c r="AU53" s="54"/>
      <c r="AV53" s="64"/>
      <c r="AW53" s="69"/>
      <c r="AX53" s="127"/>
      <c r="AZ53" s="21"/>
      <c r="BA53" s="128"/>
      <c r="BB53" s="54"/>
      <c r="BC53" s="64"/>
      <c r="BD53" s="69"/>
      <c r="BE53" s="127"/>
      <c r="BF53">
        <v>1</v>
      </c>
      <c r="BG53" s="21">
        <v>1</v>
      </c>
      <c r="BH53" s="128"/>
      <c r="BI53" s="54"/>
      <c r="BJ53" s="64"/>
      <c r="BK53" s="69"/>
      <c r="BL53" s="127"/>
      <c r="BN53" s="21"/>
      <c r="BO53" s="128"/>
      <c r="BP53" s="54"/>
      <c r="BQ53" s="64"/>
      <c r="BR53" s="69"/>
      <c r="BS53" s="127"/>
      <c r="BU53" s="21"/>
      <c r="BV53" s="128"/>
      <c r="BW53" s="54"/>
      <c r="BX53" s="64"/>
      <c r="BY53" s="69"/>
      <c r="BZ53" s="127"/>
      <c r="CB53" s="21">
        <v>1</v>
      </c>
      <c r="CC53" s="128"/>
      <c r="CD53" s="54">
        <v>1</v>
      </c>
      <c r="CE53" s="64"/>
      <c r="CF53" s="69"/>
      <c r="CG53" s="127"/>
      <c r="CI53" s="21"/>
      <c r="CJ53" s="128"/>
      <c r="CK53" s="54"/>
      <c r="CL53" s="64"/>
      <c r="CM53" s="69"/>
      <c r="CN53" s="127"/>
      <c r="CP53" s="21"/>
      <c r="CQ53" s="128"/>
      <c r="CR53" s="54"/>
      <c r="CS53" s="64"/>
      <c r="CT53" s="69"/>
      <c r="CV53" s="21"/>
      <c r="CW53" s="128"/>
      <c r="CX53" s="54"/>
      <c r="CY53" s="64"/>
      <c r="CZ53" s="69"/>
      <c r="DB53" s="21"/>
      <c r="DC53" s="128"/>
      <c r="DD53" s="54"/>
      <c r="DE53" s="64"/>
      <c r="DF53" s="69"/>
      <c r="DH53" s="21"/>
      <c r="DI53" s="128"/>
      <c r="DJ53" s="54"/>
      <c r="DK53" s="64"/>
      <c r="DL53" s="69"/>
      <c r="DN53" s="21"/>
      <c r="DO53" s="128"/>
      <c r="DP53" s="54"/>
      <c r="DQ53" s="64"/>
      <c r="DR53" s="69"/>
      <c r="DT53" s="21"/>
      <c r="DU53" s="128"/>
      <c r="DV53" s="54"/>
      <c r="DW53" s="64"/>
      <c r="DX53" s="69"/>
      <c r="DZ53" s="21"/>
      <c r="EA53" s="128"/>
      <c r="EB53" s="54"/>
      <c r="EC53" s="64"/>
      <c r="ED53" s="69"/>
      <c r="EF53" s="21"/>
      <c r="EG53" s="128"/>
      <c r="EH53" s="54"/>
      <c r="EI53" s="64"/>
      <c r="EJ53" s="69"/>
      <c r="EL53" s="21"/>
      <c r="EM53" s="128"/>
      <c r="EN53" s="54"/>
      <c r="EO53" s="64"/>
      <c r="EP53" s="69"/>
      <c r="ER53" s="21"/>
      <c r="ES53" s="128"/>
      <c r="ET53" s="54"/>
      <c r="EU53" s="64"/>
      <c r="EV53" s="69"/>
      <c r="EX53" s="21"/>
      <c r="EY53" s="128"/>
      <c r="EZ53" s="54"/>
      <c r="FA53" s="64"/>
      <c r="FB53" s="69"/>
      <c r="FD53" s="21"/>
      <c r="FE53" s="128"/>
      <c r="FF53" s="54"/>
      <c r="FG53" s="64"/>
      <c r="FH53" s="69"/>
      <c r="FJ53" s="21"/>
      <c r="FK53" s="128"/>
      <c r="FL53" s="54"/>
      <c r="FM53" s="64"/>
      <c r="FN53" s="69"/>
      <c r="FO53" s="128"/>
      <c r="FP53" s="54"/>
      <c r="FQ53" s="64"/>
      <c r="FR53" s="69"/>
      <c r="FT53" s="21"/>
      <c r="FU53" s="128"/>
      <c r="FV53" s="54"/>
      <c r="FW53" s="64"/>
      <c r="FX53" s="69"/>
      <c r="FZ53" s="21"/>
      <c r="GA53" s="128"/>
      <c r="GB53" s="54"/>
      <c r="GC53" s="64"/>
      <c r="GD53" s="69"/>
      <c r="GF53" s="21"/>
      <c r="GG53" s="128"/>
      <c r="GH53" s="54"/>
      <c r="GI53" s="64"/>
      <c r="GJ53" s="69"/>
      <c r="GL53" s="21"/>
      <c r="GM53" s="128"/>
      <c r="GN53" s="54"/>
      <c r="GO53" s="64"/>
      <c r="GP53" s="69"/>
      <c r="GR53" s="21"/>
      <c r="GS53" s="128">
        <v>1</v>
      </c>
      <c r="GT53" s="54">
        <v>1</v>
      </c>
      <c r="GU53" s="64"/>
      <c r="GV53" s="69"/>
      <c r="GX53" s="21"/>
      <c r="GY53" s="128"/>
      <c r="GZ53" s="54"/>
      <c r="HA53" s="64"/>
      <c r="HB53" s="69"/>
      <c r="HD53" s="21"/>
      <c r="HE53" s="128"/>
      <c r="HF53" s="54"/>
      <c r="HG53" s="64"/>
      <c r="HH53" s="69"/>
      <c r="HJ53" s="21"/>
      <c r="HK53" s="128"/>
      <c r="HL53" s="54"/>
      <c r="HM53" s="64"/>
      <c r="HN53" s="69"/>
      <c r="HP53" s="21"/>
      <c r="HQ53" s="128"/>
      <c r="HR53" s="54"/>
      <c r="HS53" s="64"/>
      <c r="HT53" s="69"/>
      <c r="HV53" s="21"/>
      <c r="HW53" s="128"/>
      <c r="HX53" s="54"/>
      <c r="HY53" s="64"/>
      <c r="HZ53" s="69"/>
      <c r="IB53" s="21"/>
      <c r="IC53" s="128"/>
      <c r="ID53" s="54"/>
      <c r="IE53" s="64"/>
      <c r="IF53" s="69"/>
      <c r="IH53" s="21"/>
      <c r="IJ53" s="21"/>
      <c r="IK53" s="128"/>
      <c r="IL53" s="54"/>
      <c r="IM53" s="64"/>
      <c r="IN53" s="69"/>
      <c r="IP53" s="21"/>
      <c r="IQ53" s="128"/>
      <c r="IR53" s="54"/>
      <c r="IS53" s="64"/>
      <c r="IT53" s="69"/>
      <c r="IV53" s="21"/>
      <c r="IW53" s="128"/>
      <c r="IX53" s="54"/>
      <c r="IY53" s="64"/>
      <c r="IZ53" s="69"/>
      <c r="JB53" s="21"/>
      <c r="JC53" s="128"/>
      <c r="JD53" s="54"/>
      <c r="JE53" s="64"/>
      <c r="JF53" s="69"/>
      <c r="JH53" s="21"/>
      <c r="JI53" s="128"/>
      <c r="JJ53" s="54"/>
      <c r="JK53" s="64"/>
      <c r="JL53" s="69"/>
      <c r="JN53" s="21"/>
      <c r="JO53" s="128"/>
      <c r="JP53" s="54"/>
      <c r="JQ53" s="64"/>
      <c r="JR53" s="69"/>
      <c r="JT53" s="21"/>
      <c r="JU53" s="128"/>
      <c r="JV53" s="54"/>
      <c r="JW53" s="64"/>
      <c r="JX53" s="69"/>
      <c r="JZ53" s="21"/>
      <c r="KA53" s="128"/>
      <c r="KB53" s="54"/>
      <c r="KC53" s="64"/>
      <c r="KD53" s="69"/>
      <c r="KF53" s="38"/>
      <c r="KG53" s="35"/>
      <c r="KI53" s="54"/>
      <c r="KJ53" s="64"/>
      <c r="KK53" s="69"/>
      <c r="KL53" s="126"/>
      <c r="KM53" s="127"/>
      <c r="KO53" s="38"/>
      <c r="KP53" s="83"/>
      <c r="KQ53" s="158"/>
      <c r="KR53" s="174"/>
      <c r="KS53" s="38"/>
      <c r="KT53" s="35"/>
      <c r="KV53" s="54"/>
      <c r="KW53" s="64"/>
      <c r="KX53" s="69"/>
      <c r="KY53" s="126"/>
      <c r="KZ53" s="127"/>
      <c r="LB53" s="38"/>
      <c r="LC53" s="83"/>
      <c r="LD53" s="158"/>
      <c r="LE53" s="174"/>
      <c r="LF53" s="38"/>
      <c r="LG53" s="35"/>
      <c r="LI53" s="54"/>
      <c r="LJ53" s="64"/>
      <c r="LK53" s="69"/>
      <c r="LL53" s="126"/>
      <c r="LM53" s="127"/>
      <c r="LO53" s="38"/>
      <c r="LP53" s="83"/>
      <c r="LQ53" s="158"/>
      <c r="LR53" s="174"/>
      <c r="LS53" s="38"/>
      <c r="LT53" s="35"/>
      <c r="LV53" s="54"/>
      <c r="LW53" s="64"/>
      <c r="LX53" s="69"/>
      <c r="LY53" s="126"/>
      <c r="LZ53" s="127"/>
      <c r="MB53" s="38"/>
      <c r="MC53" s="83"/>
      <c r="MD53" s="158"/>
      <c r="ME53" s="174"/>
      <c r="MF53" s="38"/>
      <c r="MG53" s="35"/>
      <c r="MI53" s="54"/>
      <c r="MJ53" s="64"/>
      <c r="MK53" s="69"/>
      <c r="ML53" s="126"/>
      <c r="MM53" s="127"/>
      <c r="MO53" s="38"/>
      <c r="MP53" s="83"/>
      <c r="MQ53" s="158"/>
      <c r="MR53" s="174"/>
      <c r="MT53" s="4">
        <f t="shared" si="10"/>
        <v>7</v>
      </c>
      <c r="NC53" s="21"/>
      <c r="ND53" s="128"/>
      <c r="NE53" s="54"/>
    </row>
    <row r="54" spans="1:369" x14ac:dyDescent="0.15">
      <c r="A54" s="2" t="s">
        <v>50</v>
      </c>
      <c r="B54" s="17"/>
      <c r="C54" s="21"/>
      <c r="D54" s="128">
        <v>1</v>
      </c>
      <c r="E54" s="54">
        <v>1</v>
      </c>
      <c r="F54" s="64">
        <v>2</v>
      </c>
      <c r="G54" s="69">
        <v>1</v>
      </c>
      <c r="H54" s="127">
        <v>1</v>
      </c>
      <c r="J54" s="21"/>
      <c r="K54" s="128"/>
      <c r="L54" s="54"/>
      <c r="M54" s="64">
        <v>1</v>
      </c>
      <c r="N54" s="69">
        <v>1</v>
      </c>
      <c r="O54" s="127">
        <v>1</v>
      </c>
      <c r="Q54" s="21"/>
      <c r="R54" s="128"/>
      <c r="S54" s="54"/>
      <c r="T54" s="64"/>
      <c r="U54" s="69"/>
      <c r="V54" s="127"/>
      <c r="X54" s="21"/>
      <c r="Y54" s="128"/>
      <c r="Z54" s="54"/>
      <c r="AA54" s="64"/>
      <c r="AB54" s="69"/>
      <c r="AC54" s="127">
        <v>1</v>
      </c>
      <c r="AE54" s="21"/>
      <c r="AF54" s="128"/>
      <c r="AG54" s="54"/>
      <c r="AH54" s="64"/>
      <c r="AI54" s="69"/>
      <c r="AJ54" s="127"/>
      <c r="AL54" s="21"/>
      <c r="AM54" s="128"/>
      <c r="AN54" s="54">
        <v>2</v>
      </c>
      <c r="AO54" s="64">
        <v>2</v>
      </c>
      <c r="AP54" s="69">
        <v>1</v>
      </c>
      <c r="AQ54" s="127">
        <v>1</v>
      </c>
      <c r="AS54" s="21"/>
      <c r="AT54" s="128"/>
      <c r="AU54" s="54"/>
      <c r="AV54" s="64"/>
      <c r="AW54" s="69"/>
      <c r="AX54" s="127">
        <v>1</v>
      </c>
      <c r="AZ54" s="21"/>
      <c r="BA54" s="128"/>
      <c r="BB54" s="54"/>
      <c r="BC54" s="64"/>
      <c r="BD54" s="69"/>
      <c r="BE54" s="127"/>
      <c r="BG54" s="21"/>
      <c r="BH54" s="128"/>
      <c r="BI54" s="54">
        <v>1</v>
      </c>
      <c r="BJ54" s="64"/>
      <c r="BK54" s="69"/>
      <c r="BL54" s="127"/>
      <c r="BN54" s="21"/>
      <c r="BO54" s="128">
        <v>1</v>
      </c>
      <c r="BP54" s="54"/>
      <c r="BQ54" s="64"/>
      <c r="BR54" s="69">
        <v>1</v>
      </c>
      <c r="BS54" s="127">
        <v>1</v>
      </c>
      <c r="BU54" s="21"/>
      <c r="BV54" s="128"/>
      <c r="BW54" s="54">
        <v>1</v>
      </c>
      <c r="BX54" s="64">
        <v>1</v>
      </c>
      <c r="BY54" s="69">
        <v>1</v>
      </c>
      <c r="BZ54" s="127">
        <v>1</v>
      </c>
      <c r="CB54" s="21"/>
      <c r="CC54" s="128"/>
      <c r="CD54" s="54"/>
      <c r="CE54" s="64"/>
      <c r="CF54" s="69"/>
      <c r="CG54" s="127"/>
      <c r="CI54" s="21"/>
      <c r="CJ54" s="128"/>
      <c r="CK54" s="54"/>
      <c r="CL54" s="64"/>
      <c r="CM54" s="69"/>
      <c r="CN54" s="127"/>
      <c r="CP54" s="21"/>
      <c r="CQ54" s="128"/>
      <c r="CR54" s="54"/>
      <c r="CS54" s="64"/>
      <c r="CT54" s="69"/>
      <c r="CV54" s="21"/>
      <c r="CW54" s="128"/>
      <c r="CX54" s="54"/>
      <c r="CY54" s="64"/>
      <c r="CZ54" s="69"/>
      <c r="DB54" s="21">
        <v>1</v>
      </c>
      <c r="DC54" s="128">
        <v>1</v>
      </c>
      <c r="DD54" s="54">
        <v>2</v>
      </c>
      <c r="DE54" s="64">
        <v>1</v>
      </c>
      <c r="DF54" s="69">
        <v>1</v>
      </c>
      <c r="DH54" s="21"/>
      <c r="DI54" s="128"/>
      <c r="DJ54" s="54"/>
      <c r="DK54" s="64"/>
      <c r="DL54" s="69"/>
      <c r="DN54" s="21"/>
      <c r="DO54" s="128"/>
      <c r="DP54" s="54"/>
      <c r="DQ54" s="64"/>
      <c r="DR54" s="69"/>
      <c r="DT54" s="21"/>
      <c r="DU54" s="128"/>
      <c r="DV54" s="54"/>
      <c r="DW54" s="64"/>
      <c r="DX54" s="69"/>
      <c r="DZ54" s="21"/>
      <c r="EA54" s="128"/>
      <c r="EB54" s="54"/>
      <c r="EC54" s="64"/>
      <c r="ED54" s="69"/>
      <c r="EF54" s="21"/>
      <c r="EG54" s="128"/>
      <c r="EH54" s="54"/>
      <c r="EI54" s="64"/>
      <c r="EJ54" s="69"/>
      <c r="EL54" s="21"/>
      <c r="EM54" s="128"/>
      <c r="EN54" s="54"/>
      <c r="EO54" s="64"/>
      <c r="EP54" s="69"/>
      <c r="ER54" s="21"/>
      <c r="ES54" s="128"/>
      <c r="ET54" s="54"/>
      <c r="EU54" s="64"/>
      <c r="EV54" s="69"/>
      <c r="EX54" s="21"/>
      <c r="EY54" s="128"/>
      <c r="EZ54" s="54"/>
      <c r="FA54" s="64"/>
      <c r="FB54" s="69"/>
      <c r="FD54" s="21"/>
      <c r="FE54" s="128"/>
      <c r="FF54" s="54"/>
      <c r="FG54" s="64"/>
      <c r="FH54" s="69"/>
      <c r="FJ54" s="21"/>
      <c r="FK54" s="128"/>
      <c r="FL54" s="54"/>
      <c r="FM54" s="64"/>
      <c r="FN54" s="69"/>
      <c r="FO54" s="128"/>
      <c r="FP54" s="54"/>
      <c r="FQ54" s="64"/>
      <c r="FR54" s="69"/>
      <c r="FT54" s="21"/>
      <c r="FU54" s="128"/>
      <c r="FV54" s="54"/>
      <c r="FW54" s="64"/>
      <c r="FX54" s="69"/>
      <c r="FZ54" s="21"/>
      <c r="GA54" s="128"/>
      <c r="GB54" s="54"/>
      <c r="GC54" s="64"/>
      <c r="GD54" s="69"/>
      <c r="GF54" s="21"/>
      <c r="GG54" s="128"/>
      <c r="GH54" s="54"/>
      <c r="GI54" s="64"/>
      <c r="GJ54" s="69"/>
      <c r="GL54" s="21"/>
      <c r="GM54" s="128"/>
      <c r="GN54" s="54"/>
      <c r="GO54" s="64"/>
      <c r="GP54" s="69"/>
      <c r="GR54" s="21"/>
      <c r="GS54" s="128"/>
      <c r="GT54" s="54"/>
      <c r="GU54" s="64"/>
      <c r="GV54" s="69"/>
      <c r="GX54" s="21"/>
      <c r="GY54" s="128"/>
      <c r="GZ54" s="54"/>
      <c r="HA54" s="64"/>
      <c r="HB54" s="69"/>
      <c r="HD54" s="21"/>
      <c r="HE54" s="128"/>
      <c r="HF54" s="54"/>
      <c r="HG54" s="64"/>
      <c r="HH54" s="69"/>
      <c r="HJ54" s="21"/>
      <c r="HK54" s="128"/>
      <c r="HL54" s="54"/>
      <c r="HM54" s="64"/>
      <c r="HN54" s="69"/>
      <c r="HP54" s="21"/>
      <c r="HQ54" s="128"/>
      <c r="HR54" s="54"/>
      <c r="HS54" s="64"/>
      <c r="HT54" s="69"/>
      <c r="HV54" s="21"/>
      <c r="HW54" s="128"/>
      <c r="HX54" s="54"/>
      <c r="HY54" s="64"/>
      <c r="HZ54" s="69"/>
      <c r="IB54" s="21"/>
      <c r="IC54" s="128"/>
      <c r="ID54" s="54"/>
      <c r="IE54" s="64"/>
      <c r="IF54" s="69"/>
      <c r="IH54" s="21"/>
      <c r="IJ54" s="21"/>
      <c r="IK54" s="128"/>
      <c r="IL54" s="54"/>
      <c r="IM54" s="64"/>
      <c r="IN54" s="69"/>
      <c r="IP54" s="21"/>
      <c r="IQ54" s="128"/>
      <c r="IR54" s="54"/>
      <c r="IS54" s="64"/>
      <c r="IT54" s="69"/>
      <c r="IV54" s="21"/>
      <c r="IW54" s="128"/>
      <c r="IX54" s="54"/>
      <c r="IY54" s="64"/>
      <c r="IZ54" s="69"/>
      <c r="JB54" s="21"/>
      <c r="JC54" s="128"/>
      <c r="JD54" s="54"/>
      <c r="JE54" s="64"/>
      <c r="JF54" s="69"/>
      <c r="JH54" s="21"/>
      <c r="JI54" s="128"/>
      <c r="JJ54" s="54"/>
      <c r="JK54" s="64"/>
      <c r="JL54" s="69"/>
      <c r="JN54" s="21"/>
      <c r="JO54" s="128"/>
      <c r="JP54" s="54"/>
      <c r="JQ54" s="64"/>
      <c r="JR54" s="69"/>
      <c r="JT54" s="21"/>
      <c r="JU54" s="128"/>
      <c r="JV54" s="54"/>
      <c r="JW54" s="64"/>
      <c r="JX54" s="69"/>
      <c r="JZ54" s="21"/>
      <c r="KA54" s="128"/>
      <c r="KB54" s="54"/>
      <c r="KC54" s="64"/>
      <c r="KD54" s="69"/>
      <c r="KF54" s="38"/>
      <c r="KG54" s="35"/>
      <c r="KI54" s="54"/>
      <c r="KJ54" s="64"/>
      <c r="KK54" s="69"/>
      <c r="KL54" s="126"/>
      <c r="KM54" s="127"/>
      <c r="KO54" s="38"/>
      <c r="KP54" s="83"/>
      <c r="KQ54" s="158"/>
      <c r="KR54" s="174"/>
      <c r="KS54" s="38"/>
      <c r="KT54" s="35">
        <v>1</v>
      </c>
      <c r="KV54" s="54"/>
      <c r="KW54" s="64"/>
      <c r="KX54" s="69"/>
      <c r="KY54" s="126">
        <v>2</v>
      </c>
      <c r="KZ54" s="127">
        <v>2</v>
      </c>
      <c r="LA54" s="4">
        <v>1</v>
      </c>
      <c r="LB54" s="38">
        <v>1</v>
      </c>
      <c r="LC54" s="83">
        <v>1</v>
      </c>
      <c r="LD54" s="158">
        <v>1</v>
      </c>
      <c r="LE54" s="174">
        <v>1</v>
      </c>
      <c r="LF54" s="38"/>
      <c r="LG54" s="35"/>
      <c r="LI54" s="54"/>
      <c r="LJ54" s="64">
        <v>1</v>
      </c>
      <c r="LK54" s="69">
        <v>1</v>
      </c>
      <c r="LL54" s="126">
        <v>1</v>
      </c>
      <c r="LM54" s="127">
        <v>1</v>
      </c>
      <c r="LO54" s="38"/>
      <c r="LP54" s="83"/>
      <c r="LQ54" s="158"/>
      <c r="LR54" s="174"/>
      <c r="LS54" s="38"/>
      <c r="LT54" s="35"/>
      <c r="LV54" s="54"/>
      <c r="LW54" s="64"/>
      <c r="LX54" s="69"/>
      <c r="LY54" s="126"/>
      <c r="LZ54" s="127"/>
      <c r="MB54" s="38"/>
      <c r="MC54" s="83"/>
      <c r="MD54" s="158"/>
      <c r="ME54" s="174"/>
      <c r="MF54" s="38"/>
      <c r="MG54" s="35"/>
      <c r="MI54" s="54"/>
      <c r="MJ54" s="64"/>
      <c r="MK54" s="69"/>
      <c r="ML54" s="126"/>
      <c r="MM54" s="127"/>
      <c r="MO54" s="38"/>
      <c r="MP54" s="83"/>
      <c r="MQ54" s="158"/>
      <c r="MR54" s="174"/>
      <c r="MT54" s="4">
        <f t="shared" si="10"/>
        <v>39</v>
      </c>
      <c r="NC54" s="21"/>
      <c r="ND54" s="128"/>
      <c r="NE54" s="54"/>
    </row>
    <row r="55" spans="1:369" x14ac:dyDescent="0.15">
      <c r="A55" s="2" t="s">
        <v>231</v>
      </c>
      <c r="B55" s="17"/>
      <c r="C55" s="21"/>
      <c r="D55" s="128"/>
      <c r="E55" s="54"/>
      <c r="F55" s="64"/>
      <c r="G55" s="69"/>
      <c r="H55" s="127"/>
      <c r="J55" s="21"/>
      <c r="K55" s="128"/>
      <c r="L55" s="54"/>
      <c r="M55" s="64"/>
      <c r="N55" s="69"/>
      <c r="O55" s="127"/>
      <c r="Q55" s="21"/>
      <c r="R55" s="128"/>
      <c r="S55" s="54"/>
      <c r="T55" s="64"/>
      <c r="U55" s="69"/>
      <c r="V55" s="127"/>
      <c r="X55" s="21"/>
      <c r="Y55" s="128"/>
      <c r="Z55" s="54"/>
      <c r="AA55" s="64"/>
      <c r="AB55" s="69"/>
      <c r="AC55" s="127"/>
      <c r="AE55" s="21"/>
      <c r="AF55" s="128"/>
      <c r="AG55" s="54"/>
      <c r="AH55" s="64"/>
      <c r="AI55" s="69"/>
      <c r="AJ55" s="127"/>
      <c r="AL55" s="21"/>
      <c r="AM55" s="128"/>
      <c r="AN55" s="54"/>
      <c r="AO55" s="64"/>
      <c r="AP55" s="69">
        <v>1</v>
      </c>
      <c r="AQ55" s="127"/>
      <c r="AS55" s="21"/>
      <c r="AT55" s="128"/>
      <c r="AU55" s="54"/>
      <c r="AV55" s="64"/>
      <c r="AW55" s="69"/>
      <c r="AX55" s="127">
        <v>1</v>
      </c>
      <c r="AZ55" s="21"/>
      <c r="BA55" s="128"/>
      <c r="BB55" s="54"/>
      <c r="BC55" s="64"/>
      <c r="BD55" s="69"/>
      <c r="BE55" s="127"/>
      <c r="BG55" s="21"/>
      <c r="BH55" s="128"/>
      <c r="BI55" s="54"/>
      <c r="BJ55" s="64"/>
      <c r="BK55" s="69"/>
      <c r="BL55" s="127"/>
      <c r="BN55" s="21"/>
      <c r="BO55" s="128"/>
      <c r="BP55" s="54"/>
      <c r="BQ55" s="64"/>
      <c r="BR55" s="69"/>
      <c r="BS55" s="127"/>
      <c r="BU55" s="21"/>
      <c r="BV55" s="128"/>
      <c r="BW55" s="54"/>
      <c r="BX55" s="64"/>
      <c r="BY55" s="69"/>
      <c r="BZ55" s="127"/>
      <c r="CB55" s="21"/>
      <c r="CC55" s="128"/>
      <c r="CD55" s="54"/>
      <c r="CE55" s="64"/>
      <c r="CF55" s="69"/>
      <c r="CG55" s="127"/>
      <c r="CI55" s="21"/>
      <c r="CJ55" s="128"/>
      <c r="CK55" s="54"/>
      <c r="CL55" s="64"/>
      <c r="CM55" s="69"/>
      <c r="CN55" s="127"/>
      <c r="CP55" s="21"/>
      <c r="CQ55" s="128"/>
      <c r="CR55" s="54"/>
      <c r="CS55" s="64"/>
      <c r="CT55" s="69"/>
      <c r="CV55" s="21"/>
      <c r="CW55" s="128"/>
      <c r="CX55" s="54"/>
      <c r="CY55" s="64"/>
      <c r="CZ55" s="69"/>
      <c r="DB55" s="21"/>
      <c r="DC55" s="128"/>
      <c r="DD55" s="54"/>
      <c r="DE55" s="64"/>
      <c r="DF55" s="69"/>
      <c r="DH55" s="21"/>
      <c r="DI55" s="128"/>
      <c r="DJ55" s="54"/>
      <c r="DK55" s="64"/>
      <c r="DL55" s="69"/>
      <c r="DN55" s="21"/>
      <c r="DO55" s="128"/>
      <c r="DP55" s="54"/>
      <c r="DQ55" s="64"/>
      <c r="DR55" s="69"/>
      <c r="DT55" s="21"/>
      <c r="DU55" s="128"/>
      <c r="DV55" s="54"/>
      <c r="DW55" s="64"/>
      <c r="DX55" s="69"/>
      <c r="DZ55" s="21"/>
      <c r="EA55" s="128"/>
      <c r="EB55" s="54"/>
      <c r="EC55" s="64"/>
      <c r="ED55" s="69"/>
      <c r="EF55" s="21"/>
      <c r="EG55" s="128"/>
      <c r="EH55" s="54"/>
      <c r="EI55" s="64"/>
      <c r="EJ55" s="69"/>
      <c r="EL55" s="21"/>
      <c r="EM55" s="128"/>
      <c r="EN55" s="54"/>
      <c r="EO55" s="64"/>
      <c r="EP55" s="69"/>
      <c r="ER55" s="21"/>
      <c r="ES55" s="128"/>
      <c r="ET55" s="54"/>
      <c r="EU55" s="64"/>
      <c r="EV55" s="69"/>
      <c r="EX55" s="21"/>
      <c r="EY55" s="128"/>
      <c r="EZ55" s="54"/>
      <c r="FA55" s="64"/>
      <c r="FB55" s="69"/>
      <c r="FD55" s="21"/>
      <c r="FE55" s="128"/>
      <c r="FF55" s="54"/>
      <c r="FG55" s="64"/>
      <c r="FH55" s="69"/>
      <c r="FJ55" s="21"/>
      <c r="FK55" s="128"/>
      <c r="FL55" s="54"/>
      <c r="FM55" s="64"/>
      <c r="FN55" s="69"/>
      <c r="FO55" s="128"/>
      <c r="FP55" s="54"/>
      <c r="FQ55" s="64"/>
      <c r="FR55" s="69"/>
      <c r="FT55" s="21"/>
      <c r="FU55" s="128"/>
      <c r="FV55" s="54"/>
      <c r="FW55" s="64"/>
      <c r="FX55" s="69"/>
      <c r="FZ55" s="21"/>
      <c r="GA55" s="128"/>
      <c r="GB55" s="54"/>
      <c r="GC55" s="64"/>
      <c r="GD55" s="69"/>
      <c r="GF55" s="21"/>
      <c r="GG55" s="128"/>
      <c r="GH55" s="54"/>
      <c r="GI55" s="64"/>
      <c r="GJ55" s="69"/>
      <c r="GL55" s="21"/>
      <c r="GM55" s="128"/>
      <c r="GN55" s="54"/>
      <c r="GO55" s="64"/>
      <c r="GP55" s="69"/>
      <c r="GR55" s="21"/>
      <c r="GS55" s="128"/>
      <c r="GT55" s="54"/>
      <c r="GU55" s="64"/>
      <c r="GV55" s="69"/>
      <c r="GX55" s="21"/>
      <c r="GY55" s="128"/>
      <c r="GZ55" s="54"/>
      <c r="HA55" s="64"/>
      <c r="HB55" s="69"/>
      <c r="HD55" s="21"/>
      <c r="HE55" s="128"/>
      <c r="HF55" s="54"/>
      <c r="HG55" s="64"/>
      <c r="HH55" s="69"/>
      <c r="HJ55" s="21"/>
      <c r="HK55" s="128"/>
      <c r="HL55" s="54"/>
      <c r="HM55" s="64"/>
      <c r="HN55" s="69"/>
      <c r="HP55" s="21"/>
      <c r="HQ55" s="128"/>
      <c r="HR55" s="54"/>
      <c r="HS55" s="64"/>
      <c r="HT55" s="69"/>
      <c r="HV55" s="21"/>
      <c r="HW55" s="128"/>
      <c r="HX55" s="54"/>
      <c r="HY55" s="64"/>
      <c r="HZ55" s="69"/>
      <c r="IB55" s="21"/>
      <c r="IC55" s="128"/>
      <c r="ID55" s="54"/>
      <c r="IE55" s="64"/>
      <c r="IF55" s="69"/>
      <c r="IH55" s="21"/>
      <c r="IJ55" s="21"/>
      <c r="IK55" s="128"/>
      <c r="IL55" s="54"/>
      <c r="IM55" s="64"/>
      <c r="IN55" s="69"/>
      <c r="IP55" s="21"/>
      <c r="IQ55" s="128"/>
      <c r="IR55" s="54"/>
      <c r="IS55" s="64"/>
      <c r="IT55" s="69"/>
      <c r="IV55" s="21"/>
      <c r="IW55" s="128"/>
      <c r="IX55" s="54"/>
      <c r="IY55" s="64"/>
      <c r="IZ55" s="69"/>
      <c r="JB55" s="21"/>
      <c r="JC55" s="128"/>
      <c r="JD55" s="54"/>
      <c r="JE55" s="64"/>
      <c r="JF55" s="69"/>
      <c r="JH55" s="21"/>
      <c r="JI55" s="128"/>
      <c r="JJ55" s="54"/>
      <c r="JK55" s="64"/>
      <c r="JL55" s="69"/>
      <c r="JN55" s="21"/>
      <c r="JO55" s="128"/>
      <c r="JP55" s="54"/>
      <c r="JQ55" s="64"/>
      <c r="JR55" s="69"/>
      <c r="JT55" s="21"/>
      <c r="JU55" s="128"/>
      <c r="JV55" s="54"/>
      <c r="JW55" s="64"/>
      <c r="JX55" s="69"/>
      <c r="JZ55" s="21"/>
      <c r="KA55" s="128"/>
      <c r="KB55" s="54"/>
      <c r="KC55" s="64"/>
      <c r="KD55" s="69"/>
      <c r="KF55" s="38"/>
      <c r="KG55" s="35"/>
      <c r="KI55" s="54"/>
      <c r="KJ55" s="64"/>
      <c r="KK55" s="69"/>
      <c r="KL55" s="126"/>
      <c r="KM55" s="127"/>
      <c r="KO55" s="38"/>
      <c r="KP55" s="83"/>
      <c r="KQ55" s="158"/>
      <c r="KR55" s="174"/>
      <c r="KS55" s="38"/>
      <c r="KT55" s="35"/>
      <c r="KV55" s="54"/>
      <c r="KW55" s="64"/>
      <c r="KX55" s="69"/>
      <c r="KY55" s="126"/>
      <c r="KZ55" s="127"/>
      <c r="LB55" s="38"/>
      <c r="LC55" s="83"/>
      <c r="LD55" s="158"/>
      <c r="LE55" s="174"/>
      <c r="LF55" s="38"/>
      <c r="LG55" s="35"/>
      <c r="LI55" s="54"/>
      <c r="LJ55" s="64"/>
      <c r="LK55" s="69"/>
      <c r="LL55" s="126"/>
      <c r="LM55" s="127"/>
      <c r="LO55" s="38"/>
      <c r="LP55" s="83"/>
      <c r="LQ55" s="158"/>
      <c r="LR55" s="174"/>
      <c r="LS55" s="38"/>
      <c r="LT55" s="35"/>
      <c r="LV55" s="54"/>
      <c r="LW55" s="64"/>
      <c r="LX55" s="69"/>
      <c r="LY55" s="126"/>
      <c r="LZ55" s="127"/>
      <c r="MB55" s="38"/>
      <c r="MC55" s="83"/>
      <c r="MD55" s="158"/>
      <c r="ME55" s="174"/>
      <c r="MF55" s="38"/>
      <c r="MG55" s="35"/>
      <c r="MI55" s="54"/>
      <c r="MJ55" s="64"/>
      <c r="MK55" s="69"/>
      <c r="ML55" s="126"/>
      <c r="MM55" s="127"/>
      <c r="MO55" s="38"/>
      <c r="MP55" s="83"/>
      <c r="MQ55" s="158"/>
      <c r="MR55" s="174"/>
      <c r="MT55" s="4">
        <f t="shared" si="10"/>
        <v>2</v>
      </c>
      <c r="NC55" s="21"/>
      <c r="ND55" s="128"/>
      <c r="NE55" s="54"/>
    </row>
    <row r="56" spans="1:369" x14ac:dyDescent="0.15">
      <c r="A56" s="2" t="s">
        <v>58</v>
      </c>
      <c r="B56" s="17"/>
      <c r="C56" s="21"/>
      <c r="D56" s="128"/>
      <c r="E56" s="54"/>
      <c r="F56" s="64">
        <v>1</v>
      </c>
      <c r="G56" s="69">
        <v>1</v>
      </c>
      <c r="H56" s="127">
        <v>1</v>
      </c>
      <c r="J56" s="21"/>
      <c r="K56" s="128"/>
      <c r="L56" s="54">
        <v>1</v>
      </c>
      <c r="M56" s="64">
        <v>1</v>
      </c>
      <c r="N56" s="69">
        <v>1</v>
      </c>
      <c r="O56" s="127">
        <v>1</v>
      </c>
      <c r="Q56" s="21"/>
      <c r="R56" s="128">
        <v>1</v>
      </c>
      <c r="S56" s="54">
        <v>1</v>
      </c>
      <c r="T56" s="64">
        <v>1</v>
      </c>
      <c r="U56" s="69">
        <v>1</v>
      </c>
      <c r="V56" s="127">
        <v>1</v>
      </c>
      <c r="X56" s="21"/>
      <c r="Y56" s="128"/>
      <c r="Z56" s="54">
        <v>1</v>
      </c>
      <c r="AA56" s="64">
        <v>1</v>
      </c>
      <c r="AB56" s="69">
        <v>1</v>
      </c>
      <c r="AC56" s="127"/>
      <c r="AE56" s="21"/>
      <c r="AF56" s="128">
        <v>1</v>
      </c>
      <c r="AG56" s="54"/>
      <c r="AH56" s="64"/>
      <c r="AI56" s="69">
        <v>1</v>
      </c>
      <c r="AJ56" s="127">
        <v>1</v>
      </c>
      <c r="AL56" s="21"/>
      <c r="AM56" s="128"/>
      <c r="AN56" s="54">
        <v>1</v>
      </c>
      <c r="AO56" s="64">
        <v>1</v>
      </c>
      <c r="AP56" s="69">
        <v>1</v>
      </c>
      <c r="AQ56" s="127"/>
      <c r="AS56" s="21"/>
      <c r="AT56" s="128"/>
      <c r="AU56" s="54"/>
      <c r="AV56" s="64"/>
      <c r="AW56" s="69"/>
      <c r="AX56" s="127"/>
      <c r="AZ56" s="21"/>
      <c r="BA56" s="128"/>
      <c r="BB56" s="54"/>
      <c r="BC56" s="64"/>
      <c r="BD56" s="69"/>
      <c r="BE56" s="127"/>
      <c r="BG56" s="21"/>
      <c r="BH56" s="128"/>
      <c r="BI56" s="54">
        <v>1</v>
      </c>
      <c r="BJ56" s="64"/>
      <c r="BK56" s="69"/>
      <c r="BL56" s="127"/>
      <c r="BN56" s="21"/>
      <c r="BO56" s="128"/>
      <c r="BP56" s="54"/>
      <c r="BQ56" s="64">
        <v>1</v>
      </c>
      <c r="BR56" s="69"/>
      <c r="BS56" s="127"/>
      <c r="BU56" s="21"/>
      <c r="BV56" s="128"/>
      <c r="BW56" s="54"/>
      <c r="BX56" s="64"/>
      <c r="BY56" s="69"/>
      <c r="BZ56" s="127"/>
      <c r="CB56" s="21"/>
      <c r="CC56" s="128"/>
      <c r="CD56" s="54"/>
      <c r="CE56" s="64"/>
      <c r="CF56" s="69"/>
      <c r="CG56" s="127"/>
      <c r="CI56" s="21"/>
      <c r="CJ56" s="128"/>
      <c r="CK56" s="54"/>
      <c r="CL56" s="64"/>
      <c r="CM56" s="69"/>
      <c r="CN56" s="127"/>
      <c r="CP56" s="21"/>
      <c r="CQ56" s="128"/>
      <c r="CR56" s="54"/>
      <c r="CS56" s="64"/>
      <c r="CT56" s="69"/>
      <c r="CV56" s="21"/>
      <c r="CW56" s="128"/>
      <c r="CX56" s="54"/>
      <c r="CY56" s="64"/>
      <c r="CZ56" s="69"/>
      <c r="DB56" s="21"/>
      <c r="DC56" s="128"/>
      <c r="DD56" s="54"/>
      <c r="DE56" s="64"/>
      <c r="DF56" s="69">
        <v>1</v>
      </c>
      <c r="DH56" s="21"/>
      <c r="DI56" s="128"/>
      <c r="DJ56" s="54"/>
      <c r="DK56" s="64"/>
      <c r="DL56" s="69"/>
      <c r="DN56" s="21"/>
      <c r="DO56" s="128"/>
      <c r="DP56" s="54"/>
      <c r="DQ56" s="64"/>
      <c r="DR56" s="69"/>
      <c r="DT56" s="21"/>
      <c r="DU56" s="128"/>
      <c r="DV56" s="54"/>
      <c r="DW56" s="64"/>
      <c r="DX56" s="69"/>
      <c r="DZ56" s="21"/>
      <c r="EA56" s="128"/>
      <c r="EB56" s="54"/>
      <c r="EC56" s="64"/>
      <c r="ED56" s="69">
        <v>1</v>
      </c>
      <c r="EF56" s="21"/>
      <c r="EG56" s="128"/>
      <c r="EH56" s="54"/>
      <c r="EI56" s="64"/>
      <c r="EJ56" s="69"/>
      <c r="EL56" s="21"/>
      <c r="EM56" s="128"/>
      <c r="EN56" s="54"/>
      <c r="EO56" s="64"/>
      <c r="EP56" s="69"/>
      <c r="ER56" s="21"/>
      <c r="ES56" s="128"/>
      <c r="ET56" s="54"/>
      <c r="EU56" s="64"/>
      <c r="EV56" s="69"/>
      <c r="EX56" s="21"/>
      <c r="EY56" s="128"/>
      <c r="EZ56" s="54"/>
      <c r="FA56" s="64"/>
      <c r="FB56" s="69"/>
      <c r="FD56" s="21"/>
      <c r="FE56" s="128"/>
      <c r="FF56" s="54"/>
      <c r="FG56" s="64"/>
      <c r="FH56" s="69">
        <v>1</v>
      </c>
      <c r="FJ56" s="21"/>
      <c r="FK56" s="128"/>
      <c r="FL56" s="54"/>
      <c r="FM56" s="64"/>
      <c r="FN56" s="69"/>
      <c r="FO56" s="128"/>
      <c r="FP56" s="54"/>
      <c r="FQ56" s="64"/>
      <c r="FR56" s="69"/>
      <c r="FT56" s="21"/>
      <c r="FU56" s="128"/>
      <c r="FV56" s="54"/>
      <c r="FW56" s="64"/>
      <c r="FX56" s="69"/>
      <c r="FZ56" s="21"/>
      <c r="GA56" s="128"/>
      <c r="GB56" s="54"/>
      <c r="GC56" s="64"/>
      <c r="GD56" s="69"/>
      <c r="GF56" s="21"/>
      <c r="GG56" s="128"/>
      <c r="GH56" s="54"/>
      <c r="GI56" s="64"/>
      <c r="GJ56" s="69"/>
      <c r="GL56" s="21"/>
      <c r="GM56" s="128"/>
      <c r="GN56" s="54"/>
      <c r="GO56" s="64"/>
      <c r="GP56" s="69"/>
      <c r="GR56" s="21"/>
      <c r="GS56" s="128"/>
      <c r="GT56" s="54"/>
      <c r="GU56" s="64"/>
      <c r="GV56" s="69"/>
      <c r="GX56" s="21"/>
      <c r="GY56" s="128"/>
      <c r="GZ56" s="54"/>
      <c r="HA56" s="64"/>
      <c r="HB56" s="69"/>
      <c r="HD56" s="21"/>
      <c r="HE56" s="128"/>
      <c r="HF56" s="54"/>
      <c r="HG56" s="64"/>
      <c r="HH56" s="69"/>
      <c r="HJ56" s="21"/>
      <c r="HK56" s="128"/>
      <c r="HL56" s="54"/>
      <c r="HM56" s="64"/>
      <c r="HN56" s="69"/>
      <c r="HP56" s="21"/>
      <c r="HQ56" s="128"/>
      <c r="HR56" s="54"/>
      <c r="HS56" s="64"/>
      <c r="HT56" s="69"/>
      <c r="HV56" s="21"/>
      <c r="HW56" s="128"/>
      <c r="HX56" s="54"/>
      <c r="HY56" s="64"/>
      <c r="HZ56" s="69"/>
      <c r="IB56" s="21"/>
      <c r="IC56" s="128"/>
      <c r="ID56" s="54"/>
      <c r="IE56" s="64"/>
      <c r="IF56" s="69"/>
      <c r="IH56" s="21"/>
      <c r="IJ56" s="21"/>
      <c r="IK56" s="128"/>
      <c r="IL56" s="54"/>
      <c r="IM56" s="64"/>
      <c r="IN56" s="69"/>
      <c r="IP56" s="21"/>
      <c r="IQ56" s="128"/>
      <c r="IR56" s="54"/>
      <c r="IS56" s="64"/>
      <c r="IT56" s="69"/>
      <c r="IV56" s="21"/>
      <c r="IW56" s="128"/>
      <c r="IX56" s="54"/>
      <c r="IY56" s="64"/>
      <c r="IZ56" s="69"/>
      <c r="JB56" s="21"/>
      <c r="JC56" s="128"/>
      <c r="JD56" s="54"/>
      <c r="JE56" s="64"/>
      <c r="JF56" s="69"/>
      <c r="JH56" s="21"/>
      <c r="JI56" s="128"/>
      <c r="JJ56" s="54"/>
      <c r="JK56" s="64"/>
      <c r="JL56" s="69"/>
      <c r="JN56" s="21"/>
      <c r="JO56" s="128"/>
      <c r="JP56" s="54"/>
      <c r="JQ56" s="64"/>
      <c r="JR56" s="69"/>
      <c r="JT56" s="21"/>
      <c r="JU56" s="128"/>
      <c r="JV56" s="54"/>
      <c r="JW56" s="64"/>
      <c r="JX56" s="69"/>
      <c r="JZ56" s="21"/>
      <c r="KA56" s="128"/>
      <c r="KB56" s="54"/>
      <c r="KC56" s="64"/>
      <c r="KD56" s="69"/>
      <c r="KF56" s="38"/>
      <c r="KG56" s="35"/>
      <c r="KI56" s="54"/>
      <c r="KJ56" s="64"/>
      <c r="KK56" s="69"/>
      <c r="KL56" s="126"/>
      <c r="KM56" s="127"/>
      <c r="KO56" s="38"/>
      <c r="KP56" s="83"/>
      <c r="KQ56" s="158"/>
      <c r="KR56" s="174"/>
      <c r="KS56" s="38"/>
      <c r="KT56" s="35"/>
      <c r="KV56" s="54"/>
      <c r="KW56" s="64"/>
      <c r="KX56" s="69"/>
      <c r="KY56" s="126"/>
      <c r="KZ56" s="127"/>
      <c r="LB56" s="38">
        <v>1</v>
      </c>
      <c r="LC56" s="83">
        <v>1</v>
      </c>
      <c r="LD56" s="158">
        <v>1</v>
      </c>
      <c r="LE56" s="174"/>
      <c r="LF56" s="38"/>
      <c r="LG56" s="35"/>
      <c r="LI56" s="54"/>
      <c r="LJ56" s="64"/>
      <c r="LK56" s="69"/>
      <c r="LL56" s="126">
        <v>1</v>
      </c>
      <c r="LM56" s="127">
        <v>1</v>
      </c>
      <c r="LO56" s="38">
        <v>1</v>
      </c>
      <c r="LP56" s="83">
        <v>1</v>
      </c>
      <c r="LQ56" s="158">
        <v>1</v>
      </c>
      <c r="LR56" s="174">
        <v>1</v>
      </c>
      <c r="LS56" s="38"/>
      <c r="LT56" s="35"/>
      <c r="LV56" s="54"/>
      <c r="LW56" s="64"/>
      <c r="LX56" s="69"/>
      <c r="LY56" s="126"/>
      <c r="LZ56" s="127"/>
      <c r="MB56" s="38"/>
      <c r="MC56" s="83"/>
      <c r="MD56" s="158"/>
      <c r="ME56" s="174"/>
      <c r="MF56" s="38"/>
      <c r="MG56" s="35"/>
      <c r="MI56" s="54"/>
      <c r="MJ56" s="64"/>
      <c r="MK56" s="69"/>
      <c r="ML56" s="126"/>
      <c r="MM56" s="127"/>
      <c r="MO56" s="38"/>
      <c r="MP56" s="83"/>
      <c r="MQ56" s="158"/>
      <c r="MR56" s="174"/>
      <c r="MT56" s="4">
        <f t="shared" si="10"/>
        <v>35</v>
      </c>
      <c r="NC56" s="21"/>
      <c r="ND56" s="128"/>
      <c r="NE56" s="54"/>
    </row>
    <row r="57" spans="1:369" x14ac:dyDescent="0.15">
      <c r="A57" s="2" t="s">
        <v>57</v>
      </c>
      <c r="B57" s="17"/>
      <c r="C57" s="21"/>
      <c r="D57" s="128"/>
      <c r="E57" s="54"/>
      <c r="F57" s="64"/>
      <c r="G57" s="69"/>
      <c r="H57" s="127"/>
      <c r="J57" s="21"/>
      <c r="K57" s="128">
        <v>1</v>
      </c>
      <c r="L57" s="54"/>
      <c r="M57" s="64"/>
      <c r="N57" s="69"/>
      <c r="O57" s="127"/>
      <c r="Q57" s="21"/>
      <c r="R57" s="128"/>
      <c r="S57" s="54"/>
      <c r="T57" s="64"/>
      <c r="U57" s="69"/>
      <c r="V57" s="127"/>
      <c r="X57" s="21"/>
      <c r="Y57" s="128"/>
      <c r="Z57" s="54"/>
      <c r="AA57" s="64"/>
      <c r="AB57" s="69"/>
      <c r="AC57" s="127"/>
      <c r="AE57" s="21"/>
      <c r="AF57" s="128"/>
      <c r="AG57" s="54"/>
      <c r="AH57" s="64"/>
      <c r="AI57" s="69"/>
      <c r="AJ57" s="127"/>
      <c r="AL57" s="21"/>
      <c r="AM57" s="128"/>
      <c r="AN57" s="54"/>
      <c r="AO57" s="64"/>
      <c r="AP57" s="69"/>
      <c r="AQ57" s="127"/>
      <c r="AS57" s="21"/>
      <c r="AT57" s="128"/>
      <c r="AU57" s="54"/>
      <c r="AV57" s="64"/>
      <c r="AW57" s="69"/>
      <c r="AX57" s="127"/>
      <c r="AZ57" s="21"/>
      <c r="BA57" s="128"/>
      <c r="BB57" s="54"/>
      <c r="BC57" s="64"/>
      <c r="BD57" s="69"/>
      <c r="BE57" s="127"/>
      <c r="BG57" s="21"/>
      <c r="BH57" s="128"/>
      <c r="BI57" s="54"/>
      <c r="BJ57" s="64"/>
      <c r="BK57" s="69"/>
      <c r="BL57" s="127"/>
      <c r="BN57" s="21"/>
      <c r="BO57" s="128"/>
      <c r="BP57" s="54"/>
      <c r="BQ57" s="64"/>
      <c r="BR57" s="69"/>
      <c r="BS57" s="127"/>
      <c r="BU57" s="21"/>
      <c r="BV57" s="128">
        <v>1</v>
      </c>
      <c r="BW57" s="54"/>
      <c r="BX57" s="64"/>
      <c r="BY57" s="69"/>
      <c r="BZ57" s="127"/>
      <c r="CB57" s="21"/>
      <c r="CC57" s="128"/>
      <c r="CD57" s="54"/>
      <c r="CE57" s="64"/>
      <c r="CF57" s="69"/>
      <c r="CG57" s="127"/>
      <c r="CI57" s="21"/>
      <c r="CJ57" s="128"/>
      <c r="CK57" s="54"/>
      <c r="CL57" s="64"/>
      <c r="CM57" s="69"/>
      <c r="CN57" s="127"/>
      <c r="CP57" s="21"/>
      <c r="CQ57" s="128"/>
      <c r="CR57" s="54"/>
      <c r="CS57" s="64"/>
      <c r="CT57" s="69"/>
      <c r="CV57" s="21"/>
      <c r="CW57" s="128"/>
      <c r="CX57" s="54"/>
      <c r="CY57" s="64"/>
      <c r="CZ57" s="69"/>
      <c r="DB57" s="21"/>
      <c r="DC57" s="128"/>
      <c r="DD57" s="54"/>
      <c r="DE57" s="64"/>
      <c r="DF57" s="69"/>
      <c r="DH57" s="21"/>
      <c r="DI57" s="128"/>
      <c r="DJ57" s="54"/>
      <c r="DK57" s="64"/>
      <c r="DL57" s="69"/>
      <c r="DN57" s="21"/>
      <c r="DO57" s="128"/>
      <c r="DP57" s="54"/>
      <c r="DQ57" s="64"/>
      <c r="DR57" s="69"/>
      <c r="DT57" s="21"/>
      <c r="DU57" s="128"/>
      <c r="DV57" s="54"/>
      <c r="DW57" s="64"/>
      <c r="DX57" s="69"/>
      <c r="DZ57" s="21"/>
      <c r="EA57" s="128"/>
      <c r="EB57" s="54"/>
      <c r="EC57" s="64"/>
      <c r="ED57" s="69"/>
      <c r="EF57" s="21"/>
      <c r="EG57" s="128"/>
      <c r="EH57" s="54"/>
      <c r="EI57" s="64"/>
      <c r="EJ57" s="69"/>
      <c r="EL57" s="21"/>
      <c r="EM57" s="128"/>
      <c r="EN57" s="54"/>
      <c r="EO57" s="64"/>
      <c r="EP57" s="69"/>
      <c r="ER57" s="21"/>
      <c r="ES57" s="128"/>
      <c r="ET57" s="54"/>
      <c r="EU57" s="64"/>
      <c r="EV57" s="69"/>
      <c r="EX57" s="21"/>
      <c r="EY57" s="128"/>
      <c r="EZ57" s="54"/>
      <c r="FA57" s="64"/>
      <c r="FB57" s="69"/>
      <c r="FD57" s="21"/>
      <c r="FE57" s="128"/>
      <c r="FF57" s="54"/>
      <c r="FG57" s="64"/>
      <c r="FH57" s="69"/>
      <c r="FJ57" s="21"/>
      <c r="FK57" s="128"/>
      <c r="FL57" s="54"/>
      <c r="FM57" s="64"/>
      <c r="FN57" s="69"/>
      <c r="FO57" s="128"/>
      <c r="FP57" s="54"/>
      <c r="FQ57" s="64"/>
      <c r="FR57" s="69"/>
      <c r="FT57" s="21"/>
      <c r="FU57" s="128"/>
      <c r="FV57" s="54"/>
      <c r="FW57" s="64"/>
      <c r="FX57" s="69"/>
      <c r="FZ57" s="21"/>
      <c r="GA57" s="128"/>
      <c r="GB57" s="54"/>
      <c r="GC57" s="64"/>
      <c r="GD57" s="69"/>
      <c r="GF57" s="21"/>
      <c r="GG57" s="128"/>
      <c r="GH57" s="54"/>
      <c r="GI57" s="64"/>
      <c r="GJ57" s="69"/>
      <c r="GL57" s="21"/>
      <c r="GM57" s="128"/>
      <c r="GN57" s="54"/>
      <c r="GO57" s="64"/>
      <c r="GP57" s="69"/>
      <c r="GR57" s="21"/>
      <c r="GS57" s="128"/>
      <c r="GT57" s="54"/>
      <c r="GU57" s="64"/>
      <c r="GV57" s="69"/>
      <c r="GX57" s="21"/>
      <c r="GY57" s="128"/>
      <c r="GZ57" s="54"/>
      <c r="HA57" s="64"/>
      <c r="HB57" s="69"/>
      <c r="HD57" s="21"/>
      <c r="HE57" s="128"/>
      <c r="HF57" s="54"/>
      <c r="HG57" s="64"/>
      <c r="HH57" s="69"/>
      <c r="HJ57" s="21"/>
      <c r="HK57" s="128"/>
      <c r="HL57" s="54"/>
      <c r="HM57" s="64"/>
      <c r="HN57" s="69"/>
      <c r="HP57" s="21"/>
      <c r="HQ57" s="128"/>
      <c r="HR57" s="54"/>
      <c r="HS57" s="64"/>
      <c r="HT57" s="69"/>
      <c r="HV57" s="21"/>
      <c r="HW57" s="128"/>
      <c r="HX57" s="54"/>
      <c r="HY57" s="64"/>
      <c r="HZ57" s="69"/>
      <c r="IB57" s="21"/>
      <c r="IC57" s="128"/>
      <c r="ID57" s="54"/>
      <c r="IE57" s="64"/>
      <c r="IF57" s="69"/>
      <c r="IH57" s="21"/>
      <c r="IJ57" s="21"/>
      <c r="IK57" s="128"/>
      <c r="IL57" s="54"/>
      <c r="IM57" s="64"/>
      <c r="IN57" s="69"/>
      <c r="IP57" s="21"/>
      <c r="IQ57" s="128"/>
      <c r="IR57" s="54"/>
      <c r="IS57" s="64"/>
      <c r="IT57" s="69"/>
      <c r="IV57" s="21"/>
      <c r="IW57" s="128"/>
      <c r="IX57" s="54"/>
      <c r="IY57" s="64"/>
      <c r="IZ57" s="69"/>
      <c r="JB57" s="21"/>
      <c r="JC57" s="128"/>
      <c r="JD57" s="54"/>
      <c r="JE57" s="64"/>
      <c r="JF57" s="69"/>
      <c r="JH57" s="21"/>
      <c r="JI57" s="128"/>
      <c r="JJ57" s="54"/>
      <c r="JK57" s="64"/>
      <c r="JL57" s="69"/>
      <c r="JN57" s="21"/>
      <c r="JO57" s="128"/>
      <c r="JP57" s="54"/>
      <c r="JQ57" s="64"/>
      <c r="JR57" s="69"/>
      <c r="JT57" s="21"/>
      <c r="JU57" s="128"/>
      <c r="JV57" s="54"/>
      <c r="JW57" s="64"/>
      <c r="JX57" s="69"/>
      <c r="JZ57" s="21"/>
      <c r="KA57" s="128"/>
      <c r="KB57" s="54"/>
      <c r="KC57" s="64"/>
      <c r="KD57" s="69"/>
      <c r="KF57" s="38"/>
      <c r="KG57" s="35"/>
      <c r="KI57" s="54"/>
      <c r="KJ57" s="64"/>
      <c r="KK57" s="69"/>
      <c r="KL57" s="126"/>
      <c r="KM57" s="127"/>
      <c r="KO57" s="38"/>
      <c r="KP57" s="83"/>
      <c r="KQ57" s="158"/>
      <c r="KR57" s="174"/>
      <c r="KS57" s="38"/>
      <c r="KT57" s="35"/>
      <c r="KV57" s="54"/>
      <c r="KW57" s="64"/>
      <c r="KX57" s="69"/>
      <c r="KY57" s="126"/>
      <c r="KZ57" s="127"/>
      <c r="LB57" s="38"/>
      <c r="LC57" s="83"/>
      <c r="LD57" s="158"/>
      <c r="LE57" s="174"/>
      <c r="LF57" s="38"/>
      <c r="LG57" s="35"/>
      <c r="LI57" s="54"/>
      <c r="LJ57" s="64"/>
      <c r="LK57" s="69"/>
      <c r="LL57" s="126"/>
      <c r="LM57" s="127"/>
      <c r="LO57" s="38"/>
      <c r="LP57" s="83"/>
      <c r="LQ57" s="158"/>
      <c r="LR57" s="174"/>
      <c r="LS57" s="38"/>
      <c r="LT57" s="35"/>
      <c r="LV57" s="54"/>
      <c r="LW57" s="64"/>
      <c r="LX57" s="69"/>
      <c r="LY57" s="126"/>
      <c r="LZ57" s="127"/>
      <c r="MB57" s="38"/>
      <c r="MC57" s="83"/>
      <c r="MD57" s="158"/>
      <c r="ME57" s="174"/>
      <c r="MF57" s="38"/>
      <c r="MG57" s="35"/>
      <c r="MI57" s="54"/>
      <c r="MJ57" s="64"/>
      <c r="MK57" s="69"/>
      <c r="ML57" s="126"/>
      <c r="MM57" s="127"/>
      <c r="MO57" s="38"/>
      <c r="MP57" s="83"/>
      <c r="MQ57" s="158"/>
      <c r="MR57" s="174"/>
      <c r="MT57" s="4">
        <f t="shared" si="10"/>
        <v>2</v>
      </c>
      <c r="NC57" s="21"/>
      <c r="ND57" s="128"/>
      <c r="NE57" s="54"/>
    </row>
    <row r="58" spans="1:369" x14ac:dyDescent="0.15">
      <c r="A58" s="2" t="s">
        <v>28</v>
      </c>
      <c r="C58" s="21"/>
      <c r="D58" s="128"/>
      <c r="E58" s="54"/>
      <c r="F58" s="64"/>
      <c r="G58" s="69"/>
      <c r="H58" s="127"/>
      <c r="J58" s="21"/>
      <c r="K58" s="128"/>
      <c r="L58" s="54"/>
      <c r="M58" s="64"/>
      <c r="N58" s="69"/>
      <c r="O58" s="127"/>
      <c r="Q58" s="21"/>
      <c r="R58" s="128"/>
      <c r="S58" s="54"/>
      <c r="T58" s="64"/>
      <c r="U58" s="69"/>
      <c r="V58" s="127"/>
      <c r="X58" s="21"/>
      <c r="Y58" s="128"/>
      <c r="Z58" s="54"/>
      <c r="AA58" s="64"/>
      <c r="AB58" s="69"/>
      <c r="AC58" s="127"/>
      <c r="AE58" s="21"/>
      <c r="AF58" s="128"/>
      <c r="AG58" s="54"/>
      <c r="AH58" s="64"/>
      <c r="AI58" s="69"/>
      <c r="AJ58" s="127"/>
      <c r="AK58">
        <v>1</v>
      </c>
      <c r="AL58" s="21">
        <v>1</v>
      </c>
      <c r="AM58" s="128"/>
      <c r="AN58" s="54"/>
      <c r="AO58" s="64"/>
      <c r="AP58" s="69" t="s">
        <v>192</v>
      </c>
      <c r="AQ58" s="127"/>
      <c r="AS58" s="21"/>
      <c r="AT58" s="128"/>
      <c r="AU58" s="54"/>
      <c r="AV58" s="64"/>
      <c r="AW58" s="69"/>
      <c r="AX58" s="127"/>
      <c r="AZ58" s="21"/>
      <c r="BA58" s="128"/>
      <c r="BB58" s="54"/>
      <c r="BC58" s="64"/>
      <c r="BD58" s="69"/>
      <c r="BE58" s="127"/>
      <c r="BG58" s="21"/>
      <c r="BH58" s="128"/>
      <c r="BI58" s="54"/>
      <c r="BJ58" s="64"/>
      <c r="BK58" s="69"/>
      <c r="BL58" s="127"/>
      <c r="BM58">
        <v>2</v>
      </c>
      <c r="BN58" s="21"/>
      <c r="BO58" s="128">
        <v>1</v>
      </c>
      <c r="BP58" s="54">
        <v>1</v>
      </c>
      <c r="BQ58" s="64">
        <v>1</v>
      </c>
      <c r="BR58" s="69">
        <v>1</v>
      </c>
      <c r="BS58" s="127">
        <v>1</v>
      </c>
      <c r="BU58" s="21"/>
      <c r="BV58" s="128"/>
      <c r="BW58" s="54"/>
      <c r="BX58" s="64"/>
      <c r="BY58" s="69"/>
      <c r="BZ58" s="127"/>
      <c r="CB58" s="21"/>
      <c r="CC58" s="128"/>
      <c r="CD58" s="54"/>
      <c r="CE58" s="64"/>
      <c r="CF58" s="69"/>
      <c r="CG58" s="127"/>
      <c r="CI58" s="21"/>
      <c r="CJ58" s="128"/>
      <c r="CK58" s="54"/>
      <c r="CL58" s="64"/>
      <c r="CM58" s="69"/>
      <c r="CN58" s="127"/>
      <c r="CP58" s="21"/>
      <c r="CQ58" s="128"/>
      <c r="CR58" s="54"/>
      <c r="CS58" s="64"/>
      <c r="CT58" s="69"/>
      <c r="CV58" s="21"/>
      <c r="CW58" s="128"/>
      <c r="CX58" s="54"/>
      <c r="CY58" s="64"/>
      <c r="CZ58" s="69"/>
      <c r="DB58" s="21"/>
      <c r="DC58" s="128"/>
      <c r="DD58" s="54"/>
      <c r="DE58" s="64"/>
      <c r="DF58" s="69"/>
      <c r="DH58" s="21"/>
      <c r="DI58" s="128"/>
      <c r="DJ58" s="54"/>
      <c r="DK58" s="64"/>
      <c r="DL58" s="69"/>
      <c r="DN58" s="21"/>
      <c r="DO58" s="128"/>
      <c r="DP58" s="54"/>
      <c r="DQ58" s="64"/>
      <c r="DR58" s="69"/>
      <c r="DT58" s="21"/>
      <c r="DU58" s="128"/>
      <c r="DV58" s="54"/>
      <c r="DW58" s="64"/>
      <c r="DX58" s="69"/>
      <c r="DZ58" s="21"/>
      <c r="EA58" s="128"/>
      <c r="EB58" s="54"/>
      <c r="EC58" s="64"/>
      <c r="ED58" s="69"/>
      <c r="EF58" s="21"/>
      <c r="EG58" s="128"/>
      <c r="EH58" s="54"/>
      <c r="EI58" s="64"/>
      <c r="EJ58" s="69"/>
      <c r="EL58" s="21"/>
      <c r="EM58" s="128"/>
      <c r="EN58" s="54"/>
      <c r="EO58" s="64"/>
      <c r="EP58" s="69"/>
      <c r="ER58" s="21"/>
      <c r="ES58" s="128"/>
      <c r="ET58" s="54"/>
      <c r="EU58" s="64"/>
      <c r="EV58" s="69"/>
      <c r="EX58" s="21"/>
      <c r="EY58" s="128"/>
      <c r="EZ58" s="54"/>
      <c r="FA58" s="64"/>
      <c r="FB58" s="69"/>
      <c r="FD58" s="21"/>
      <c r="FE58" s="128"/>
      <c r="FF58" s="54"/>
      <c r="FG58" s="64"/>
      <c r="FH58" s="69"/>
      <c r="FJ58" s="21"/>
      <c r="FK58" s="128"/>
      <c r="FL58" s="54"/>
      <c r="FM58" s="64"/>
      <c r="FN58" s="69"/>
      <c r="FO58" s="128"/>
      <c r="FP58" s="54"/>
      <c r="FQ58" s="64"/>
      <c r="FR58" s="69"/>
      <c r="FT58" s="21"/>
      <c r="FU58" s="128"/>
      <c r="FV58" s="54"/>
      <c r="FW58" s="64"/>
      <c r="FX58" s="69"/>
      <c r="FZ58" s="21"/>
      <c r="GA58" s="128"/>
      <c r="GB58" s="54"/>
      <c r="GC58" s="64"/>
      <c r="GD58" s="69"/>
      <c r="GF58" s="21"/>
      <c r="GG58" s="128"/>
      <c r="GH58" s="54"/>
      <c r="GI58" s="64"/>
      <c r="GJ58" s="69"/>
      <c r="GL58" s="21"/>
      <c r="GM58" s="128"/>
      <c r="GN58" s="54"/>
      <c r="GO58" s="64"/>
      <c r="GP58" s="69"/>
      <c r="GR58" s="21"/>
      <c r="GS58" s="128"/>
      <c r="GT58" s="54"/>
      <c r="GU58" s="64"/>
      <c r="GV58" s="69"/>
      <c r="GX58" s="21"/>
      <c r="GY58" s="128"/>
      <c r="GZ58" s="54"/>
      <c r="HA58" s="64"/>
      <c r="HB58" s="69"/>
      <c r="HD58" s="21"/>
      <c r="HE58" s="128"/>
      <c r="HF58" s="54"/>
      <c r="HG58" s="64"/>
      <c r="HH58" s="69"/>
      <c r="HJ58" s="21"/>
      <c r="HK58" s="128"/>
      <c r="HL58" s="54"/>
      <c r="HM58" s="64"/>
      <c r="HN58" s="69"/>
      <c r="HP58" s="21"/>
      <c r="HQ58" s="128"/>
      <c r="HR58" s="54"/>
      <c r="HS58" s="64"/>
      <c r="HT58" s="69"/>
      <c r="HV58" s="21"/>
      <c r="HW58" s="128"/>
      <c r="HX58" s="54"/>
      <c r="HY58" s="64"/>
      <c r="HZ58" s="69"/>
      <c r="IB58" s="21"/>
      <c r="IC58" s="128"/>
      <c r="ID58" s="54"/>
      <c r="IE58" s="64"/>
      <c r="IF58" s="69"/>
      <c r="IH58" s="21"/>
      <c r="IJ58" s="21"/>
      <c r="IK58" s="128"/>
      <c r="IL58" s="54"/>
      <c r="IM58" s="64"/>
      <c r="IN58" s="69"/>
      <c r="IP58" s="21"/>
      <c r="IQ58" s="128"/>
      <c r="IR58" s="54"/>
      <c r="IS58" s="64"/>
      <c r="IT58" s="69"/>
      <c r="IV58" s="21"/>
      <c r="IW58" s="128"/>
      <c r="IX58" s="54"/>
      <c r="IY58" s="64"/>
      <c r="IZ58" s="69"/>
      <c r="JB58" s="21"/>
      <c r="JC58" s="128"/>
      <c r="JD58" s="54"/>
      <c r="JE58" s="64"/>
      <c r="JF58" s="69"/>
      <c r="JH58" s="21"/>
      <c r="JI58" s="128"/>
      <c r="JJ58" s="54"/>
      <c r="JK58" s="64"/>
      <c r="JL58" s="69"/>
      <c r="JN58" s="21"/>
      <c r="JO58" s="128"/>
      <c r="JP58" s="54"/>
      <c r="JQ58" s="64"/>
      <c r="JR58" s="69"/>
      <c r="JT58" s="21"/>
      <c r="JU58" s="128"/>
      <c r="JV58" s="54"/>
      <c r="JW58" s="64"/>
      <c r="JX58" s="69"/>
      <c r="JZ58" s="21"/>
      <c r="KA58" s="128"/>
      <c r="KB58" s="54"/>
      <c r="KC58" s="64"/>
      <c r="KD58" s="69"/>
      <c r="KF58" s="38"/>
      <c r="KG58" s="35"/>
      <c r="KI58" s="54"/>
      <c r="KJ58" s="64"/>
      <c r="KK58" s="69"/>
      <c r="KL58" s="126"/>
      <c r="KM58" s="127"/>
      <c r="KO58" s="38"/>
      <c r="KP58" s="83"/>
      <c r="KQ58" s="158"/>
      <c r="KR58" s="174"/>
      <c r="KS58" s="38"/>
      <c r="KT58" s="35"/>
      <c r="KV58" s="54"/>
      <c r="KW58" s="64"/>
      <c r="KX58" s="69"/>
      <c r="KY58" s="126"/>
      <c r="KZ58" s="127"/>
      <c r="LB58" s="38"/>
      <c r="LC58" s="83"/>
      <c r="LD58" s="158"/>
      <c r="LE58" s="174"/>
      <c r="LF58" s="38"/>
      <c r="LG58" s="35"/>
      <c r="LI58" s="54"/>
      <c r="LJ58" s="64"/>
      <c r="LK58" s="69"/>
      <c r="LL58" s="126"/>
      <c r="LM58" s="127"/>
      <c r="LO58" s="38"/>
      <c r="LP58" s="83"/>
      <c r="LQ58" s="158"/>
      <c r="LR58" s="174"/>
      <c r="LS58" s="38"/>
      <c r="LT58" s="35"/>
      <c r="LV58" s="54"/>
      <c r="LW58" s="64"/>
      <c r="LX58" s="69"/>
      <c r="LY58" s="126"/>
      <c r="LZ58" s="127"/>
      <c r="MB58" s="38"/>
      <c r="MC58" s="83"/>
      <c r="MD58" s="158"/>
      <c r="ME58" s="174"/>
      <c r="MF58" s="38"/>
      <c r="MG58" s="35"/>
      <c r="MI58" s="54"/>
      <c r="MJ58" s="64"/>
      <c r="MK58" s="69"/>
      <c r="ML58" s="126"/>
      <c r="MM58" s="127"/>
      <c r="MO58" s="38"/>
      <c r="MP58" s="83"/>
      <c r="MQ58" s="158"/>
      <c r="MR58" s="174"/>
      <c r="MT58" s="4">
        <f t="shared" si="10"/>
        <v>9</v>
      </c>
      <c r="NC58" s="21"/>
      <c r="ND58" s="128"/>
      <c r="NE58" s="54"/>
    </row>
    <row r="59" spans="1:369" x14ac:dyDescent="0.15">
      <c r="A59" s="2" t="s">
        <v>194</v>
      </c>
      <c r="B59" s="18"/>
      <c r="C59" s="21"/>
      <c r="D59" s="128"/>
      <c r="E59" s="54"/>
      <c r="F59" s="64"/>
      <c r="G59" s="69"/>
      <c r="H59" s="127"/>
      <c r="J59" s="21"/>
      <c r="K59" s="128"/>
      <c r="L59" s="54"/>
      <c r="M59" s="64"/>
      <c r="N59" s="69"/>
      <c r="O59" s="127"/>
      <c r="Q59" s="21"/>
      <c r="R59" s="128"/>
      <c r="S59" s="54"/>
      <c r="T59" s="64"/>
      <c r="U59" s="69"/>
      <c r="V59" s="127"/>
      <c r="X59" s="21"/>
      <c r="Y59" s="128"/>
      <c r="Z59" s="54"/>
      <c r="AA59" s="64"/>
      <c r="AB59" s="69"/>
      <c r="AC59" s="127"/>
      <c r="AE59" s="21"/>
      <c r="AF59" s="128"/>
      <c r="AG59" s="54"/>
      <c r="AH59" s="64"/>
      <c r="AI59" s="69"/>
      <c r="AJ59" s="127"/>
      <c r="AL59" s="21">
        <v>1</v>
      </c>
      <c r="AM59" s="128"/>
      <c r="AN59" s="54">
        <v>1</v>
      </c>
      <c r="AO59" s="64"/>
      <c r="AP59" s="69">
        <v>1</v>
      </c>
      <c r="AQ59" s="127">
        <v>1</v>
      </c>
      <c r="AS59" s="21">
        <v>3</v>
      </c>
      <c r="AT59" s="128"/>
      <c r="AU59" s="54">
        <v>3</v>
      </c>
      <c r="AV59" s="64">
        <v>3</v>
      </c>
      <c r="AW59" s="69">
        <v>2</v>
      </c>
      <c r="AX59" s="127">
        <v>1</v>
      </c>
      <c r="AZ59" s="21"/>
      <c r="BA59" s="128"/>
      <c r="BB59" s="54"/>
      <c r="BC59" s="64"/>
      <c r="BD59" s="69"/>
      <c r="BE59" s="127"/>
      <c r="BG59" s="21"/>
      <c r="BH59" s="128"/>
      <c r="BI59" s="54"/>
      <c r="BJ59" s="64"/>
      <c r="BK59" s="69"/>
      <c r="BL59" s="127"/>
      <c r="BN59" s="21"/>
      <c r="BO59" s="128"/>
      <c r="BP59" s="54"/>
      <c r="BQ59" s="64"/>
      <c r="BR59" s="69"/>
      <c r="BS59" s="127"/>
      <c r="BU59" s="21"/>
      <c r="BV59" s="128"/>
      <c r="BW59" s="54"/>
      <c r="BX59" s="64"/>
      <c r="BY59" s="69"/>
      <c r="BZ59" s="127"/>
      <c r="CB59" s="21"/>
      <c r="CC59" s="128"/>
      <c r="CD59" s="54"/>
      <c r="CE59" s="64"/>
      <c r="CF59" s="69"/>
      <c r="CG59" s="127"/>
      <c r="CI59" s="21"/>
      <c r="CJ59" s="128"/>
      <c r="CK59" s="54"/>
      <c r="CL59" s="64"/>
      <c r="CM59" s="69"/>
      <c r="CN59" s="127"/>
      <c r="CP59" s="21"/>
      <c r="CQ59" s="128"/>
      <c r="CR59" s="54"/>
      <c r="CS59" s="64"/>
      <c r="CT59" s="69"/>
      <c r="CV59" s="21"/>
      <c r="CW59" s="128"/>
      <c r="CX59" s="54"/>
      <c r="CY59" s="64"/>
      <c r="CZ59" s="69"/>
      <c r="DB59" s="21"/>
      <c r="DC59" s="128"/>
      <c r="DD59" s="54"/>
      <c r="DE59" s="64"/>
      <c r="DF59" s="69"/>
      <c r="DH59" s="21"/>
      <c r="DI59" s="128"/>
      <c r="DJ59" s="54"/>
      <c r="DK59" s="64"/>
      <c r="DL59" s="69"/>
      <c r="DN59" s="21"/>
      <c r="DO59" s="128"/>
      <c r="DP59" s="54"/>
      <c r="DQ59" s="64"/>
      <c r="DR59" s="69"/>
      <c r="DT59" s="21"/>
      <c r="DU59" s="128"/>
      <c r="DV59" s="54"/>
      <c r="DW59" s="64"/>
      <c r="DX59" s="69"/>
      <c r="DZ59" s="21"/>
      <c r="EA59" s="128"/>
      <c r="EB59" s="54"/>
      <c r="EC59" s="64"/>
      <c r="ED59" s="69"/>
      <c r="EF59" s="21"/>
      <c r="EG59" s="128"/>
      <c r="EH59" s="54"/>
      <c r="EI59" s="64"/>
      <c r="EJ59" s="69"/>
      <c r="EL59" s="21"/>
      <c r="EM59" s="128"/>
      <c r="EN59" s="54"/>
      <c r="EO59" s="64"/>
      <c r="EP59" s="69"/>
      <c r="ER59" s="21"/>
      <c r="ES59" s="128"/>
      <c r="ET59" s="54"/>
      <c r="EU59" s="64"/>
      <c r="EV59" s="69"/>
      <c r="EX59" s="21"/>
      <c r="EY59" s="128"/>
      <c r="EZ59" s="54"/>
      <c r="FA59" s="64"/>
      <c r="FB59" s="69"/>
      <c r="FD59" s="21"/>
      <c r="FE59" s="128"/>
      <c r="FF59" s="54"/>
      <c r="FG59" s="64"/>
      <c r="FH59" s="69"/>
      <c r="FJ59" s="21"/>
      <c r="FK59" s="128"/>
      <c r="FL59" s="54"/>
      <c r="FM59" s="64"/>
      <c r="FN59" s="69"/>
      <c r="FO59" s="128"/>
      <c r="FP59" s="54"/>
      <c r="FQ59" s="64"/>
      <c r="FR59" s="69"/>
      <c r="FT59" s="21"/>
      <c r="FU59" s="128"/>
      <c r="FV59" s="54"/>
      <c r="FW59" s="64"/>
      <c r="FX59" s="69"/>
      <c r="FZ59" s="21"/>
      <c r="GA59" s="128"/>
      <c r="GB59" s="54"/>
      <c r="GC59" s="64"/>
      <c r="GD59" s="69"/>
      <c r="GF59" s="21"/>
      <c r="GG59" s="128"/>
      <c r="GH59" s="54"/>
      <c r="GI59" s="64"/>
      <c r="GJ59" s="69"/>
      <c r="GL59" s="21"/>
      <c r="GM59" s="128"/>
      <c r="GN59" s="54"/>
      <c r="GO59" s="64"/>
      <c r="GP59" s="69"/>
      <c r="GR59" s="21"/>
      <c r="GS59" s="128"/>
      <c r="GT59" s="54"/>
      <c r="GU59" s="64"/>
      <c r="GV59" s="69"/>
      <c r="GX59" s="21"/>
      <c r="GY59" s="128"/>
      <c r="GZ59" s="54"/>
      <c r="HA59" s="64"/>
      <c r="HB59" s="69"/>
      <c r="HD59" s="21"/>
      <c r="HE59" s="128"/>
      <c r="HF59" s="54"/>
      <c r="HG59" s="64"/>
      <c r="HH59" s="69"/>
      <c r="HJ59" s="21"/>
      <c r="HK59" s="128"/>
      <c r="HL59" s="54"/>
      <c r="HM59" s="64"/>
      <c r="HN59" s="69"/>
      <c r="HP59" s="21"/>
      <c r="HQ59" s="128"/>
      <c r="HR59" s="54"/>
      <c r="HS59" s="64"/>
      <c r="HT59" s="69"/>
      <c r="HV59" s="21"/>
      <c r="HW59" s="128"/>
      <c r="HX59" s="54"/>
      <c r="HY59" s="64"/>
      <c r="HZ59" s="69"/>
      <c r="IB59" s="21"/>
      <c r="IC59" s="128"/>
      <c r="ID59" s="54"/>
      <c r="IE59" s="64"/>
      <c r="IF59" s="69"/>
      <c r="IH59" s="21"/>
      <c r="IJ59" s="21"/>
      <c r="IK59" s="128"/>
      <c r="IL59" s="54"/>
      <c r="IM59" s="64"/>
      <c r="IN59" s="69"/>
      <c r="IP59" s="21"/>
      <c r="IQ59" s="128"/>
      <c r="IR59" s="54"/>
      <c r="IS59" s="64"/>
      <c r="IT59" s="69"/>
      <c r="IV59" s="21"/>
      <c r="IW59" s="128"/>
      <c r="IX59" s="54"/>
      <c r="IY59" s="64"/>
      <c r="IZ59" s="69"/>
      <c r="JB59" s="21"/>
      <c r="JC59" s="128"/>
      <c r="JD59" s="54"/>
      <c r="JE59" s="64"/>
      <c r="JF59" s="69"/>
      <c r="JH59" s="21"/>
      <c r="JI59" s="128"/>
      <c r="JJ59" s="54"/>
      <c r="JK59" s="64"/>
      <c r="JL59" s="69"/>
      <c r="JN59" s="21"/>
      <c r="JO59" s="128"/>
      <c r="JP59" s="54"/>
      <c r="JQ59" s="64"/>
      <c r="JR59" s="69"/>
      <c r="JT59" s="21"/>
      <c r="JU59" s="128"/>
      <c r="JV59" s="54"/>
      <c r="JW59" s="64"/>
      <c r="JX59" s="69"/>
      <c r="JZ59" s="21"/>
      <c r="KA59" s="128"/>
      <c r="KB59" s="54"/>
      <c r="KC59" s="64"/>
      <c r="KD59" s="69"/>
      <c r="KF59" s="38"/>
      <c r="KG59" s="35"/>
      <c r="KI59" s="54"/>
      <c r="KJ59" s="64"/>
      <c r="KK59" s="69"/>
      <c r="KL59" s="126"/>
      <c r="KM59" s="127"/>
      <c r="KO59" s="38"/>
      <c r="KP59" s="83"/>
      <c r="KQ59" s="158"/>
      <c r="KR59" s="174"/>
      <c r="KS59" s="38"/>
      <c r="KT59" s="35"/>
      <c r="KV59" s="54"/>
      <c r="KW59" s="64"/>
      <c r="KX59" s="69"/>
      <c r="KY59" s="126"/>
      <c r="KZ59" s="127"/>
      <c r="LB59" s="38"/>
      <c r="LC59" s="83"/>
      <c r="LD59" s="158"/>
      <c r="LE59" s="174"/>
      <c r="LF59" s="38"/>
      <c r="LG59" s="35"/>
      <c r="LI59" s="54"/>
      <c r="LJ59" s="64"/>
      <c r="LK59" s="69"/>
      <c r="LL59" s="126"/>
      <c r="LM59" s="127"/>
      <c r="LO59" s="38"/>
      <c r="LP59" s="83"/>
      <c r="LQ59" s="158"/>
      <c r="LR59" s="174"/>
      <c r="LS59" s="38"/>
      <c r="LT59" s="35"/>
      <c r="LV59" s="54"/>
      <c r="LW59" s="64"/>
      <c r="LX59" s="69"/>
      <c r="LY59" s="126"/>
      <c r="LZ59" s="127"/>
      <c r="MB59" s="38"/>
      <c r="MC59" s="83"/>
      <c r="MD59" s="158"/>
      <c r="ME59" s="174"/>
      <c r="MF59" s="38"/>
      <c r="MG59" s="35"/>
      <c r="MI59" s="54"/>
      <c r="MJ59" s="64"/>
      <c r="MK59" s="69"/>
      <c r="ML59" s="126"/>
      <c r="MM59" s="127"/>
      <c r="MO59" s="38"/>
      <c r="MP59" s="83"/>
      <c r="MQ59" s="158"/>
      <c r="MR59" s="174"/>
      <c r="MT59" s="4">
        <f t="shared" si="10"/>
        <v>9</v>
      </c>
      <c r="NC59" s="21"/>
      <c r="ND59" s="128"/>
      <c r="NE59" s="54"/>
    </row>
    <row r="60" spans="1:369" x14ac:dyDescent="0.15">
      <c r="A60" s="2" t="s">
        <v>10</v>
      </c>
      <c r="C60" s="21"/>
      <c r="D60" s="128"/>
      <c r="E60" s="54">
        <v>1</v>
      </c>
      <c r="F60" s="64">
        <v>1</v>
      </c>
      <c r="G60" s="69">
        <v>1</v>
      </c>
      <c r="H60" s="127">
        <v>2</v>
      </c>
      <c r="I60">
        <v>1</v>
      </c>
      <c r="J60" s="21">
        <v>1</v>
      </c>
      <c r="K60" s="128"/>
      <c r="L60" s="54">
        <v>1</v>
      </c>
      <c r="M60" s="64">
        <v>1</v>
      </c>
      <c r="N60" s="69">
        <v>1</v>
      </c>
      <c r="O60" s="127">
        <v>1</v>
      </c>
      <c r="Q60" s="21">
        <v>2</v>
      </c>
      <c r="R60" s="128"/>
      <c r="S60" s="54">
        <v>1</v>
      </c>
      <c r="T60" s="64">
        <v>1</v>
      </c>
      <c r="U60" s="69"/>
      <c r="V60" s="127"/>
      <c r="X60" s="21"/>
      <c r="Y60" s="128"/>
      <c r="Z60" s="54">
        <v>1</v>
      </c>
      <c r="AA60" s="64"/>
      <c r="AB60" s="69"/>
      <c r="AC60" s="127"/>
      <c r="AE60" s="21"/>
      <c r="AF60" s="128"/>
      <c r="AG60" s="54"/>
      <c r="AH60" s="64"/>
      <c r="AI60" s="69"/>
      <c r="AJ60" s="127"/>
      <c r="AL60" s="21"/>
      <c r="AM60" s="128"/>
      <c r="AN60" s="54"/>
      <c r="AO60" s="64"/>
      <c r="AP60" s="69"/>
      <c r="AQ60" s="127"/>
      <c r="AS60" s="21"/>
      <c r="AT60" s="128"/>
      <c r="AU60" s="54"/>
      <c r="AV60" s="64"/>
      <c r="AW60" s="69"/>
      <c r="AX60" s="127"/>
      <c r="AZ60" s="21"/>
      <c r="BA60" s="128"/>
      <c r="BB60" s="54"/>
      <c r="BC60" s="64"/>
      <c r="BD60" s="69"/>
      <c r="BE60" s="127"/>
      <c r="BF60">
        <v>1</v>
      </c>
      <c r="BG60" s="21"/>
      <c r="BH60" s="128"/>
      <c r="BI60" s="54"/>
      <c r="BJ60" s="64"/>
      <c r="BK60" s="69"/>
      <c r="BL60" s="127"/>
      <c r="BN60" s="21"/>
      <c r="BO60" s="128"/>
      <c r="BP60" s="54"/>
      <c r="BQ60" s="64"/>
      <c r="BR60" s="69"/>
      <c r="BS60" s="127"/>
      <c r="BU60" s="21"/>
      <c r="BV60" s="128"/>
      <c r="BW60" s="54"/>
      <c r="BX60" s="64"/>
      <c r="BY60" s="69"/>
      <c r="BZ60" s="127"/>
      <c r="CB60" s="21"/>
      <c r="CC60" s="128"/>
      <c r="CD60" s="54"/>
      <c r="CE60" s="64"/>
      <c r="CF60" s="69"/>
      <c r="CG60" s="127"/>
      <c r="CI60" s="21"/>
      <c r="CJ60" s="128"/>
      <c r="CK60" s="54"/>
      <c r="CL60" s="64"/>
      <c r="CM60" s="69"/>
      <c r="CN60" s="127"/>
      <c r="CP60" s="21"/>
      <c r="CQ60" s="128"/>
      <c r="CR60" s="54"/>
      <c r="CS60" s="64"/>
      <c r="CT60" s="69"/>
      <c r="CV60" s="21"/>
      <c r="CW60" s="128"/>
      <c r="CX60" s="54"/>
      <c r="CY60" s="64"/>
      <c r="CZ60" s="69"/>
      <c r="DB60" s="21"/>
      <c r="DC60" s="128"/>
      <c r="DD60" s="54"/>
      <c r="DE60" s="64"/>
      <c r="DF60" s="69"/>
      <c r="DH60" s="21"/>
      <c r="DI60" s="128"/>
      <c r="DJ60" s="54"/>
      <c r="DK60" s="64"/>
      <c r="DL60" s="69"/>
      <c r="DN60" s="21"/>
      <c r="DO60" s="128"/>
      <c r="DP60" s="54"/>
      <c r="DQ60" s="64"/>
      <c r="DR60" s="69"/>
      <c r="DT60" s="21"/>
      <c r="DU60" s="128"/>
      <c r="DV60" s="54"/>
      <c r="DW60" s="64"/>
      <c r="DX60" s="69"/>
      <c r="DZ60" s="21"/>
      <c r="EA60" s="128"/>
      <c r="EB60" s="54"/>
      <c r="EC60" s="64"/>
      <c r="ED60" s="69"/>
      <c r="EF60" s="21"/>
      <c r="EG60" s="128"/>
      <c r="EH60" s="54"/>
      <c r="EI60" s="64"/>
      <c r="EJ60" s="69"/>
      <c r="EL60" s="21"/>
      <c r="EM60" s="128"/>
      <c r="EN60" s="54"/>
      <c r="EO60" s="64"/>
      <c r="EP60" s="69"/>
      <c r="ER60" s="21"/>
      <c r="ES60" s="128"/>
      <c r="ET60" s="54"/>
      <c r="EU60" s="64"/>
      <c r="EV60" s="69"/>
      <c r="EX60" s="21"/>
      <c r="EY60" s="128"/>
      <c r="EZ60" s="54"/>
      <c r="FA60" s="64"/>
      <c r="FB60" s="69"/>
      <c r="FD60" s="21"/>
      <c r="FE60" s="128"/>
      <c r="FF60" s="54"/>
      <c r="FG60" s="64"/>
      <c r="FH60" s="69"/>
      <c r="FJ60" s="21"/>
      <c r="FK60" s="128"/>
      <c r="FL60" s="54"/>
      <c r="FM60" s="64"/>
      <c r="FN60" s="69"/>
      <c r="FO60" s="128"/>
      <c r="FP60" s="54"/>
      <c r="FQ60" s="64"/>
      <c r="FR60" s="69"/>
      <c r="FT60" s="21"/>
      <c r="FU60" s="128"/>
      <c r="FV60" s="54"/>
      <c r="FW60" s="64"/>
      <c r="FX60" s="69"/>
      <c r="FZ60" s="21"/>
      <c r="GA60" s="128"/>
      <c r="GB60" s="54"/>
      <c r="GC60" s="64"/>
      <c r="GD60" s="69"/>
      <c r="GF60" s="21"/>
      <c r="GG60" s="128"/>
      <c r="GH60" s="54"/>
      <c r="GI60" s="64"/>
      <c r="GJ60" s="69"/>
      <c r="GL60" s="21"/>
      <c r="GM60" s="128"/>
      <c r="GN60" s="54"/>
      <c r="GO60" s="64"/>
      <c r="GP60" s="69"/>
      <c r="GR60" s="21"/>
      <c r="GS60" s="128"/>
      <c r="GT60" s="54"/>
      <c r="GU60" s="64"/>
      <c r="GV60" s="69"/>
      <c r="GX60" s="21"/>
      <c r="GY60" s="128"/>
      <c r="GZ60" s="54"/>
      <c r="HA60" s="64"/>
      <c r="HB60" s="69"/>
      <c r="HD60" s="21"/>
      <c r="HE60" s="128"/>
      <c r="HF60" s="54"/>
      <c r="HG60" s="64"/>
      <c r="HH60" s="69"/>
      <c r="HJ60" s="21"/>
      <c r="HK60" s="128"/>
      <c r="HL60" s="54"/>
      <c r="HM60" s="64"/>
      <c r="HN60" s="69"/>
      <c r="HP60" s="21"/>
      <c r="HQ60" s="128"/>
      <c r="HR60" s="54"/>
      <c r="HS60" s="64"/>
      <c r="HT60" s="69"/>
      <c r="HV60" s="21"/>
      <c r="HW60" s="128"/>
      <c r="HX60" s="54"/>
      <c r="HY60" s="64"/>
      <c r="HZ60" s="69"/>
      <c r="IB60" s="21"/>
      <c r="IC60" s="128"/>
      <c r="ID60" s="54"/>
      <c r="IE60" s="64"/>
      <c r="IF60" s="69"/>
      <c r="IH60" s="21"/>
      <c r="IJ60" s="21"/>
      <c r="IK60" s="128"/>
      <c r="IL60" s="54"/>
      <c r="IM60" s="64"/>
      <c r="IN60" s="69"/>
      <c r="IP60" s="21"/>
      <c r="IQ60" s="128"/>
      <c r="IR60" s="54"/>
      <c r="IS60" s="64"/>
      <c r="IT60" s="69"/>
      <c r="IV60" s="21"/>
      <c r="IW60" s="128"/>
      <c r="IX60" s="54"/>
      <c r="IY60" s="64"/>
      <c r="IZ60" s="69"/>
      <c r="JB60" s="21"/>
      <c r="JC60" s="128"/>
      <c r="JD60" s="54"/>
      <c r="JE60" s="64"/>
      <c r="JF60" s="69"/>
      <c r="JH60" s="21"/>
      <c r="JI60" s="128"/>
      <c r="JJ60" s="54"/>
      <c r="JK60" s="64"/>
      <c r="JL60" s="69"/>
      <c r="JN60" s="21"/>
      <c r="JO60" s="128"/>
      <c r="JP60" s="54"/>
      <c r="JQ60" s="64"/>
      <c r="JR60" s="69"/>
      <c r="JT60" s="21"/>
      <c r="JU60" s="128"/>
      <c r="JV60" s="54"/>
      <c r="JW60" s="64"/>
      <c r="JX60" s="69"/>
      <c r="JZ60" s="21"/>
      <c r="KA60" s="128"/>
      <c r="KB60" s="54"/>
      <c r="KC60" s="64"/>
      <c r="KD60" s="69"/>
      <c r="KF60" s="38"/>
      <c r="KG60" s="35"/>
      <c r="KI60" s="54"/>
      <c r="KJ60" s="64"/>
      <c r="KK60" s="69"/>
      <c r="KL60" s="126"/>
      <c r="KM60" s="127"/>
      <c r="KO60" s="38"/>
      <c r="KP60" s="83"/>
      <c r="KQ60" s="158"/>
      <c r="KR60" s="174"/>
      <c r="KS60" s="38"/>
      <c r="KT60" s="35"/>
      <c r="KV60" s="54"/>
      <c r="KW60" s="64"/>
      <c r="KX60" s="69"/>
      <c r="KY60" s="126"/>
      <c r="KZ60" s="127"/>
      <c r="LB60" s="38"/>
      <c r="LC60" s="83"/>
      <c r="LD60" s="158"/>
      <c r="LE60" s="174"/>
      <c r="LF60" s="38"/>
      <c r="LG60" s="35"/>
      <c r="LI60" s="54"/>
      <c r="LJ60" s="64"/>
      <c r="LK60" s="69"/>
      <c r="LL60" s="126"/>
      <c r="LM60" s="127"/>
      <c r="LO60" s="38"/>
      <c r="LP60" s="83"/>
      <c r="LQ60" s="158"/>
      <c r="LR60" s="174"/>
      <c r="LS60" s="38"/>
      <c r="LT60" s="35"/>
      <c r="LV60" s="54"/>
      <c r="LW60" s="64"/>
      <c r="LX60" s="69"/>
      <c r="LY60" s="126"/>
      <c r="LZ60" s="127"/>
      <c r="MB60" s="38"/>
      <c r="MC60" s="83"/>
      <c r="MD60" s="158"/>
      <c r="ME60" s="174"/>
      <c r="MF60" s="38"/>
      <c r="MG60" s="35"/>
      <c r="MI60" s="54"/>
      <c r="MJ60" s="64"/>
      <c r="MK60" s="69"/>
      <c r="ML60" s="126"/>
      <c r="MM60" s="127"/>
      <c r="MO60" s="38"/>
      <c r="MP60" s="83"/>
      <c r="MQ60" s="158"/>
      <c r="MR60" s="174"/>
      <c r="MT60" s="4">
        <f t="shared" si="10"/>
        <v>15</v>
      </c>
      <c r="NC60" s="21"/>
      <c r="ND60" s="128"/>
      <c r="NE60" s="54"/>
    </row>
    <row r="61" spans="1:369" x14ac:dyDescent="0.15">
      <c r="A61" s="5" t="s">
        <v>174</v>
      </c>
      <c r="B61" s="17"/>
      <c r="C61" s="21"/>
      <c r="D61" s="111"/>
      <c r="E61" s="112"/>
      <c r="F61" s="113"/>
      <c r="G61" s="145"/>
      <c r="H61" s="169"/>
      <c r="I61" s="114"/>
      <c r="J61" s="21"/>
      <c r="K61" s="111"/>
      <c r="L61" s="112"/>
      <c r="M61" s="113"/>
      <c r="N61" s="145"/>
      <c r="O61" s="169"/>
      <c r="P61" s="4">
        <v>1</v>
      </c>
      <c r="Q61" s="138">
        <v>1</v>
      </c>
      <c r="R61" s="128">
        <v>1</v>
      </c>
      <c r="S61" s="54">
        <v>1</v>
      </c>
      <c r="T61" s="113"/>
      <c r="U61" s="145"/>
      <c r="V61" s="169">
        <v>1</v>
      </c>
      <c r="W61" s="4">
        <v>1</v>
      </c>
      <c r="X61" s="138">
        <v>3</v>
      </c>
      <c r="Y61" s="128">
        <v>1</v>
      </c>
      <c r="Z61" s="54">
        <v>2</v>
      </c>
      <c r="AA61" s="113"/>
      <c r="AB61" s="145"/>
      <c r="AC61" s="169">
        <v>1</v>
      </c>
      <c r="AD61" s="4">
        <v>1</v>
      </c>
      <c r="AE61" s="138">
        <v>1</v>
      </c>
      <c r="AF61" s="128">
        <v>1</v>
      </c>
      <c r="AG61" s="54">
        <v>1</v>
      </c>
      <c r="AH61" s="118"/>
      <c r="AI61" s="146"/>
      <c r="AJ61" s="170">
        <v>1</v>
      </c>
      <c r="AK61" s="4"/>
      <c r="AL61" s="138">
        <v>1</v>
      </c>
      <c r="AM61" s="128"/>
      <c r="AN61" s="54">
        <v>1</v>
      </c>
      <c r="AO61" s="118"/>
      <c r="AP61" s="146"/>
      <c r="AQ61" s="170"/>
      <c r="AR61" s="4"/>
      <c r="AS61" s="138">
        <v>1</v>
      </c>
      <c r="AT61" s="128">
        <v>1</v>
      </c>
      <c r="AU61" s="54">
        <v>1</v>
      </c>
      <c r="AV61" s="113"/>
      <c r="AW61" s="145">
        <v>1</v>
      </c>
      <c r="AX61" s="169">
        <v>2</v>
      </c>
      <c r="AY61" s="4"/>
      <c r="AZ61" s="138"/>
      <c r="BA61" s="128">
        <v>1</v>
      </c>
      <c r="BB61" s="54">
        <v>1</v>
      </c>
      <c r="BC61" s="118"/>
      <c r="BD61" s="146"/>
      <c r="BE61" s="170">
        <v>1</v>
      </c>
      <c r="BF61" s="4">
        <v>1</v>
      </c>
      <c r="BG61" s="138">
        <v>2</v>
      </c>
      <c r="BH61" s="128">
        <v>1</v>
      </c>
      <c r="BI61" s="54">
        <v>1</v>
      </c>
      <c r="BJ61" s="113"/>
      <c r="BK61" s="145"/>
      <c r="BL61" s="169">
        <v>1</v>
      </c>
      <c r="BM61" s="114"/>
      <c r="BN61" s="115"/>
      <c r="BO61" s="111"/>
      <c r="BP61" s="112"/>
      <c r="BQ61" s="113"/>
      <c r="BR61" s="145"/>
      <c r="BS61" s="169"/>
      <c r="BT61" s="114"/>
      <c r="BU61" s="115"/>
      <c r="BV61" s="111"/>
      <c r="BW61" s="112"/>
      <c r="BX61" s="113"/>
      <c r="BY61" s="145"/>
      <c r="BZ61" s="169"/>
      <c r="CA61" s="4"/>
      <c r="CB61" s="138"/>
      <c r="CC61" s="128">
        <v>1</v>
      </c>
      <c r="CD61" s="54">
        <v>1</v>
      </c>
      <c r="CE61" s="113"/>
      <c r="CF61" s="145">
        <v>2</v>
      </c>
      <c r="CG61" s="169">
        <v>1</v>
      </c>
      <c r="CH61" s="4"/>
      <c r="CI61" s="138">
        <v>1</v>
      </c>
      <c r="CJ61" s="128">
        <v>1</v>
      </c>
      <c r="CK61" s="54">
        <v>1</v>
      </c>
      <c r="CL61" s="113"/>
      <c r="CM61" s="145"/>
      <c r="CN61" s="169">
        <v>1</v>
      </c>
      <c r="CP61" s="120"/>
      <c r="CQ61" s="119"/>
      <c r="CR61" s="121"/>
      <c r="CS61" s="122"/>
      <c r="CT61" s="150"/>
      <c r="CU61" s="4"/>
      <c r="CV61" s="138"/>
      <c r="CW61" s="38">
        <v>1</v>
      </c>
      <c r="CX61" s="112">
        <v>1</v>
      </c>
      <c r="CY61" s="113"/>
      <c r="CZ61" s="145"/>
      <c r="DA61" s="114"/>
      <c r="DB61" s="115"/>
      <c r="DC61" s="116"/>
      <c r="DD61" s="117"/>
      <c r="DE61" s="118"/>
      <c r="DF61" s="146"/>
      <c r="DG61" s="114"/>
      <c r="DH61" s="115"/>
      <c r="DI61" s="111"/>
      <c r="DJ61" s="112"/>
      <c r="DK61" s="113"/>
      <c r="DL61" s="145"/>
      <c r="DM61" s="114"/>
      <c r="DN61" s="115"/>
      <c r="DO61" s="111"/>
      <c r="DP61" s="112"/>
      <c r="DQ61" s="113"/>
      <c r="DR61" s="145"/>
      <c r="DS61" s="114"/>
      <c r="DT61" s="115"/>
      <c r="DU61" s="111"/>
      <c r="DV61" s="112"/>
      <c r="DW61" s="113"/>
      <c r="DX61" s="145"/>
      <c r="DY61" s="114"/>
      <c r="DZ61" s="115"/>
      <c r="EA61" s="111"/>
      <c r="EB61" s="112"/>
      <c r="EC61" s="113"/>
      <c r="ED61" s="145"/>
      <c r="EE61" s="114"/>
      <c r="EF61" s="115"/>
      <c r="EG61" s="111"/>
      <c r="EH61" s="112"/>
      <c r="EI61" s="113"/>
      <c r="EJ61" s="145"/>
      <c r="EK61" s="114"/>
      <c r="EL61" s="115"/>
      <c r="EM61" s="111"/>
      <c r="EN61" s="112"/>
      <c r="EO61" s="113"/>
      <c r="EP61" s="145"/>
      <c r="EQ61" s="114"/>
      <c r="ER61" s="115"/>
      <c r="ES61" s="111"/>
      <c r="ET61" s="112"/>
      <c r="EU61" s="113"/>
      <c r="EV61" s="145"/>
      <c r="EW61" s="114"/>
      <c r="EX61" s="115"/>
      <c r="EY61" s="111"/>
      <c r="EZ61" s="112"/>
      <c r="FA61" s="113"/>
      <c r="FB61" s="145"/>
      <c r="FC61" s="4"/>
      <c r="FD61" s="138"/>
      <c r="FE61" s="38">
        <v>1</v>
      </c>
      <c r="FF61" s="117">
        <v>1</v>
      </c>
      <c r="FG61" s="118"/>
      <c r="FH61" s="146">
        <v>2</v>
      </c>
      <c r="FI61" s="114"/>
      <c r="FJ61" s="115"/>
      <c r="FK61" s="111"/>
      <c r="FL61" s="112"/>
      <c r="FM61" s="113"/>
      <c r="FN61" s="145"/>
      <c r="FO61" s="111"/>
      <c r="FP61" s="112"/>
      <c r="FQ61" s="113"/>
      <c r="FR61" s="145"/>
      <c r="FS61" s="4">
        <v>1</v>
      </c>
      <c r="FT61" s="138"/>
      <c r="FU61" s="38"/>
      <c r="FV61" s="112"/>
      <c r="FW61" s="113"/>
      <c r="FX61" s="145"/>
      <c r="FY61" s="114"/>
      <c r="FZ61" s="115"/>
      <c r="GA61" s="111"/>
      <c r="GB61" s="112"/>
      <c r="GC61" s="113"/>
      <c r="GD61" s="145"/>
      <c r="GF61" s="120"/>
      <c r="GG61" s="119"/>
      <c r="GH61" s="121"/>
      <c r="GI61" s="122"/>
      <c r="GJ61" s="150"/>
      <c r="GK61" s="123"/>
      <c r="GL61" s="115"/>
      <c r="GM61" s="111"/>
      <c r="GN61" s="112"/>
      <c r="GO61" s="113"/>
      <c r="GP61" s="145"/>
      <c r="GQ61" s="114"/>
      <c r="GR61" s="115"/>
      <c r="GS61" s="111"/>
      <c r="GT61" s="112"/>
      <c r="GU61" s="113"/>
      <c r="GV61" s="145"/>
      <c r="GW61" s="114"/>
      <c r="GX61" s="115"/>
      <c r="GY61" s="111"/>
      <c r="GZ61" s="112"/>
      <c r="HA61" s="113"/>
      <c r="HB61" s="145"/>
      <c r="HC61" s="114"/>
      <c r="HD61" s="115"/>
      <c r="HE61" s="111"/>
      <c r="HF61" s="112"/>
      <c r="HG61" s="113"/>
      <c r="HH61" s="145"/>
      <c r="HI61" s="114"/>
      <c r="HJ61" s="115"/>
      <c r="HK61" s="111"/>
      <c r="HL61" s="112"/>
      <c r="HM61" s="113"/>
      <c r="HN61" s="145"/>
      <c r="HO61" s="114"/>
      <c r="HP61" s="115"/>
      <c r="HQ61" s="111"/>
      <c r="HR61" s="112"/>
      <c r="HS61" s="113"/>
      <c r="HT61" s="145"/>
      <c r="HU61" s="114"/>
      <c r="HV61" s="115"/>
      <c r="HW61" s="111"/>
      <c r="HX61" s="112"/>
      <c r="HY61" s="113"/>
      <c r="HZ61" s="145"/>
      <c r="IA61" s="114"/>
      <c r="IB61" s="115"/>
      <c r="IC61" s="111"/>
      <c r="ID61" s="112"/>
      <c r="IE61" s="113"/>
      <c r="IF61" s="145"/>
      <c r="IG61" s="114"/>
      <c r="IH61" s="115"/>
      <c r="II61" s="114"/>
      <c r="IJ61" s="115"/>
      <c r="IK61" s="111"/>
      <c r="IL61" s="112"/>
      <c r="IM61" s="113"/>
      <c r="IN61" s="145"/>
      <c r="IO61" s="114"/>
      <c r="IP61" s="115"/>
      <c r="IQ61" s="111"/>
      <c r="IR61" s="112"/>
      <c r="IS61" s="113"/>
      <c r="IT61" s="145"/>
      <c r="IU61" s="114"/>
      <c r="IV61" s="115"/>
      <c r="IW61" s="111"/>
      <c r="IX61" s="112"/>
      <c r="IY61" s="113"/>
      <c r="IZ61" s="145"/>
      <c r="JA61" s="114"/>
      <c r="JB61" s="115"/>
      <c r="JC61" s="111"/>
      <c r="JD61" s="112"/>
      <c r="JE61" s="113"/>
      <c r="JF61" s="145"/>
      <c r="JG61" s="4">
        <v>3</v>
      </c>
      <c r="JH61" s="138">
        <v>1</v>
      </c>
      <c r="JI61" s="128">
        <v>1</v>
      </c>
      <c r="JJ61" s="112"/>
      <c r="JK61" s="113"/>
      <c r="JL61" s="145">
        <v>1</v>
      </c>
      <c r="JM61" s="4">
        <v>3</v>
      </c>
      <c r="JN61" s="138">
        <v>1</v>
      </c>
      <c r="JO61" s="111"/>
      <c r="JP61" s="112"/>
      <c r="JQ61" s="113"/>
      <c r="JR61" s="145"/>
      <c r="JS61" s="4">
        <v>1</v>
      </c>
      <c r="JT61" s="138">
        <v>1</v>
      </c>
      <c r="JU61" s="128">
        <v>1</v>
      </c>
      <c r="JV61" s="112"/>
      <c r="JW61" s="113"/>
      <c r="JX61" s="145"/>
      <c r="JY61" s="4">
        <v>1</v>
      </c>
      <c r="JZ61" s="115"/>
      <c r="KA61" s="111"/>
      <c r="KB61" s="112"/>
      <c r="KC61" s="113"/>
      <c r="KD61" s="145"/>
      <c r="KF61" s="38"/>
      <c r="KG61" s="35"/>
      <c r="KI61" s="54"/>
      <c r="KJ61" s="64"/>
      <c r="KK61" s="69"/>
      <c r="KL61" s="126"/>
      <c r="KM61" s="127"/>
      <c r="KO61" s="38"/>
      <c r="KP61" s="83"/>
      <c r="KQ61" s="158"/>
      <c r="KR61" s="174"/>
      <c r="KS61" s="38"/>
      <c r="KT61" s="35"/>
      <c r="KV61" s="54"/>
      <c r="KW61" s="64"/>
      <c r="KX61" s="69"/>
      <c r="KY61" s="126"/>
      <c r="KZ61" s="127"/>
      <c r="LB61" s="38"/>
      <c r="LC61" s="83"/>
      <c r="LD61" s="158"/>
      <c r="LE61" s="174"/>
      <c r="LF61" s="38"/>
      <c r="LG61" s="35"/>
      <c r="LI61" s="54"/>
      <c r="LJ61" s="64"/>
      <c r="LK61" s="69"/>
      <c r="LL61" s="126"/>
      <c r="LM61" s="127"/>
      <c r="LO61" s="38"/>
      <c r="LP61" s="83"/>
      <c r="LQ61" s="158"/>
      <c r="LR61" s="174"/>
      <c r="LS61" s="38"/>
      <c r="LT61" s="35"/>
      <c r="LV61" s="54"/>
      <c r="LW61" s="64"/>
      <c r="LX61" s="69"/>
      <c r="LY61" s="126"/>
      <c r="LZ61" s="127"/>
      <c r="MB61" s="38"/>
      <c r="MC61" s="83"/>
      <c r="MD61" s="158"/>
      <c r="ME61" s="174"/>
      <c r="MF61" s="38"/>
      <c r="MG61" s="35"/>
      <c r="MI61" s="54"/>
      <c r="MJ61" s="64"/>
      <c r="MK61" s="69"/>
      <c r="ML61" s="126"/>
      <c r="MM61" s="127"/>
      <c r="MO61" s="38"/>
      <c r="MP61" s="83"/>
      <c r="MQ61" s="158"/>
      <c r="MR61" s="174"/>
      <c r="MT61" s="4">
        <f t="shared" si="10"/>
        <v>54</v>
      </c>
      <c r="NB61" s="114"/>
      <c r="NC61" s="115"/>
      <c r="ND61" s="111"/>
      <c r="NE61" s="112"/>
    </row>
    <row r="62" spans="1:369" x14ac:dyDescent="0.15">
      <c r="A62" s="2" t="s">
        <v>22</v>
      </c>
      <c r="B62">
        <v>2</v>
      </c>
      <c r="C62" s="21">
        <v>2</v>
      </c>
      <c r="D62" s="128">
        <v>1</v>
      </c>
      <c r="E62" s="54">
        <v>2</v>
      </c>
      <c r="F62" s="64">
        <v>3</v>
      </c>
      <c r="G62" s="69">
        <v>1</v>
      </c>
      <c r="H62" s="127">
        <v>2</v>
      </c>
      <c r="J62" s="21">
        <v>1</v>
      </c>
      <c r="K62" s="128">
        <v>1</v>
      </c>
      <c r="L62" s="54">
        <v>1</v>
      </c>
      <c r="M62" s="64">
        <v>1</v>
      </c>
      <c r="N62" s="69">
        <v>1</v>
      </c>
      <c r="O62" s="127">
        <v>1</v>
      </c>
      <c r="Q62" s="21"/>
      <c r="R62" s="128">
        <v>1</v>
      </c>
      <c r="S62" s="54"/>
      <c r="T62" s="64">
        <v>1</v>
      </c>
      <c r="U62" s="69">
        <v>1</v>
      </c>
      <c r="V62" s="127">
        <v>1</v>
      </c>
      <c r="W62">
        <v>1</v>
      </c>
      <c r="X62" s="21">
        <v>2</v>
      </c>
      <c r="Y62" s="128">
        <v>1</v>
      </c>
      <c r="Z62" s="54">
        <v>1</v>
      </c>
      <c r="AA62" s="64">
        <v>1</v>
      </c>
      <c r="AB62" s="69">
        <v>1</v>
      </c>
      <c r="AC62" s="127">
        <v>2</v>
      </c>
      <c r="AD62">
        <v>1</v>
      </c>
      <c r="AE62" s="21">
        <v>1</v>
      </c>
      <c r="AF62" s="128">
        <v>1</v>
      </c>
      <c r="AG62" s="54">
        <v>1</v>
      </c>
      <c r="AH62" s="64">
        <v>1</v>
      </c>
      <c r="AI62" s="69">
        <v>1</v>
      </c>
      <c r="AJ62" s="127">
        <v>1</v>
      </c>
      <c r="AL62" s="21"/>
      <c r="AM62" s="128"/>
      <c r="AN62" s="54"/>
      <c r="AO62" s="64"/>
      <c r="AP62" s="69"/>
      <c r="AQ62" s="127"/>
      <c r="AS62" s="21">
        <v>1</v>
      </c>
      <c r="AT62" s="128"/>
      <c r="AU62" s="54"/>
      <c r="AV62" s="64"/>
      <c r="AW62" s="69">
        <v>1</v>
      </c>
      <c r="AX62" s="127"/>
      <c r="AZ62" s="21">
        <v>1</v>
      </c>
      <c r="BA62" s="128"/>
      <c r="BB62" s="54"/>
      <c r="BC62" s="64"/>
      <c r="BD62" s="69">
        <v>1</v>
      </c>
      <c r="BE62" s="127">
        <v>1</v>
      </c>
      <c r="BG62" s="21"/>
      <c r="BH62" s="128"/>
      <c r="BI62" s="54"/>
      <c r="BJ62" s="64">
        <v>1</v>
      </c>
      <c r="BK62" s="69">
        <v>1</v>
      </c>
      <c r="BL62" s="127"/>
      <c r="BN62" s="21"/>
      <c r="BO62" s="128"/>
      <c r="BP62" s="54"/>
      <c r="BQ62" s="64"/>
      <c r="BR62" s="69">
        <v>1</v>
      </c>
      <c r="BS62" s="127"/>
      <c r="BU62" s="21"/>
      <c r="BV62" s="128"/>
      <c r="BW62" s="54"/>
      <c r="BX62" s="64"/>
      <c r="BY62" s="69"/>
      <c r="BZ62" s="127"/>
      <c r="CB62" s="21"/>
      <c r="CC62" s="128"/>
      <c r="CD62" s="54"/>
      <c r="CE62" s="64"/>
      <c r="CF62" s="69"/>
      <c r="CG62" s="127"/>
      <c r="CI62" s="21"/>
      <c r="CJ62" s="128"/>
      <c r="CK62" s="54"/>
      <c r="CL62" s="64"/>
      <c r="CM62" s="69"/>
      <c r="CN62" s="127"/>
      <c r="CP62" s="21"/>
      <c r="CQ62" s="128"/>
      <c r="CR62" s="54"/>
      <c r="CS62" s="64"/>
      <c r="CT62" s="69"/>
      <c r="CU62">
        <v>4</v>
      </c>
      <c r="CV62" s="21"/>
      <c r="CW62" s="128"/>
      <c r="CX62" s="54"/>
      <c r="CY62" s="64"/>
      <c r="CZ62" s="69">
        <v>1</v>
      </c>
      <c r="DB62" s="21"/>
      <c r="DC62" s="128"/>
      <c r="DD62" s="54"/>
      <c r="DE62" s="64"/>
      <c r="DF62" s="69"/>
      <c r="DH62" s="21"/>
      <c r="DI62" s="128"/>
      <c r="DJ62" s="54"/>
      <c r="DK62" s="64"/>
      <c r="DL62" s="69"/>
      <c r="DN62" s="21"/>
      <c r="DO62" s="128"/>
      <c r="DP62" s="54"/>
      <c r="DQ62" s="64"/>
      <c r="DR62" s="69"/>
      <c r="DT62" s="21"/>
      <c r="DU62" s="128"/>
      <c r="DV62" s="54"/>
      <c r="DW62" s="64"/>
      <c r="DX62" s="69"/>
      <c r="DZ62" s="21"/>
      <c r="EA62" s="128"/>
      <c r="EB62" s="54"/>
      <c r="EC62" s="64"/>
      <c r="ED62" s="69"/>
      <c r="EF62" s="21"/>
      <c r="EG62" s="128"/>
      <c r="EH62" s="54"/>
      <c r="EI62" s="64"/>
      <c r="EJ62" s="69"/>
      <c r="EL62" s="21"/>
      <c r="EM62" s="128"/>
      <c r="EN62" s="54"/>
      <c r="EO62" s="64"/>
      <c r="EP62" s="69"/>
      <c r="ER62" s="21"/>
      <c r="ES62" s="128"/>
      <c r="ET62" s="54"/>
      <c r="EU62" s="64"/>
      <c r="EV62" s="69"/>
      <c r="EX62" s="21"/>
      <c r="EY62" s="128"/>
      <c r="EZ62" s="54"/>
      <c r="FA62" s="64"/>
      <c r="FB62" s="69"/>
      <c r="FD62" s="21"/>
      <c r="FE62" s="128"/>
      <c r="FF62" s="54"/>
      <c r="FG62" s="64"/>
      <c r="FH62" s="69"/>
      <c r="FJ62" s="21"/>
      <c r="FK62" s="128"/>
      <c r="FL62" s="54"/>
      <c r="FM62" s="64"/>
      <c r="FN62" s="69"/>
      <c r="FO62" s="128"/>
      <c r="FP62" s="54"/>
      <c r="FQ62" s="64"/>
      <c r="FR62" s="69"/>
      <c r="FS62">
        <v>1</v>
      </c>
      <c r="FT62" s="21"/>
      <c r="FU62" s="128"/>
      <c r="FV62" s="54"/>
      <c r="FW62" s="64"/>
      <c r="FX62" s="69"/>
      <c r="FY62">
        <v>1</v>
      </c>
      <c r="FZ62" s="21"/>
      <c r="GA62" s="128"/>
      <c r="GB62" s="54"/>
      <c r="GC62" s="64"/>
      <c r="GD62" s="69"/>
      <c r="GF62" s="21">
        <v>1</v>
      </c>
      <c r="GG62" s="128"/>
      <c r="GH62" s="54"/>
      <c r="GI62" s="64"/>
      <c r="GJ62" s="69"/>
      <c r="GL62" s="21"/>
      <c r="GM62" s="128"/>
      <c r="GN62" s="54"/>
      <c r="GO62" s="64"/>
      <c r="GP62" s="69"/>
      <c r="GR62" s="21"/>
      <c r="GS62" s="128"/>
      <c r="GT62" s="54"/>
      <c r="GU62" s="64"/>
      <c r="GV62" s="69"/>
      <c r="GX62" s="21"/>
      <c r="GY62" s="128"/>
      <c r="GZ62" s="54"/>
      <c r="HA62" s="64"/>
      <c r="HB62" s="69"/>
      <c r="HD62" s="21"/>
      <c r="HE62" s="128"/>
      <c r="HF62" s="54"/>
      <c r="HG62" s="64"/>
      <c r="HH62" s="69"/>
      <c r="HJ62" s="21"/>
      <c r="HK62" s="128"/>
      <c r="HL62" s="54"/>
      <c r="HM62" s="64"/>
      <c r="HN62" s="69"/>
      <c r="HP62" s="21"/>
      <c r="HQ62" s="128"/>
      <c r="HR62" s="54"/>
      <c r="HS62" s="64"/>
      <c r="HT62" s="69"/>
      <c r="HV62" s="21"/>
      <c r="HW62" s="128"/>
      <c r="HX62" s="54"/>
      <c r="HY62" s="64"/>
      <c r="HZ62" s="69"/>
      <c r="IB62" s="21"/>
      <c r="IC62" s="128"/>
      <c r="ID62" s="54"/>
      <c r="IE62" s="64"/>
      <c r="IF62" s="69"/>
      <c r="IH62" s="21"/>
      <c r="IJ62" s="21"/>
      <c r="IK62" s="128"/>
      <c r="IL62" s="54"/>
      <c r="IM62" s="64"/>
      <c r="IN62" s="69"/>
      <c r="IP62" s="21"/>
      <c r="IQ62" s="128"/>
      <c r="IR62" s="54"/>
      <c r="IS62" s="64"/>
      <c r="IT62" s="69"/>
      <c r="IV62" s="21"/>
      <c r="IW62" s="128"/>
      <c r="IX62" s="54"/>
      <c r="IY62" s="64"/>
      <c r="IZ62" s="69"/>
      <c r="JB62" s="21"/>
      <c r="JC62" s="128"/>
      <c r="JD62" s="54"/>
      <c r="JE62" s="64"/>
      <c r="JF62" s="69"/>
      <c r="JH62" s="21"/>
      <c r="JI62" s="128"/>
      <c r="JJ62" s="54"/>
      <c r="JK62" s="64"/>
      <c r="JL62" s="69"/>
      <c r="JN62" s="21"/>
      <c r="JO62" s="128"/>
      <c r="JP62" s="54"/>
      <c r="JQ62" s="64"/>
      <c r="JR62" s="69"/>
      <c r="JT62" s="21"/>
      <c r="JU62" s="128"/>
      <c r="JV62" s="54"/>
      <c r="JW62" s="64"/>
      <c r="JX62" s="69"/>
      <c r="JZ62" s="21"/>
      <c r="KA62" s="128"/>
      <c r="KB62" s="54"/>
      <c r="KC62" s="64"/>
      <c r="KD62" s="69"/>
      <c r="KF62" s="38"/>
      <c r="KG62" s="35"/>
      <c r="KI62" s="54"/>
      <c r="KJ62" s="64"/>
      <c r="KK62" s="69"/>
      <c r="KL62" s="126"/>
      <c r="KM62" s="127"/>
      <c r="KO62" s="38"/>
      <c r="KP62" s="83"/>
      <c r="KQ62" s="158"/>
      <c r="KR62" s="174"/>
      <c r="KS62" s="38"/>
      <c r="KT62" s="35"/>
      <c r="KV62" s="54"/>
      <c r="KW62" s="64"/>
      <c r="KX62" s="69"/>
      <c r="KY62" s="126"/>
      <c r="KZ62" s="127"/>
      <c r="LB62" s="38"/>
      <c r="LC62" s="83"/>
      <c r="LD62" s="158"/>
      <c r="LE62" s="174"/>
      <c r="LF62" s="38"/>
      <c r="LG62" s="35"/>
      <c r="LI62" s="54"/>
      <c r="LJ62" s="64"/>
      <c r="LK62" s="69"/>
      <c r="LL62" s="126"/>
      <c r="LM62" s="127"/>
      <c r="LO62" s="38"/>
      <c r="LP62" s="83"/>
      <c r="LQ62" s="158"/>
      <c r="LR62" s="174"/>
      <c r="LS62" s="38"/>
      <c r="LT62" s="35"/>
      <c r="LV62" s="54"/>
      <c r="LW62" s="64"/>
      <c r="LX62" s="69"/>
      <c r="LY62" s="126"/>
      <c r="LZ62" s="127"/>
      <c r="MB62" s="38"/>
      <c r="MC62" s="83"/>
      <c r="MD62" s="158"/>
      <c r="ME62" s="174"/>
      <c r="MF62" s="38"/>
      <c r="MG62" s="35"/>
      <c r="MI62" s="54"/>
      <c r="MJ62" s="64"/>
      <c r="MK62" s="69"/>
      <c r="ML62" s="126"/>
      <c r="MM62" s="127"/>
      <c r="MO62" s="38"/>
      <c r="MP62" s="83"/>
      <c r="MQ62" s="158"/>
      <c r="MR62" s="174"/>
      <c r="MT62" s="4">
        <f t="shared" si="10"/>
        <v>44</v>
      </c>
      <c r="NC62" s="21"/>
      <c r="ND62" s="128"/>
      <c r="NE62" s="54"/>
    </row>
    <row r="63" spans="1:369" x14ac:dyDescent="0.15">
      <c r="A63" s="5" t="s">
        <v>132</v>
      </c>
      <c r="C63" s="21"/>
      <c r="D63" s="128"/>
      <c r="E63" s="54"/>
      <c r="F63" s="64"/>
      <c r="G63" s="69"/>
      <c r="H63" s="127"/>
      <c r="J63" s="21"/>
      <c r="K63" s="128"/>
      <c r="L63" s="54"/>
      <c r="M63" s="64"/>
      <c r="N63" s="69"/>
      <c r="O63" s="127"/>
      <c r="Q63" s="21"/>
      <c r="R63" s="128"/>
      <c r="S63" s="54"/>
      <c r="T63" s="64"/>
      <c r="U63" s="69"/>
      <c r="V63" s="127"/>
      <c r="X63" s="21"/>
      <c r="Y63" s="128"/>
      <c r="Z63" s="54"/>
      <c r="AA63" s="64"/>
      <c r="AB63" s="69"/>
      <c r="AC63" s="127"/>
      <c r="AE63" s="21"/>
      <c r="AF63" s="128"/>
      <c r="AG63" s="54"/>
      <c r="AH63" s="64"/>
      <c r="AI63" s="69"/>
      <c r="AJ63" s="127"/>
      <c r="AL63" s="21"/>
      <c r="AM63" s="128"/>
      <c r="AN63" s="54"/>
      <c r="AO63" s="64">
        <v>1</v>
      </c>
      <c r="AP63" s="69"/>
      <c r="AQ63" s="127"/>
      <c r="AS63" s="21"/>
      <c r="AT63" s="128"/>
      <c r="AU63" s="54"/>
      <c r="AV63" s="64"/>
      <c r="AW63" s="69"/>
      <c r="AX63" s="127"/>
      <c r="AZ63" s="21"/>
      <c r="BA63" s="128"/>
      <c r="BB63" s="54"/>
      <c r="BC63" s="64"/>
      <c r="BD63" s="69"/>
      <c r="BE63" s="127"/>
      <c r="BG63" s="21"/>
      <c r="BH63" s="128"/>
      <c r="BI63" s="54"/>
      <c r="BJ63" s="64"/>
      <c r="BK63" s="69"/>
      <c r="BL63" s="127"/>
      <c r="BN63" s="21"/>
      <c r="BO63" s="128"/>
      <c r="BP63" s="54"/>
      <c r="BQ63" s="64"/>
      <c r="BR63" s="69"/>
      <c r="BS63" s="127"/>
      <c r="BU63" s="21"/>
      <c r="BV63" s="128"/>
      <c r="BW63" s="54"/>
      <c r="BX63" s="64"/>
      <c r="BY63" s="69"/>
      <c r="BZ63" s="127"/>
      <c r="CB63" s="21"/>
      <c r="CC63" s="128"/>
      <c r="CD63" s="54"/>
      <c r="CE63" s="64"/>
      <c r="CF63" s="69"/>
      <c r="CG63" s="127"/>
      <c r="CI63" s="21"/>
      <c r="CJ63" s="128"/>
      <c r="CK63" s="54"/>
      <c r="CL63" s="64"/>
      <c r="CM63" s="69"/>
      <c r="CN63" s="127"/>
      <c r="CP63" s="21"/>
      <c r="CQ63" s="128"/>
      <c r="CR63" s="54"/>
      <c r="CS63" s="64"/>
      <c r="CT63" s="69"/>
      <c r="CV63" s="21"/>
      <c r="CW63" s="128"/>
      <c r="CX63" s="54"/>
      <c r="CY63" s="64"/>
      <c r="CZ63" s="69"/>
      <c r="DB63" s="21"/>
      <c r="DC63" s="128"/>
      <c r="DD63" s="54"/>
      <c r="DE63" s="64"/>
      <c r="DF63" s="69"/>
      <c r="DH63" s="21"/>
      <c r="DI63" s="128"/>
      <c r="DJ63" s="54"/>
      <c r="DK63" s="64"/>
      <c r="DL63" s="69"/>
      <c r="DN63" s="21"/>
      <c r="DO63" s="128"/>
      <c r="DP63" s="54"/>
      <c r="DQ63" s="64"/>
      <c r="DR63" s="69"/>
      <c r="DT63" s="21"/>
      <c r="DU63" s="128"/>
      <c r="DV63" s="54"/>
      <c r="DW63" s="64"/>
      <c r="DX63" s="69"/>
      <c r="DZ63" s="21"/>
      <c r="EA63" s="128"/>
      <c r="EB63" s="54"/>
      <c r="EC63" s="64"/>
      <c r="ED63" s="69"/>
      <c r="EF63" s="21"/>
      <c r="EG63" s="128"/>
      <c r="EH63" s="54"/>
      <c r="EI63" s="64"/>
      <c r="EJ63" s="69"/>
      <c r="EL63" s="21"/>
      <c r="EM63" s="128"/>
      <c r="EN63" s="54"/>
      <c r="EO63" s="64"/>
      <c r="EP63" s="69"/>
      <c r="ER63" s="21"/>
      <c r="ES63" s="128"/>
      <c r="ET63" s="54"/>
      <c r="EU63" s="64"/>
      <c r="EV63" s="69"/>
      <c r="EX63" s="21"/>
      <c r="EY63" s="128"/>
      <c r="EZ63" s="54"/>
      <c r="FA63" s="64"/>
      <c r="FB63" s="69"/>
      <c r="FD63" s="21"/>
      <c r="FE63" s="128"/>
      <c r="FF63" s="54"/>
      <c r="FG63" s="64"/>
      <c r="FH63" s="69"/>
      <c r="FJ63" s="21"/>
      <c r="FK63" s="128"/>
      <c r="FL63" s="54"/>
      <c r="FM63" s="64"/>
      <c r="FN63" s="69"/>
      <c r="FO63" s="128"/>
      <c r="FP63" s="54"/>
      <c r="FQ63" s="64"/>
      <c r="FR63" s="69"/>
      <c r="FT63" s="21"/>
      <c r="FU63" s="128"/>
      <c r="FV63" s="54"/>
      <c r="FW63" s="64"/>
      <c r="FX63" s="69"/>
      <c r="FZ63" s="21"/>
      <c r="GA63" s="128"/>
      <c r="GB63" s="54"/>
      <c r="GC63" s="64"/>
      <c r="GD63" s="69"/>
      <c r="GF63" s="21"/>
      <c r="GG63" s="128"/>
      <c r="GH63" s="54"/>
      <c r="GI63" s="64"/>
      <c r="GJ63" s="69"/>
      <c r="GL63" s="21"/>
      <c r="GM63" s="128"/>
      <c r="GN63" s="54"/>
      <c r="GO63" s="64"/>
      <c r="GP63" s="69"/>
      <c r="GR63" s="21"/>
      <c r="GS63" s="128"/>
      <c r="GT63" s="54"/>
      <c r="GU63" s="64"/>
      <c r="GV63" s="69"/>
      <c r="GX63" s="21"/>
      <c r="GY63" s="128"/>
      <c r="GZ63" s="54"/>
      <c r="HA63" s="64"/>
      <c r="HB63" s="69"/>
      <c r="HD63" s="21"/>
      <c r="HE63" s="128"/>
      <c r="HF63" s="54"/>
      <c r="HG63" s="64"/>
      <c r="HH63" s="69"/>
      <c r="HJ63" s="21"/>
      <c r="HK63" s="128"/>
      <c r="HL63" s="54"/>
      <c r="HM63" s="64"/>
      <c r="HN63" s="69"/>
      <c r="HP63" s="21"/>
      <c r="HQ63" s="128"/>
      <c r="HR63" s="54"/>
      <c r="HS63" s="64"/>
      <c r="HT63" s="69"/>
      <c r="HV63" s="21"/>
      <c r="HW63" s="128"/>
      <c r="HX63" s="54"/>
      <c r="HY63" s="64"/>
      <c r="HZ63" s="69"/>
      <c r="IB63" s="21"/>
      <c r="IC63" s="128"/>
      <c r="ID63" s="54"/>
      <c r="IE63" s="64"/>
      <c r="IF63" s="69"/>
      <c r="IH63" s="21"/>
      <c r="IJ63" s="21"/>
      <c r="IK63" s="128"/>
      <c r="IL63" s="54"/>
      <c r="IM63" s="64"/>
      <c r="IN63" s="69"/>
      <c r="IP63" s="21"/>
      <c r="IQ63" s="128"/>
      <c r="IR63" s="54"/>
      <c r="IS63" s="64"/>
      <c r="IT63" s="69"/>
      <c r="IV63" s="21"/>
      <c r="IW63" s="128"/>
      <c r="IX63" s="54"/>
      <c r="IY63" s="64"/>
      <c r="IZ63" s="69"/>
      <c r="JB63" s="21"/>
      <c r="JC63" s="128"/>
      <c r="JD63" s="54"/>
      <c r="JE63" s="64"/>
      <c r="JF63" s="69"/>
      <c r="JH63" s="21"/>
      <c r="JI63" s="128"/>
      <c r="JJ63" s="54"/>
      <c r="JK63" s="64"/>
      <c r="JL63" s="69"/>
      <c r="JN63" s="21"/>
      <c r="JO63" s="128"/>
      <c r="JP63" s="54"/>
      <c r="JQ63" s="64"/>
      <c r="JR63" s="69"/>
      <c r="JT63" s="21"/>
      <c r="JU63" s="128"/>
      <c r="JV63" s="54"/>
      <c r="JW63" s="64"/>
      <c r="JX63" s="69"/>
      <c r="JZ63" s="21"/>
      <c r="KA63" s="128"/>
      <c r="KB63" s="54"/>
      <c r="KC63" s="64"/>
      <c r="KD63" s="69"/>
      <c r="KF63" s="38"/>
      <c r="KG63" s="35"/>
      <c r="KI63" s="54"/>
      <c r="KJ63" s="64"/>
      <c r="KK63" s="69"/>
      <c r="KL63" s="126"/>
      <c r="KM63" s="127"/>
      <c r="KO63" s="38"/>
      <c r="KP63" s="83"/>
      <c r="KQ63" s="158"/>
      <c r="KR63" s="174"/>
      <c r="KS63" s="38"/>
      <c r="KT63" s="35"/>
      <c r="KV63" s="54"/>
      <c r="KW63" s="64"/>
      <c r="KX63" s="69"/>
      <c r="KY63" s="126"/>
      <c r="KZ63" s="127"/>
      <c r="LB63" s="38"/>
      <c r="LC63" s="83"/>
      <c r="LD63" s="158"/>
      <c r="LE63" s="174"/>
      <c r="LF63" s="38"/>
      <c r="LG63" s="35"/>
      <c r="LI63" s="54"/>
      <c r="LJ63" s="64"/>
      <c r="LK63" s="69"/>
      <c r="LL63" s="126"/>
      <c r="LM63" s="127"/>
      <c r="LO63" s="38"/>
      <c r="LP63" s="83"/>
      <c r="LQ63" s="158"/>
      <c r="LR63" s="174"/>
      <c r="LS63" s="38"/>
      <c r="LT63" s="35"/>
      <c r="LV63" s="54"/>
      <c r="LW63" s="64"/>
      <c r="LX63" s="69"/>
      <c r="LY63" s="126"/>
      <c r="LZ63" s="127"/>
      <c r="MB63" s="38"/>
      <c r="MC63" s="83"/>
      <c r="MD63" s="158"/>
      <c r="ME63" s="174"/>
      <c r="MF63" s="38"/>
      <c r="MG63" s="35"/>
      <c r="MI63" s="54"/>
      <c r="MJ63" s="64"/>
      <c r="MK63" s="69"/>
      <c r="ML63" s="126"/>
      <c r="MM63" s="127"/>
      <c r="MO63" s="38"/>
      <c r="MP63" s="83"/>
      <c r="MQ63" s="158"/>
      <c r="MR63" s="174"/>
      <c r="MT63" s="4">
        <f t="shared" si="10"/>
        <v>1</v>
      </c>
      <c r="NC63" s="21"/>
      <c r="ND63" s="128"/>
      <c r="NE63" s="54"/>
    </row>
    <row r="64" spans="1:369" x14ac:dyDescent="0.15">
      <c r="A64" s="5" t="s">
        <v>191</v>
      </c>
      <c r="C64" s="21"/>
      <c r="D64" s="128"/>
      <c r="E64" s="54"/>
      <c r="F64" s="64"/>
      <c r="G64" s="69">
        <v>1</v>
      </c>
      <c r="H64" s="127"/>
      <c r="J64" s="21"/>
      <c r="K64" s="128"/>
      <c r="L64" s="54"/>
      <c r="M64" s="64"/>
      <c r="N64" s="69"/>
      <c r="O64" s="127"/>
      <c r="Q64" s="21"/>
      <c r="R64" s="128"/>
      <c r="S64" s="54"/>
      <c r="T64" s="64"/>
      <c r="U64" s="69"/>
      <c r="V64" s="127"/>
      <c r="X64" s="21"/>
      <c r="Y64" s="128"/>
      <c r="Z64" s="54"/>
      <c r="AA64" s="64"/>
      <c r="AB64" s="69"/>
      <c r="AC64" s="127"/>
      <c r="AE64" s="21"/>
      <c r="AF64" s="128"/>
      <c r="AG64" s="54"/>
      <c r="AH64" s="64"/>
      <c r="AI64" s="69"/>
      <c r="AJ64" s="127"/>
      <c r="AL64" s="21"/>
      <c r="AM64" s="128"/>
      <c r="AN64" s="54"/>
      <c r="AO64" s="64"/>
      <c r="AP64" s="69"/>
      <c r="AQ64" s="127"/>
      <c r="AS64" s="21"/>
      <c r="AT64" s="128"/>
      <c r="AU64" s="54"/>
      <c r="AV64" s="64"/>
      <c r="AW64" s="69"/>
      <c r="AX64" s="127"/>
      <c r="AZ64" s="21"/>
      <c r="BA64" s="128"/>
      <c r="BB64" s="54"/>
      <c r="BC64" s="64"/>
      <c r="BD64" s="69"/>
      <c r="BE64" s="127"/>
      <c r="BG64" s="21"/>
      <c r="BH64" s="128"/>
      <c r="BI64" s="54"/>
      <c r="BJ64" s="64"/>
      <c r="BK64" s="69"/>
      <c r="BL64" s="127"/>
      <c r="BN64" s="21"/>
      <c r="BO64" s="128"/>
      <c r="BP64" s="54"/>
      <c r="BQ64" s="64"/>
      <c r="BR64" s="69"/>
      <c r="BS64" s="127"/>
      <c r="BU64" s="21"/>
      <c r="BV64" s="128"/>
      <c r="BW64" s="54"/>
      <c r="BX64" s="64"/>
      <c r="BY64" s="69"/>
      <c r="BZ64" s="127"/>
      <c r="CB64" s="21"/>
      <c r="CC64" s="128"/>
      <c r="CD64" s="54"/>
      <c r="CE64" s="64"/>
      <c r="CF64" s="69"/>
      <c r="CG64" s="127"/>
      <c r="CI64" s="21"/>
      <c r="CJ64" s="128"/>
      <c r="CK64" s="54"/>
      <c r="CL64" s="64"/>
      <c r="CM64" s="69"/>
      <c r="CN64" s="127"/>
      <c r="CP64" s="21"/>
      <c r="CQ64" s="128"/>
      <c r="CR64" s="54"/>
      <c r="CS64" s="64"/>
      <c r="CT64" s="69"/>
      <c r="CV64" s="21"/>
      <c r="CW64" s="128"/>
      <c r="CX64" s="54"/>
      <c r="CY64" s="64"/>
      <c r="CZ64" s="69"/>
      <c r="DB64" s="21"/>
      <c r="DC64" s="128"/>
      <c r="DD64" s="54"/>
      <c r="DE64" s="64"/>
      <c r="DF64" s="69"/>
      <c r="DH64" s="21"/>
      <c r="DI64" s="128"/>
      <c r="DJ64" s="54"/>
      <c r="DK64" s="64"/>
      <c r="DL64" s="69"/>
      <c r="DN64" s="21"/>
      <c r="DO64" s="128"/>
      <c r="DP64" s="54"/>
      <c r="DQ64" s="64"/>
      <c r="DR64" s="69"/>
      <c r="DT64" s="21"/>
      <c r="DU64" s="128"/>
      <c r="DV64" s="54"/>
      <c r="DW64" s="64"/>
      <c r="DX64" s="69"/>
      <c r="DZ64" s="21"/>
      <c r="EA64" s="128"/>
      <c r="EB64" s="54"/>
      <c r="EC64" s="64"/>
      <c r="ED64" s="69"/>
      <c r="EF64" s="21"/>
      <c r="EG64" s="128"/>
      <c r="EH64" s="54"/>
      <c r="EI64" s="64"/>
      <c r="EJ64" s="69"/>
      <c r="EL64" s="21"/>
      <c r="EM64" s="128"/>
      <c r="EN64" s="54"/>
      <c r="EO64" s="64"/>
      <c r="EP64" s="69"/>
      <c r="ER64" s="21"/>
      <c r="ES64" s="128"/>
      <c r="ET64" s="54"/>
      <c r="EU64" s="64"/>
      <c r="EV64" s="69"/>
      <c r="EX64" s="21"/>
      <c r="EY64" s="128"/>
      <c r="EZ64" s="54"/>
      <c r="FA64" s="64"/>
      <c r="FB64" s="69"/>
      <c r="FD64" s="21"/>
      <c r="FE64" s="128"/>
      <c r="FF64" s="54"/>
      <c r="FG64" s="64"/>
      <c r="FH64" s="69"/>
      <c r="FJ64" s="21"/>
      <c r="FK64" s="128"/>
      <c r="FL64" s="54"/>
      <c r="FM64" s="64"/>
      <c r="FN64" s="69"/>
      <c r="FO64" s="128"/>
      <c r="FP64" s="54"/>
      <c r="FQ64" s="64"/>
      <c r="FR64" s="69"/>
      <c r="FT64" s="21"/>
      <c r="FU64" s="128"/>
      <c r="FV64" s="54"/>
      <c r="FW64" s="64"/>
      <c r="FX64" s="69"/>
      <c r="FZ64" s="21"/>
      <c r="GA64" s="128"/>
      <c r="GB64" s="54"/>
      <c r="GC64" s="64"/>
      <c r="GD64" s="69"/>
      <c r="GF64" s="21"/>
      <c r="GG64" s="128"/>
      <c r="GH64" s="54"/>
      <c r="GI64" s="64"/>
      <c r="GJ64" s="69"/>
      <c r="GL64" s="21"/>
      <c r="GM64" s="128"/>
      <c r="GN64" s="54"/>
      <c r="GO64" s="64"/>
      <c r="GP64" s="69"/>
      <c r="GR64" s="21"/>
      <c r="GS64" s="128"/>
      <c r="GT64" s="54"/>
      <c r="GU64" s="64"/>
      <c r="GV64" s="69"/>
      <c r="GX64" s="21"/>
      <c r="GY64" s="128"/>
      <c r="GZ64" s="54"/>
      <c r="HA64" s="64"/>
      <c r="HB64" s="69"/>
      <c r="HD64" s="21"/>
      <c r="HE64" s="128"/>
      <c r="HF64" s="54"/>
      <c r="HG64" s="64"/>
      <c r="HH64" s="69"/>
      <c r="HJ64" s="21"/>
      <c r="HK64" s="128"/>
      <c r="HL64" s="54"/>
      <c r="HM64" s="64"/>
      <c r="HN64" s="69"/>
      <c r="HP64" s="21"/>
      <c r="HQ64" s="128"/>
      <c r="HR64" s="54"/>
      <c r="HS64" s="64"/>
      <c r="HT64" s="69"/>
      <c r="HV64" s="21"/>
      <c r="HW64" s="128"/>
      <c r="HX64" s="54"/>
      <c r="HY64" s="64"/>
      <c r="HZ64" s="69"/>
      <c r="IB64" s="21"/>
      <c r="IC64" s="128"/>
      <c r="ID64" s="54"/>
      <c r="IE64" s="64"/>
      <c r="IF64" s="69"/>
      <c r="IH64" s="21"/>
      <c r="IJ64" s="21"/>
      <c r="IK64" s="128"/>
      <c r="IL64" s="54"/>
      <c r="IM64" s="64"/>
      <c r="IN64" s="69"/>
      <c r="IP64" s="21"/>
      <c r="IQ64" s="128"/>
      <c r="IR64" s="54"/>
      <c r="IS64" s="64"/>
      <c r="IT64" s="69"/>
      <c r="IV64" s="21"/>
      <c r="IW64" s="128"/>
      <c r="IX64" s="54"/>
      <c r="IY64" s="64"/>
      <c r="IZ64" s="69"/>
      <c r="JB64" s="21"/>
      <c r="JC64" s="128"/>
      <c r="JD64" s="54"/>
      <c r="JE64" s="64"/>
      <c r="JF64" s="69"/>
      <c r="JH64" s="21"/>
      <c r="JI64" s="128"/>
      <c r="JJ64" s="54"/>
      <c r="JK64" s="64"/>
      <c r="JL64" s="69"/>
      <c r="JN64" s="21"/>
      <c r="JO64" s="128"/>
      <c r="JP64" s="54"/>
      <c r="JQ64" s="64"/>
      <c r="JR64" s="69"/>
      <c r="JT64" s="21"/>
      <c r="JU64" s="128"/>
      <c r="JV64" s="54"/>
      <c r="JW64" s="64"/>
      <c r="JX64" s="69"/>
      <c r="JZ64" s="21"/>
      <c r="KA64" s="128"/>
      <c r="KB64" s="54"/>
      <c r="KC64" s="64"/>
      <c r="KD64" s="69"/>
      <c r="KF64" s="38"/>
      <c r="KG64" s="35"/>
      <c r="KI64" s="54"/>
      <c r="KJ64" s="64"/>
      <c r="KK64" s="69"/>
      <c r="KL64" s="126"/>
      <c r="KM64" s="127"/>
      <c r="KO64" s="38"/>
      <c r="KP64" s="83"/>
      <c r="KQ64" s="158"/>
      <c r="KR64" s="174"/>
      <c r="KS64" s="38"/>
      <c r="KT64" s="35"/>
      <c r="KV64" s="54"/>
      <c r="KW64" s="64"/>
      <c r="KX64" s="69"/>
      <c r="KY64" s="126"/>
      <c r="KZ64" s="127"/>
      <c r="LB64" s="38"/>
      <c r="LC64" s="83"/>
      <c r="LD64" s="158"/>
      <c r="LE64" s="174"/>
      <c r="LF64" s="38"/>
      <c r="LG64" s="35"/>
      <c r="LI64" s="54"/>
      <c r="LJ64" s="64"/>
      <c r="LK64" s="69"/>
      <c r="LL64" s="126"/>
      <c r="LM64" s="127"/>
      <c r="LO64" s="38"/>
      <c r="LP64" s="83"/>
      <c r="LQ64" s="158"/>
      <c r="LR64" s="174"/>
      <c r="LS64" s="38"/>
      <c r="LT64" s="35"/>
      <c r="LV64" s="54"/>
      <c r="LW64" s="64"/>
      <c r="LX64" s="69"/>
      <c r="LY64" s="126"/>
      <c r="LZ64" s="127"/>
      <c r="MB64" s="38"/>
      <c r="MC64" s="83"/>
      <c r="MD64" s="158"/>
      <c r="ME64" s="174"/>
      <c r="MF64" s="38"/>
      <c r="MG64" s="35"/>
      <c r="MI64" s="54"/>
      <c r="MJ64" s="64"/>
      <c r="MK64" s="69"/>
      <c r="ML64" s="126"/>
      <c r="MM64" s="127"/>
      <c r="MO64" s="38"/>
      <c r="MP64" s="83"/>
      <c r="MQ64" s="158"/>
      <c r="MR64" s="174"/>
      <c r="MT64" s="4">
        <f t="shared" si="10"/>
        <v>1</v>
      </c>
      <c r="NC64" s="21"/>
      <c r="ND64" s="128"/>
      <c r="NE64" s="54"/>
    </row>
    <row r="65" spans="1:369" s="4" customFormat="1" x14ac:dyDescent="0.15">
      <c r="A65" s="5" t="s">
        <v>218</v>
      </c>
      <c r="B65"/>
      <c r="C65" s="21"/>
      <c r="D65" s="128">
        <v>1</v>
      </c>
      <c r="E65" s="54">
        <v>1</v>
      </c>
      <c r="F65" s="64">
        <v>1</v>
      </c>
      <c r="G65" s="69">
        <v>1</v>
      </c>
      <c r="H65" s="127">
        <v>1</v>
      </c>
      <c r="I65"/>
      <c r="J65" s="21"/>
      <c r="K65" s="128"/>
      <c r="L65" s="54">
        <v>1</v>
      </c>
      <c r="M65" s="64">
        <v>1</v>
      </c>
      <c r="N65" s="69"/>
      <c r="O65" s="127"/>
      <c r="P65"/>
      <c r="Q65" s="21"/>
      <c r="R65" s="128"/>
      <c r="S65" s="54"/>
      <c r="T65" s="64"/>
      <c r="U65" s="69"/>
      <c r="V65" s="127"/>
      <c r="W65"/>
      <c r="X65" s="21"/>
      <c r="Y65" s="128"/>
      <c r="Z65" s="54"/>
      <c r="AA65" s="64"/>
      <c r="AB65" s="69"/>
      <c r="AC65" s="127"/>
      <c r="AD65"/>
      <c r="AE65" s="21"/>
      <c r="AF65" s="128"/>
      <c r="AG65" s="54"/>
      <c r="AH65" s="64"/>
      <c r="AI65" s="69"/>
      <c r="AJ65" s="127"/>
      <c r="AK65"/>
      <c r="AL65" s="21"/>
      <c r="AM65" s="128"/>
      <c r="AN65" s="54"/>
      <c r="AO65" s="64"/>
      <c r="AP65" s="69"/>
      <c r="AQ65" s="127"/>
      <c r="AR65"/>
      <c r="AS65" s="21"/>
      <c r="AT65" s="128"/>
      <c r="AU65" s="54"/>
      <c r="AV65" s="64">
        <v>1</v>
      </c>
      <c r="AW65" s="69">
        <v>1</v>
      </c>
      <c r="AX65" s="127"/>
      <c r="AY65"/>
      <c r="AZ65" s="21"/>
      <c r="BA65" s="128"/>
      <c r="BB65" s="54"/>
      <c r="BC65" s="64"/>
      <c r="BD65" s="69"/>
      <c r="BE65" s="127">
        <v>1</v>
      </c>
      <c r="BF65"/>
      <c r="BG65" s="21"/>
      <c r="BH65" s="128"/>
      <c r="BI65" s="54"/>
      <c r="BJ65" s="64"/>
      <c r="BK65" s="69"/>
      <c r="BL65" s="127"/>
      <c r="BM65"/>
      <c r="BN65" s="21"/>
      <c r="BO65" s="128"/>
      <c r="BP65" s="54"/>
      <c r="BQ65" s="64"/>
      <c r="BR65" s="69"/>
      <c r="BS65" s="127"/>
      <c r="BT65"/>
      <c r="BU65" s="21"/>
      <c r="BV65" s="128"/>
      <c r="BW65" s="54"/>
      <c r="BX65" s="64"/>
      <c r="BY65" s="69"/>
      <c r="BZ65" s="127"/>
      <c r="CA65"/>
      <c r="CB65" s="21"/>
      <c r="CC65" s="128"/>
      <c r="CD65" s="54"/>
      <c r="CE65" s="64"/>
      <c r="CF65" s="69"/>
      <c r="CG65" s="127"/>
      <c r="CH65"/>
      <c r="CI65" s="21"/>
      <c r="CJ65" s="128"/>
      <c r="CK65" s="54"/>
      <c r="CL65" s="64"/>
      <c r="CM65" s="69"/>
      <c r="CN65" s="127"/>
      <c r="CO65"/>
      <c r="CP65" s="21"/>
      <c r="CQ65" s="128"/>
      <c r="CR65" s="54"/>
      <c r="CS65" s="64"/>
      <c r="CT65" s="69"/>
      <c r="CU65"/>
      <c r="CV65" s="21"/>
      <c r="CW65" s="128"/>
      <c r="CX65" s="54"/>
      <c r="CY65" s="64"/>
      <c r="CZ65" s="69"/>
      <c r="DA65"/>
      <c r="DB65" s="21"/>
      <c r="DC65" s="128"/>
      <c r="DD65" s="54"/>
      <c r="DE65" s="64"/>
      <c r="DF65" s="69"/>
      <c r="DG65"/>
      <c r="DH65" s="21"/>
      <c r="DI65" s="128"/>
      <c r="DJ65" s="54"/>
      <c r="DK65" s="64"/>
      <c r="DL65" s="69"/>
      <c r="DM65"/>
      <c r="DN65" s="21"/>
      <c r="DO65" s="128"/>
      <c r="DP65" s="54"/>
      <c r="DQ65" s="64"/>
      <c r="DR65" s="69"/>
      <c r="DS65"/>
      <c r="DT65" s="21"/>
      <c r="DU65" s="128"/>
      <c r="DV65" s="54"/>
      <c r="DW65" s="64"/>
      <c r="DX65" s="69"/>
      <c r="DY65"/>
      <c r="DZ65" s="21"/>
      <c r="EA65" s="128"/>
      <c r="EB65" s="54"/>
      <c r="EC65" s="64"/>
      <c r="ED65" s="69"/>
      <c r="EE65"/>
      <c r="EF65" s="21"/>
      <c r="EG65" s="128"/>
      <c r="EH65" s="54"/>
      <c r="EI65" s="64"/>
      <c r="EJ65" s="69"/>
      <c r="EK65"/>
      <c r="EL65" s="21"/>
      <c r="EM65" s="128"/>
      <c r="EN65" s="54"/>
      <c r="EO65" s="64"/>
      <c r="EP65" s="69"/>
      <c r="EQ65"/>
      <c r="ER65" s="21"/>
      <c r="ES65" s="128"/>
      <c r="ET65" s="54"/>
      <c r="EU65" s="64"/>
      <c r="EV65" s="69"/>
      <c r="EW65"/>
      <c r="EX65" s="21"/>
      <c r="EY65" s="128"/>
      <c r="EZ65" s="54"/>
      <c r="FA65" s="64"/>
      <c r="FB65" s="69"/>
      <c r="FC65"/>
      <c r="FD65" s="21"/>
      <c r="FE65" s="128"/>
      <c r="FF65" s="54"/>
      <c r="FG65" s="64"/>
      <c r="FH65" s="69"/>
      <c r="FI65"/>
      <c r="FJ65" s="21"/>
      <c r="FK65" s="128"/>
      <c r="FL65" s="54"/>
      <c r="FM65" s="64"/>
      <c r="FN65" s="69"/>
      <c r="FO65" s="128"/>
      <c r="FP65" s="54"/>
      <c r="FQ65" s="64"/>
      <c r="FR65" s="69"/>
      <c r="FS65"/>
      <c r="FT65" s="21"/>
      <c r="FU65" s="128"/>
      <c r="FV65" s="54"/>
      <c r="FW65" s="64"/>
      <c r="FX65" s="69"/>
      <c r="FY65"/>
      <c r="FZ65" s="21"/>
      <c r="GA65" s="128"/>
      <c r="GB65" s="54"/>
      <c r="GC65" s="64"/>
      <c r="GD65" s="69"/>
      <c r="GE65"/>
      <c r="GF65" s="21"/>
      <c r="GG65" s="128"/>
      <c r="GH65" s="54"/>
      <c r="GI65" s="64"/>
      <c r="GJ65" s="69"/>
      <c r="GK65"/>
      <c r="GL65" s="21"/>
      <c r="GM65" s="128"/>
      <c r="GN65" s="54"/>
      <c r="GO65" s="64"/>
      <c r="GP65" s="69"/>
      <c r="GQ65"/>
      <c r="GR65" s="21"/>
      <c r="GS65" s="128"/>
      <c r="GT65" s="54"/>
      <c r="GU65" s="64"/>
      <c r="GV65" s="69"/>
      <c r="GW65"/>
      <c r="GX65" s="21"/>
      <c r="GY65" s="128"/>
      <c r="GZ65" s="54"/>
      <c r="HA65" s="64"/>
      <c r="HB65" s="69"/>
      <c r="HC65"/>
      <c r="HD65" s="21"/>
      <c r="HE65" s="128"/>
      <c r="HF65" s="54"/>
      <c r="HG65" s="64"/>
      <c r="HH65" s="69"/>
      <c r="HI65"/>
      <c r="HJ65" s="21"/>
      <c r="HK65" s="128"/>
      <c r="HL65" s="54"/>
      <c r="HM65" s="64"/>
      <c r="HN65" s="69"/>
      <c r="HO65"/>
      <c r="HP65" s="21"/>
      <c r="HQ65" s="128"/>
      <c r="HR65" s="54"/>
      <c r="HS65" s="64"/>
      <c r="HT65" s="69"/>
      <c r="HU65"/>
      <c r="HV65" s="21"/>
      <c r="HW65" s="128"/>
      <c r="HX65" s="54"/>
      <c r="HY65" s="64"/>
      <c r="HZ65" s="69"/>
      <c r="IA65"/>
      <c r="IB65" s="21"/>
      <c r="IC65" s="128"/>
      <c r="ID65" s="54"/>
      <c r="IE65" s="64"/>
      <c r="IF65" s="69">
        <v>1</v>
      </c>
      <c r="IG65"/>
      <c r="IH65" s="21"/>
      <c r="II65"/>
      <c r="IJ65" s="21"/>
      <c r="IK65" s="128"/>
      <c r="IL65" s="54"/>
      <c r="IM65" s="64"/>
      <c r="IN65" s="69"/>
      <c r="IO65"/>
      <c r="IP65" s="21"/>
      <c r="IQ65" s="128"/>
      <c r="IR65" s="54"/>
      <c r="IS65" s="64"/>
      <c r="IT65" s="69"/>
      <c r="IU65"/>
      <c r="IV65" s="21"/>
      <c r="IW65" s="128"/>
      <c r="IX65" s="54"/>
      <c r="IY65" s="64"/>
      <c r="IZ65" s="69"/>
      <c r="JA65"/>
      <c r="JB65" s="21"/>
      <c r="JC65" s="128"/>
      <c r="JD65" s="54"/>
      <c r="JE65" s="64"/>
      <c r="JF65" s="69"/>
      <c r="JG65"/>
      <c r="JH65" s="21"/>
      <c r="JI65" s="128"/>
      <c r="JJ65" s="54"/>
      <c r="JK65" s="64"/>
      <c r="JL65" s="69"/>
      <c r="JM65"/>
      <c r="JN65" s="21"/>
      <c r="JO65" s="128"/>
      <c r="JP65" s="54"/>
      <c r="JQ65" s="64"/>
      <c r="JR65" s="69"/>
      <c r="JS65"/>
      <c r="JT65" s="21"/>
      <c r="JU65" s="128"/>
      <c r="JV65" s="54"/>
      <c r="JW65" s="64"/>
      <c r="JX65" s="69"/>
      <c r="JY65"/>
      <c r="JZ65" s="21"/>
      <c r="KA65" s="128"/>
      <c r="KB65" s="54"/>
      <c r="KC65" s="64"/>
      <c r="KD65" s="69"/>
      <c r="KE65"/>
      <c r="KF65" s="38"/>
      <c r="KG65" s="35"/>
      <c r="KI65" s="54"/>
      <c r="KJ65" s="64"/>
      <c r="KK65" s="69"/>
      <c r="KL65" s="126"/>
      <c r="KM65" s="127">
        <v>1</v>
      </c>
      <c r="KN65" s="4">
        <v>1</v>
      </c>
      <c r="KO65" s="38"/>
      <c r="KP65" s="83">
        <v>1</v>
      </c>
      <c r="KQ65" s="158"/>
      <c r="KR65" s="174"/>
      <c r="KS65" s="38"/>
      <c r="KT65" s="35"/>
      <c r="KV65" s="54"/>
      <c r="KW65" s="64"/>
      <c r="KX65" s="69"/>
      <c r="KY65" s="126"/>
      <c r="KZ65" s="127"/>
      <c r="LB65" s="38"/>
      <c r="LC65" s="83"/>
      <c r="LD65" s="158"/>
      <c r="LE65" s="174"/>
      <c r="LF65" s="38"/>
      <c r="LG65" s="35"/>
      <c r="LI65" s="54"/>
      <c r="LJ65" s="64"/>
      <c r="LK65" s="69"/>
      <c r="LL65" s="126">
        <v>1</v>
      </c>
      <c r="LM65" s="127">
        <v>1</v>
      </c>
      <c r="LO65" s="38"/>
      <c r="LP65" s="83"/>
      <c r="LQ65" s="158"/>
      <c r="LR65" s="174"/>
      <c r="LS65" s="38"/>
      <c r="LT65" s="35"/>
      <c r="LV65" s="54"/>
      <c r="LW65" s="64"/>
      <c r="LX65" s="69"/>
      <c r="LY65" s="126"/>
      <c r="LZ65" s="127"/>
      <c r="MB65" s="38"/>
      <c r="MC65" s="83"/>
      <c r="MD65" s="158"/>
      <c r="ME65" s="174"/>
      <c r="MF65" s="38"/>
      <c r="MG65" s="35"/>
      <c r="MI65" s="54"/>
      <c r="MJ65" s="64"/>
      <c r="MK65" s="69"/>
      <c r="ML65" s="126"/>
      <c r="MM65" s="127"/>
      <c r="MO65" s="38"/>
      <c r="MP65" s="83"/>
      <c r="MQ65" s="158"/>
      <c r="MR65" s="174"/>
      <c r="MS65"/>
      <c r="MT65" s="4">
        <f t="shared" si="10"/>
        <v>16</v>
      </c>
      <c r="NB65"/>
      <c r="NC65" s="21"/>
      <c r="ND65" s="128"/>
      <c r="NE65" s="54"/>
    </row>
    <row r="66" spans="1:369" s="4" customFormat="1" x14ac:dyDescent="0.15">
      <c r="A66" s="5" t="s">
        <v>203</v>
      </c>
      <c r="B66"/>
      <c r="C66" s="21"/>
      <c r="D66" s="128"/>
      <c r="E66" s="54"/>
      <c r="F66" s="64"/>
      <c r="G66" s="69"/>
      <c r="H66" s="127"/>
      <c r="I66"/>
      <c r="J66" s="21"/>
      <c r="K66" s="128"/>
      <c r="L66" s="54"/>
      <c r="M66" s="64"/>
      <c r="N66" s="69"/>
      <c r="O66" s="127"/>
      <c r="P66"/>
      <c r="Q66" s="21"/>
      <c r="R66" s="128"/>
      <c r="S66" s="54"/>
      <c r="T66" s="64"/>
      <c r="U66" s="69"/>
      <c r="V66" s="127"/>
      <c r="W66"/>
      <c r="X66" s="21"/>
      <c r="Y66" s="128"/>
      <c r="Z66" s="54"/>
      <c r="AA66" s="64"/>
      <c r="AB66" s="69"/>
      <c r="AC66" s="127"/>
      <c r="AD66"/>
      <c r="AE66" s="21"/>
      <c r="AF66" s="128"/>
      <c r="AG66" s="54"/>
      <c r="AH66" s="64"/>
      <c r="AI66" s="69"/>
      <c r="AJ66" s="127"/>
      <c r="AK66"/>
      <c r="AL66" s="21"/>
      <c r="AM66" s="128"/>
      <c r="AN66" s="54"/>
      <c r="AO66" s="64"/>
      <c r="AP66" s="69"/>
      <c r="AQ66" s="127"/>
      <c r="AR66"/>
      <c r="AS66" s="21"/>
      <c r="AT66" s="128"/>
      <c r="AU66" s="54"/>
      <c r="AV66" s="64"/>
      <c r="AW66" s="69"/>
      <c r="AX66" s="127"/>
      <c r="AY66"/>
      <c r="AZ66" s="21"/>
      <c r="BA66" s="128"/>
      <c r="BB66" s="54"/>
      <c r="BC66" s="64"/>
      <c r="BD66" s="69"/>
      <c r="BE66" s="127"/>
      <c r="BF66"/>
      <c r="BG66" s="21"/>
      <c r="BH66" s="128"/>
      <c r="BI66" s="54"/>
      <c r="BJ66" s="64"/>
      <c r="BK66" s="69"/>
      <c r="BL66" s="127"/>
      <c r="BM66"/>
      <c r="BN66" s="21"/>
      <c r="BO66" s="128"/>
      <c r="BP66" s="54"/>
      <c r="BQ66" s="64"/>
      <c r="BR66" s="69"/>
      <c r="BS66" s="127"/>
      <c r="BT66"/>
      <c r="BU66" s="21"/>
      <c r="BV66" s="128"/>
      <c r="BW66" s="54"/>
      <c r="BX66" s="64"/>
      <c r="BY66" s="69"/>
      <c r="BZ66" s="127"/>
      <c r="CA66"/>
      <c r="CB66" s="21"/>
      <c r="CC66" s="128"/>
      <c r="CD66" s="54"/>
      <c r="CE66" s="64"/>
      <c r="CF66" s="69"/>
      <c r="CG66" s="127"/>
      <c r="CH66"/>
      <c r="CI66" s="21"/>
      <c r="CJ66" s="128"/>
      <c r="CK66" s="54"/>
      <c r="CL66" s="64"/>
      <c r="CM66" s="69"/>
      <c r="CN66" s="127"/>
      <c r="CO66"/>
      <c r="CP66" s="21"/>
      <c r="CQ66" s="128"/>
      <c r="CR66" s="54"/>
      <c r="CS66" s="64"/>
      <c r="CT66" s="69"/>
      <c r="CU66"/>
      <c r="CV66" s="21"/>
      <c r="CW66" s="128"/>
      <c r="CX66" s="54"/>
      <c r="CY66" s="64"/>
      <c r="CZ66" s="69"/>
      <c r="DA66"/>
      <c r="DB66" s="21"/>
      <c r="DC66" s="128"/>
      <c r="DD66" s="54"/>
      <c r="DE66" s="64"/>
      <c r="DF66" s="69"/>
      <c r="DG66"/>
      <c r="DH66" s="21"/>
      <c r="DI66" s="128"/>
      <c r="DJ66" s="54"/>
      <c r="DK66" s="64"/>
      <c r="DL66" s="69"/>
      <c r="DM66"/>
      <c r="DN66" s="21"/>
      <c r="DO66" s="128"/>
      <c r="DP66" s="54"/>
      <c r="DQ66" s="64"/>
      <c r="DR66" s="69"/>
      <c r="DS66"/>
      <c r="DT66" s="21"/>
      <c r="DU66" s="128"/>
      <c r="DV66" s="54"/>
      <c r="DW66" s="64"/>
      <c r="DX66" s="69"/>
      <c r="DY66"/>
      <c r="DZ66" s="21"/>
      <c r="EA66" s="128"/>
      <c r="EB66" s="54"/>
      <c r="EC66" s="64"/>
      <c r="ED66" s="69"/>
      <c r="EE66"/>
      <c r="EF66" s="21"/>
      <c r="EG66" s="128"/>
      <c r="EH66" s="54"/>
      <c r="EI66" s="64"/>
      <c r="EJ66" s="69"/>
      <c r="EK66"/>
      <c r="EL66" s="21"/>
      <c r="EM66" s="128"/>
      <c r="EN66" s="54"/>
      <c r="EO66" s="64"/>
      <c r="EP66" s="69"/>
      <c r="EQ66"/>
      <c r="ER66" s="21"/>
      <c r="ES66" s="128"/>
      <c r="ET66" s="54"/>
      <c r="EU66" s="64"/>
      <c r="EV66" s="69"/>
      <c r="EW66"/>
      <c r="EX66" s="21"/>
      <c r="EY66" s="128"/>
      <c r="EZ66" s="54"/>
      <c r="FA66" s="64"/>
      <c r="FB66" s="69"/>
      <c r="FC66"/>
      <c r="FD66" s="21"/>
      <c r="FE66" s="128"/>
      <c r="FF66" s="54"/>
      <c r="FG66" s="64"/>
      <c r="FH66" s="69"/>
      <c r="FI66"/>
      <c r="FJ66" s="21"/>
      <c r="FK66" s="128"/>
      <c r="FL66" s="54"/>
      <c r="FM66" s="64"/>
      <c r="FN66" s="69"/>
      <c r="FO66" s="128"/>
      <c r="FP66" s="54"/>
      <c r="FQ66" s="64"/>
      <c r="FR66" s="69"/>
      <c r="FS66"/>
      <c r="FT66" s="21"/>
      <c r="FU66" s="128"/>
      <c r="FV66" s="54"/>
      <c r="FW66" s="64"/>
      <c r="FX66" s="69"/>
      <c r="FY66"/>
      <c r="FZ66" s="21"/>
      <c r="GA66" s="128"/>
      <c r="GB66" s="54"/>
      <c r="GC66" s="64"/>
      <c r="GD66" s="69"/>
      <c r="GE66"/>
      <c r="GF66" s="21"/>
      <c r="GG66" s="128">
        <v>1</v>
      </c>
      <c r="GH66" s="54">
        <v>1</v>
      </c>
      <c r="GI66" s="64">
        <v>1</v>
      </c>
      <c r="GJ66" s="69"/>
      <c r="GK66"/>
      <c r="GL66" s="21"/>
      <c r="GM66" s="128"/>
      <c r="GN66" s="54"/>
      <c r="GO66" s="64"/>
      <c r="GP66" s="69">
        <v>1</v>
      </c>
      <c r="GQ66"/>
      <c r="GR66" s="21"/>
      <c r="GS66" s="128">
        <v>1</v>
      </c>
      <c r="GT66" s="54"/>
      <c r="GU66" s="64"/>
      <c r="GV66" s="69"/>
      <c r="GW66"/>
      <c r="GX66" s="21"/>
      <c r="GY66" s="128"/>
      <c r="GZ66" s="54"/>
      <c r="HA66" s="64"/>
      <c r="HB66" s="69"/>
      <c r="HC66"/>
      <c r="HD66" s="21"/>
      <c r="HE66" s="128"/>
      <c r="HF66" s="54"/>
      <c r="HG66" s="64"/>
      <c r="HH66" s="69"/>
      <c r="HI66"/>
      <c r="HJ66" s="21"/>
      <c r="HK66" s="128"/>
      <c r="HL66" s="54"/>
      <c r="HM66" s="64"/>
      <c r="HN66" s="69"/>
      <c r="HO66"/>
      <c r="HP66" s="21"/>
      <c r="HQ66" s="128"/>
      <c r="HR66" s="54"/>
      <c r="HS66" s="64"/>
      <c r="HT66" s="69"/>
      <c r="HU66"/>
      <c r="HV66" s="21"/>
      <c r="HW66" s="128"/>
      <c r="HX66" s="54"/>
      <c r="HY66" s="64"/>
      <c r="HZ66" s="69"/>
      <c r="IA66"/>
      <c r="IB66" s="21"/>
      <c r="IC66" s="128"/>
      <c r="ID66" s="54"/>
      <c r="IE66" s="64"/>
      <c r="IF66" s="69"/>
      <c r="IG66"/>
      <c r="IH66" s="21"/>
      <c r="II66"/>
      <c r="IJ66" s="21"/>
      <c r="IK66" s="128"/>
      <c r="IL66" s="54"/>
      <c r="IM66" s="64"/>
      <c r="IN66" s="69"/>
      <c r="IO66"/>
      <c r="IP66" s="21"/>
      <c r="IQ66" s="128"/>
      <c r="IR66" s="54"/>
      <c r="IS66" s="64"/>
      <c r="IT66" s="69"/>
      <c r="IU66"/>
      <c r="IV66" s="21"/>
      <c r="IW66" s="128"/>
      <c r="IX66" s="54"/>
      <c r="IY66" s="64"/>
      <c r="IZ66" s="69"/>
      <c r="JA66"/>
      <c r="JB66" s="21"/>
      <c r="JC66" s="128"/>
      <c r="JD66" s="54"/>
      <c r="JE66" s="64"/>
      <c r="JF66" s="69"/>
      <c r="JG66"/>
      <c r="JH66" s="21"/>
      <c r="JI66" s="128"/>
      <c r="JJ66" s="54">
        <v>1</v>
      </c>
      <c r="JK66" s="64">
        <v>1</v>
      </c>
      <c r="JL66" s="69"/>
      <c r="JM66"/>
      <c r="JN66" s="21"/>
      <c r="JO66" s="128">
        <v>1</v>
      </c>
      <c r="JP66" s="54">
        <v>1</v>
      </c>
      <c r="JQ66" s="64">
        <v>1</v>
      </c>
      <c r="JR66" s="69"/>
      <c r="JS66"/>
      <c r="JT66" s="21"/>
      <c r="JU66" s="128"/>
      <c r="JV66" s="54">
        <v>1</v>
      </c>
      <c r="JW66" s="64">
        <v>1</v>
      </c>
      <c r="JX66" s="69">
        <v>1</v>
      </c>
      <c r="JY66"/>
      <c r="JZ66" s="21"/>
      <c r="KA66" s="128"/>
      <c r="KB66" s="54"/>
      <c r="KC66" s="64"/>
      <c r="KD66" s="69"/>
      <c r="KE66"/>
      <c r="KF66" s="38"/>
      <c r="KG66" s="35"/>
      <c r="KI66" s="54"/>
      <c r="KJ66" s="64"/>
      <c r="KK66" s="69"/>
      <c r="KL66" s="126"/>
      <c r="KM66" s="127"/>
      <c r="KO66" s="38"/>
      <c r="KP66" s="83"/>
      <c r="KQ66" s="158"/>
      <c r="KR66" s="174"/>
      <c r="KS66" s="38"/>
      <c r="KT66" s="35"/>
      <c r="KV66" s="54"/>
      <c r="KW66" s="64"/>
      <c r="KX66" s="69">
        <v>1</v>
      </c>
      <c r="KY66" s="126">
        <v>2</v>
      </c>
      <c r="KZ66" s="127">
        <v>2</v>
      </c>
      <c r="LA66" s="4">
        <v>1</v>
      </c>
      <c r="LB66" s="38">
        <v>1</v>
      </c>
      <c r="LC66" s="83">
        <v>1</v>
      </c>
      <c r="LD66" s="158"/>
      <c r="LE66" s="174">
        <v>1</v>
      </c>
      <c r="LF66" s="38"/>
      <c r="LG66" s="35"/>
      <c r="LI66" s="54"/>
      <c r="LJ66" s="64"/>
      <c r="LK66" s="69"/>
      <c r="LL66" s="126">
        <v>2</v>
      </c>
      <c r="LM66" s="127">
        <v>2</v>
      </c>
      <c r="LN66" s="4">
        <v>1</v>
      </c>
      <c r="LO66" s="38">
        <v>1</v>
      </c>
      <c r="LP66" s="83">
        <v>1</v>
      </c>
      <c r="LQ66" s="158">
        <v>1</v>
      </c>
      <c r="LR66" s="174">
        <v>1</v>
      </c>
      <c r="LS66" s="38"/>
      <c r="LT66" s="35"/>
      <c r="LV66" s="54"/>
      <c r="LW66" s="64"/>
      <c r="LX66" s="69"/>
      <c r="LY66" s="126"/>
      <c r="LZ66" s="127"/>
      <c r="MB66" s="38"/>
      <c r="MC66" s="83"/>
      <c r="MD66" s="158"/>
      <c r="ME66" s="174"/>
      <c r="MF66" s="38"/>
      <c r="MG66" s="35"/>
      <c r="MI66" s="54"/>
      <c r="MJ66" s="64"/>
      <c r="MK66" s="69"/>
      <c r="ML66" s="126"/>
      <c r="MM66" s="127"/>
      <c r="MO66" s="38"/>
      <c r="MP66" s="83"/>
      <c r="MQ66" s="158"/>
      <c r="MR66" s="174"/>
      <c r="MS66"/>
      <c r="MT66" s="4">
        <f t="shared" si="10"/>
        <v>27</v>
      </c>
      <c r="NB66"/>
      <c r="NC66" s="21"/>
      <c r="ND66" s="128"/>
      <c r="NE66" s="54"/>
    </row>
    <row r="67" spans="1:369" s="4" customFormat="1" x14ac:dyDescent="0.15">
      <c r="A67" s="2" t="s">
        <v>23</v>
      </c>
      <c r="B67"/>
      <c r="C67" s="21">
        <v>1</v>
      </c>
      <c r="D67" s="128">
        <v>1</v>
      </c>
      <c r="E67" s="54">
        <v>1</v>
      </c>
      <c r="F67" s="64"/>
      <c r="G67" s="69"/>
      <c r="H67" s="127"/>
      <c r="I67"/>
      <c r="J67" s="21"/>
      <c r="K67" s="128"/>
      <c r="L67" s="54">
        <v>1</v>
      </c>
      <c r="M67" s="64"/>
      <c r="N67" s="69"/>
      <c r="O67" s="127"/>
      <c r="P67"/>
      <c r="Q67" s="21"/>
      <c r="R67" s="128"/>
      <c r="S67" s="54"/>
      <c r="T67" s="64"/>
      <c r="U67" s="69"/>
      <c r="V67" s="127"/>
      <c r="W67"/>
      <c r="X67" s="21"/>
      <c r="Y67" s="128"/>
      <c r="Z67" s="54"/>
      <c r="AA67" s="64"/>
      <c r="AB67" s="69"/>
      <c r="AC67" s="127"/>
      <c r="AD67"/>
      <c r="AE67" s="21"/>
      <c r="AF67" s="128"/>
      <c r="AG67" s="54"/>
      <c r="AH67" s="64"/>
      <c r="AI67" s="69"/>
      <c r="AJ67" s="127"/>
      <c r="AK67"/>
      <c r="AL67" s="21"/>
      <c r="AM67" s="128"/>
      <c r="AN67" s="54"/>
      <c r="AO67" s="64"/>
      <c r="AP67" s="69"/>
      <c r="AQ67" s="127"/>
      <c r="AR67"/>
      <c r="AS67" s="21"/>
      <c r="AT67" s="128"/>
      <c r="AU67" s="54"/>
      <c r="AV67" s="64"/>
      <c r="AW67" s="69"/>
      <c r="AX67" s="127"/>
      <c r="AY67"/>
      <c r="AZ67" s="21"/>
      <c r="BA67" s="128"/>
      <c r="BB67" s="54"/>
      <c r="BC67" s="64"/>
      <c r="BD67" s="69"/>
      <c r="BE67" s="127"/>
      <c r="BF67"/>
      <c r="BG67" s="21"/>
      <c r="BH67" s="128"/>
      <c r="BI67" s="54"/>
      <c r="BJ67" s="64"/>
      <c r="BK67" s="69"/>
      <c r="BL67" s="127"/>
      <c r="BM67"/>
      <c r="BN67" s="21"/>
      <c r="BO67" s="128"/>
      <c r="BP67" s="54"/>
      <c r="BQ67" s="64"/>
      <c r="BR67" s="69"/>
      <c r="BS67" s="127"/>
      <c r="BT67"/>
      <c r="BU67" s="21"/>
      <c r="BV67" s="128"/>
      <c r="BW67" s="54"/>
      <c r="BX67" s="64"/>
      <c r="BY67" s="69"/>
      <c r="BZ67" s="127"/>
      <c r="CA67"/>
      <c r="CB67" s="21"/>
      <c r="CC67" s="128"/>
      <c r="CD67" s="54"/>
      <c r="CE67" s="64"/>
      <c r="CF67" s="69"/>
      <c r="CG67" s="127">
        <v>1</v>
      </c>
      <c r="CH67"/>
      <c r="CI67" s="21"/>
      <c r="CJ67" s="128"/>
      <c r="CK67" s="54"/>
      <c r="CL67" s="64"/>
      <c r="CM67" s="69"/>
      <c r="CN67" s="127"/>
      <c r="CO67"/>
      <c r="CP67" s="21"/>
      <c r="CQ67" s="128"/>
      <c r="CR67" s="54"/>
      <c r="CS67" s="64"/>
      <c r="CT67" s="69"/>
      <c r="CU67"/>
      <c r="CV67" s="21"/>
      <c r="CW67" s="128"/>
      <c r="CX67" s="54"/>
      <c r="CY67" s="64"/>
      <c r="CZ67" s="69"/>
      <c r="DA67"/>
      <c r="DB67" s="21"/>
      <c r="DC67" s="128"/>
      <c r="DD67" s="54"/>
      <c r="DE67" s="64"/>
      <c r="DF67" s="69"/>
      <c r="DG67"/>
      <c r="DH67" s="21"/>
      <c r="DI67" s="128"/>
      <c r="DJ67" s="54"/>
      <c r="DK67" s="64"/>
      <c r="DL67" s="69"/>
      <c r="DM67"/>
      <c r="DN67" s="21"/>
      <c r="DO67" s="128"/>
      <c r="DP67" s="54"/>
      <c r="DQ67" s="64"/>
      <c r="DR67" s="69"/>
      <c r="DS67"/>
      <c r="DT67" s="21"/>
      <c r="DU67" s="128"/>
      <c r="DV67" s="54"/>
      <c r="DW67" s="64"/>
      <c r="DX67" s="69"/>
      <c r="DY67"/>
      <c r="DZ67" s="21"/>
      <c r="EA67" s="128"/>
      <c r="EB67" s="54"/>
      <c r="EC67" s="64"/>
      <c r="ED67" s="69"/>
      <c r="EE67"/>
      <c r="EF67" s="21"/>
      <c r="EG67" s="128"/>
      <c r="EH67" s="54"/>
      <c r="EI67" s="64"/>
      <c r="EJ67" s="69"/>
      <c r="EK67"/>
      <c r="EL67" s="21"/>
      <c r="EM67" s="128"/>
      <c r="EN67" s="54"/>
      <c r="EO67" s="64"/>
      <c r="EP67" s="69"/>
      <c r="EQ67"/>
      <c r="ER67" s="21"/>
      <c r="ES67" s="128"/>
      <c r="ET67" s="54"/>
      <c r="EU67" s="64"/>
      <c r="EV67" s="69"/>
      <c r="EW67"/>
      <c r="EX67" s="21"/>
      <c r="EY67" s="128"/>
      <c r="EZ67" s="54"/>
      <c r="FA67" s="64"/>
      <c r="FB67" s="69"/>
      <c r="FC67"/>
      <c r="FD67" s="21"/>
      <c r="FE67" s="128"/>
      <c r="FF67" s="54"/>
      <c r="FG67" s="64"/>
      <c r="FH67" s="69"/>
      <c r="FI67"/>
      <c r="FJ67" s="21"/>
      <c r="FK67" s="128"/>
      <c r="FL67" s="54"/>
      <c r="FM67" s="64"/>
      <c r="FN67" s="69"/>
      <c r="FO67" s="128"/>
      <c r="FP67" s="54"/>
      <c r="FQ67" s="64"/>
      <c r="FR67" s="69"/>
      <c r="FS67"/>
      <c r="FT67" s="21"/>
      <c r="FU67" s="128"/>
      <c r="FV67" s="54"/>
      <c r="FW67" s="64"/>
      <c r="FX67" s="69"/>
      <c r="FY67"/>
      <c r="FZ67" s="21"/>
      <c r="GA67" s="128"/>
      <c r="GB67" s="54"/>
      <c r="GC67" s="64"/>
      <c r="GD67" s="69"/>
      <c r="GE67"/>
      <c r="GF67" s="21"/>
      <c r="GG67" s="128"/>
      <c r="GH67" s="54"/>
      <c r="GI67" s="64"/>
      <c r="GJ67" s="69"/>
      <c r="GK67"/>
      <c r="GL67" s="21"/>
      <c r="GM67" s="128"/>
      <c r="GN67" s="54"/>
      <c r="GO67" s="64"/>
      <c r="GP67" s="69"/>
      <c r="GQ67"/>
      <c r="GR67" s="21"/>
      <c r="GS67" s="128"/>
      <c r="GT67" s="54"/>
      <c r="GU67" s="64"/>
      <c r="GV67" s="69"/>
      <c r="GW67"/>
      <c r="GX67" s="21"/>
      <c r="GY67" s="128"/>
      <c r="GZ67" s="54"/>
      <c r="HA67" s="64"/>
      <c r="HB67" s="69"/>
      <c r="HC67"/>
      <c r="HD67" s="21"/>
      <c r="HE67" s="128"/>
      <c r="HF67" s="54"/>
      <c r="HG67" s="64"/>
      <c r="HH67" s="69"/>
      <c r="HI67"/>
      <c r="HJ67" s="21"/>
      <c r="HK67" s="128"/>
      <c r="HL67" s="54"/>
      <c r="HM67" s="64"/>
      <c r="HN67" s="69"/>
      <c r="HO67"/>
      <c r="HP67" s="21"/>
      <c r="HQ67" s="128"/>
      <c r="HR67" s="54"/>
      <c r="HS67" s="64"/>
      <c r="HT67" s="69"/>
      <c r="HU67"/>
      <c r="HV67" s="21"/>
      <c r="HW67" s="128"/>
      <c r="HX67" s="54"/>
      <c r="HY67" s="64"/>
      <c r="HZ67" s="69"/>
      <c r="IA67"/>
      <c r="IB67" s="21"/>
      <c r="IC67" s="128"/>
      <c r="ID67" s="54"/>
      <c r="IE67" s="64"/>
      <c r="IF67" s="69"/>
      <c r="IG67"/>
      <c r="IH67" s="21"/>
      <c r="II67"/>
      <c r="IJ67" s="21"/>
      <c r="IK67" s="128"/>
      <c r="IL67" s="54"/>
      <c r="IM67" s="64"/>
      <c r="IN67" s="69"/>
      <c r="IO67"/>
      <c r="IP67" s="21"/>
      <c r="IQ67" s="128"/>
      <c r="IR67" s="54"/>
      <c r="IS67" s="64"/>
      <c r="IT67" s="69"/>
      <c r="IU67"/>
      <c r="IV67" s="21"/>
      <c r="IW67" s="128"/>
      <c r="IX67" s="54"/>
      <c r="IY67" s="64"/>
      <c r="IZ67" s="69"/>
      <c r="JA67"/>
      <c r="JB67" s="21"/>
      <c r="JC67" s="128"/>
      <c r="JD67" s="54"/>
      <c r="JE67" s="64"/>
      <c r="JF67" s="69"/>
      <c r="JG67"/>
      <c r="JH67" s="21"/>
      <c r="JI67" s="128"/>
      <c r="JJ67" s="54"/>
      <c r="JK67" s="64"/>
      <c r="JL67" s="69"/>
      <c r="JM67"/>
      <c r="JN67" s="21"/>
      <c r="JO67" s="128"/>
      <c r="JP67" s="54"/>
      <c r="JQ67" s="64"/>
      <c r="JR67" s="69"/>
      <c r="JS67"/>
      <c r="JT67" s="21"/>
      <c r="JU67" s="128"/>
      <c r="JV67" s="54"/>
      <c r="JW67" s="64"/>
      <c r="JX67" s="69"/>
      <c r="JY67"/>
      <c r="JZ67" s="21"/>
      <c r="KA67" s="128"/>
      <c r="KB67" s="54"/>
      <c r="KC67" s="64"/>
      <c r="KD67" s="69"/>
      <c r="KE67"/>
      <c r="KF67" s="38"/>
      <c r="KG67" s="35"/>
      <c r="KI67" s="54"/>
      <c r="KJ67" s="64"/>
      <c r="KK67" s="69"/>
      <c r="KL67" s="126"/>
      <c r="KM67" s="127"/>
      <c r="KO67" s="38"/>
      <c r="KP67" s="83"/>
      <c r="KQ67" s="158"/>
      <c r="KR67" s="174"/>
      <c r="KS67" s="38"/>
      <c r="KT67" s="35"/>
      <c r="KV67" s="54"/>
      <c r="KW67" s="64"/>
      <c r="KX67" s="69"/>
      <c r="KY67" s="126"/>
      <c r="KZ67" s="127"/>
      <c r="LB67" s="38"/>
      <c r="LC67" s="83"/>
      <c r="LD67" s="158"/>
      <c r="LE67" s="174"/>
      <c r="LF67" s="38"/>
      <c r="LG67" s="35"/>
      <c r="LI67" s="54"/>
      <c r="LJ67" s="64"/>
      <c r="LK67" s="69"/>
      <c r="LL67" s="126"/>
      <c r="LM67" s="127">
        <v>1</v>
      </c>
      <c r="LN67" s="4">
        <v>1</v>
      </c>
      <c r="LO67" s="38">
        <v>1</v>
      </c>
      <c r="LP67" s="83"/>
      <c r="LQ67" s="158"/>
      <c r="LR67" s="174"/>
      <c r="LS67" s="38"/>
      <c r="LT67" s="35"/>
      <c r="LV67" s="54"/>
      <c r="LW67" s="64"/>
      <c r="LX67" s="69"/>
      <c r="LY67" s="126"/>
      <c r="LZ67" s="127"/>
      <c r="MB67" s="38"/>
      <c r="MC67" s="83"/>
      <c r="MD67" s="158"/>
      <c r="ME67" s="174"/>
      <c r="MF67" s="38"/>
      <c r="MG67" s="35"/>
      <c r="MI67" s="54"/>
      <c r="MJ67" s="64"/>
      <c r="MK67" s="69"/>
      <c r="ML67" s="126"/>
      <c r="MM67" s="127"/>
      <c r="MO67" s="38"/>
      <c r="MP67" s="83"/>
      <c r="MQ67" s="158"/>
      <c r="MR67" s="174"/>
      <c r="MS67"/>
      <c r="MT67" s="4">
        <f t="shared" si="10"/>
        <v>8</v>
      </c>
      <c r="NB67"/>
      <c r="NC67" s="21"/>
      <c r="ND67" s="128"/>
      <c r="NE67" s="54"/>
    </row>
    <row r="68" spans="1:369" s="4" customFormat="1" x14ac:dyDescent="0.15">
      <c r="A68" s="2" t="s">
        <v>208</v>
      </c>
      <c r="B68"/>
      <c r="C68" s="21"/>
      <c r="D68" s="128"/>
      <c r="E68" s="54"/>
      <c r="F68" s="64"/>
      <c r="G68" s="69"/>
      <c r="H68" s="127"/>
      <c r="I68"/>
      <c r="J68" s="21"/>
      <c r="K68" s="128"/>
      <c r="L68" s="54"/>
      <c r="M68" s="64"/>
      <c r="N68" s="69"/>
      <c r="O68" s="127"/>
      <c r="P68"/>
      <c r="Q68" s="21"/>
      <c r="R68" s="128"/>
      <c r="S68" s="54"/>
      <c r="T68" s="64"/>
      <c r="U68" s="69"/>
      <c r="V68" s="127"/>
      <c r="W68"/>
      <c r="X68" s="21"/>
      <c r="Y68" s="128"/>
      <c r="Z68" s="54"/>
      <c r="AA68" s="64"/>
      <c r="AB68" s="69"/>
      <c r="AC68" s="127"/>
      <c r="AD68"/>
      <c r="AE68" s="21"/>
      <c r="AF68" s="128"/>
      <c r="AG68" s="54"/>
      <c r="AH68" s="64"/>
      <c r="AI68" s="69"/>
      <c r="AJ68" s="127"/>
      <c r="AK68"/>
      <c r="AL68" s="21"/>
      <c r="AM68" s="128"/>
      <c r="AN68" s="54"/>
      <c r="AO68" s="64"/>
      <c r="AP68" s="69"/>
      <c r="AQ68" s="127">
        <v>1</v>
      </c>
      <c r="AR68"/>
      <c r="AS68" s="21"/>
      <c r="AT68" s="128"/>
      <c r="AU68" s="54"/>
      <c r="AV68" s="64"/>
      <c r="AW68" s="69"/>
      <c r="AX68" s="127"/>
      <c r="AY68"/>
      <c r="AZ68" s="21"/>
      <c r="BA68" s="128"/>
      <c r="BB68" s="54"/>
      <c r="BC68" s="64"/>
      <c r="BD68" s="69"/>
      <c r="BE68" s="127"/>
      <c r="BF68"/>
      <c r="BG68" s="21"/>
      <c r="BH68" s="128"/>
      <c r="BI68" s="54"/>
      <c r="BJ68" s="64"/>
      <c r="BK68" s="69"/>
      <c r="BL68" s="127"/>
      <c r="BM68"/>
      <c r="BN68" s="21"/>
      <c r="BO68" s="128"/>
      <c r="BP68" s="54"/>
      <c r="BQ68" s="64"/>
      <c r="BR68" s="69"/>
      <c r="BS68" s="127"/>
      <c r="BT68"/>
      <c r="BU68" s="21"/>
      <c r="BV68" s="128"/>
      <c r="BW68" s="54"/>
      <c r="BX68" s="64"/>
      <c r="BY68" s="69"/>
      <c r="BZ68" s="127"/>
      <c r="CA68"/>
      <c r="CB68" s="21"/>
      <c r="CC68" s="128"/>
      <c r="CD68" s="54"/>
      <c r="CE68" s="64"/>
      <c r="CF68" s="69"/>
      <c r="CG68" s="127">
        <v>1</v>
      </c>
      <c r="CH68"/>
      <c r="CI68" s="21"/>
      <c r="CJ68" s="128"/>
      <c r="CK68" s="54"/>
      <c r="CL68" s="64"/>
      <c r="CM68" s="69"/>
      <c r="CN68" s="127">
        <v>1</v>
      </c>
      <c r="CO68"/>
      <c r="CP68" s="21"/>
      <c r="CQ68" s="128"/>
      <c r="CR68" s="54"/>
      <c r="CS68" s="64"/>
      <c r="CT68" s="69"/>
      <c r="CU68"/>
      <c r="CV68" s="21"/>
      <c r="CW68" s="128"/>
      <c r="CX68" s="54"/>
      <c r="CY68" s="64"/>
      <c r="CZ68" s="69"/>
      <c r="DA68"/>
      <c r="DB68" s="21"/>
      <c r="DC68" s="128"/>
      <c r="DD68" s="54"/>
      <c r="DE68" s="64"/>
      <c r="DF68" s="69"/>
      <c r="DG68"/>
      <c r="DH68" s="21"/>
      <c r="DI68" s="128"/>
      <c r="DJ68" s="54"/>
      <c r="DK68" s="64"/>
      <c r="DL68" s="69"/>
      <c r="DM68"/>
      <c r="DN68" s="21"/>
      <c r="DO68" s="128"/>
      <c r="DP68" s="54"/>
      <c r="DQ68" s="64"/>
      <c r="DR68" s="69"/>
      <c r="DS68"/>
      <c r="DT68" s="21"/>
      <c r="DU68" s="128"/>
      <c r="DV68" s="54"/>
      <c r="DW68" s="64"/>
      <c r="DX68" s="69"/>
      <c r="DY68"/>
      <c r="DZ68" s="21"/>
      <c r="EA68" s="128"/>
      <c r="EB68" s="54"/>
      <c r="EC68" s="64"/>
      <c r="ED68" s="69"/>
      <c r="EE68"/>
      <c r="EF68" s="21"/>
      <c r="EG68" s="128"/>
      <c r="EH68" s="54"/>
      <c r="EI68" s="64"/>
      <c r="EJ68" s="69"/>
      <c r="EK68"/>
      <c r="EL68" s="21"/>
      <c r="EM68" s="128"/>
      <c r="EN68" s="54"/>
      <c r="EO68" s="64"/>
      <c r="EP68" s="69"/>
      <c r="EQ68"/>
      <c r="ER68" s="21"/>
      <c r="ES68" s="128"/>
      <c r="ET68" s="54"/>
      <c r="EU68" s="64"/>
      <c r="EV68" s="69"/>
      <c r="EW68"/>
      <c r="EX68" s="21"/>
      <c r="EY68" s="128"/>
      <c r="EZ68" s="54"/>
      <c r="FA68" s="64"/>
      <c r="FB68" s="69"/>
      <c r="FC68"/>
      <c r="FD68" s="21"/>
      <c r="FE68" s="128"/>
      <c r="FF68" s="54"/>
      <c r="FG68" s="64"/>
      <c r="FH68" s="69">
        <v>1</v>
      </c>
      <c r="FI68"/>
      <c r="FJ68" s="21"/>
      <c r="FK68" s="128"/>
      <c r="FL68" s="54"/>
      <c r="FM68" s="64"/>
      <c r="FN68" s="69">
        <v>1</v>
      </c>
      <c r="FO68" s="128"/>
      <c r="FP68" s="54"/>
      <c r="FQ68" s="64">
        <v>1</v>
      </c>
      <c r="FR68" s="69">
        <v>1</v>
      </c>
      <c r="FS68"/>
      <c r="FT68" s="21"/>
      <c r="FU68" s="128"/>
      <c r="FV68" s="54"/>
      <c r="FW68" s="64"/>
      <c r="FX68" s="69">
        <v>1</v>
      </c>
      <c r="FY68"/>
      <c r="FZ68" s="21"/>
      <c r="GA68" s="128"/>
      <c r="GB68" s="54"/>
      <c r="GC68" s="64"/>
      <c r="GD68" s="69"/>
      <c r="GE68"/>
      <c r="GF68" s="21"/>
      <c r="GG68" s="128"/>
      <c r="GH68" s="54"/>
      <c r="GI68" s="64"/>
      <c r="GJ68" s="69"/>
      <c r="GK68"/>
      <c r="GL68" s="21"/>
      <c r="GM68" s="128"/>
      <c r="GN68" s="54"/>
      <c r="GO68" s="64"/>
      <c r="GP68" s="69"/>
      <c r="GQ68"/>
      <c r="GR68" s="21"/>
      <c r="GS68" s="128"/>
      <c r="GT68" s="54"/>
      <c r="GU68" s="64"/>
      <c r="GV68" s="69"/>
      <c r="GW68"/>
      <c r="GX68" s="21"/>
      <c r="GY68" s="128"/>
      <c r="GZ68" s="54"/>
      <c r="HA68" s="64"/>
      <c r="HB68" s="69"/>
      <c r="HC68"/>
      <c r="HD68" s="21"/>
      <c r="HE68" s="128"/>
      <c r="HF68" s="54"/>
      <c r="HG68" s="64"/>
      <c r="HH68" s="69"/>
      <c r="HI68"/>
      <c r="HJ68" s="21"/>
      <c r="HK68" s="128"/>
      <c r="HL68" s="54"/>
      <c r="HM68" s="64"/>
      <c r="HN68" s="69"/>
      <c r="HO68"/>
      <c r="HP68" s="21"/>
      <c r="HQ68" s="128"/>
      <c r="HR68" s="54"/>
      <c r="HS68" s="64"/>
      <c r="HT68" s="69"/>
      <c r="HU68"/>
      <c r="HV68" s="21"/>
      <c r="HW68" s="128"/>
      <c r="HX68" s="54"/>
      <c r="HY68" s="64"/>
      <c r="HZ68" s="69"/>
      <c r="IA68"/>
      <c r="IB68" s="21"/>
      <c r="IC68" s="128"/>
      <c r="ID68" s="54"/>
      <c r="IE68" s="64"/>
      <c r="IF68" s="69">
        <v>1</v>
      </c>
      <c r="IG68"/>
      <c r="IH68" s="21"/>
      <c r="II68"/>
      <c r="IJ68" s="21">
        <v>1</v>
      </c>
      <c r="IK68" s="128">
        <v>1</v>
      </c>
      <c r="IL68" s="54">
        <v>1</v>
      </c>
      <c r="IM68" s="64">
        <v>1</v>
      </c>
      <c r="IN68" s="69">
        <v>1</v>
      </c>
      <c r="IO68"/>
      <c r="IP68" s="21"/>
      <c r="IQ68" s="128"/>
      <c r="IR68" s="54"/>
      <c r="IS68" s="64"/>
      <c r="IT68" s="69"/>
      <c r="IU68"/>
      <c r="IV68" s="21"/>
      <c r="IW68" s="128"/>
      <c r="IX68" s="54"/>
      <c r="IY68" s="64"/>
      <c r="IZ68" s="69"/>
      <c r="JA68"/>
      <c r="JB68" s="21"/>
      <c r="JC68" s="128"/>
      <c r="JD68" s="54"/>
      <c r="JE68" s="64"/>
      <c r="JF68" s="69"/>
      <c r="JG68"/>
      <c r="JH68" s="21"/>
      <c r="JI68" s="128"/>
      <c r="JJ68" s="54"/>
      <c r="JK68" s="64"/>
      <c r="JL68" s="69"/>
      <c r="JM68"/>
      <c r="JN68" s="21"/>
      <c r="JO68" s="128"/>
      <c r="JP68" s="54"/>
      <c r="JQ68" s="64"/>
      <c r="JR68" s="69"/>
      <c r="JS68"/>
      <c r="JT68" s="21"/>
      <c r="JU68" s="128"/>
      <c r="JV68" s="54"/>
      <c r="JW68" s="64"/>
      <c r="JX68" s="69"/>
      <c r="JY68"/>
      <c r="JZ68" s="21"/>
      <c r="KA68" s="128"/>
      <c r="KB68" s="54"/>
      <c r="KC68" s="64"/>
      <c r="KD68" s="69"/>
      <c r="KE68"/>
      <c r="KF68" s="38"/>
      <c r="KG68" s="35"/>
      <c r="KI68" s="54"/>
      <c r="KJ68" s="64"/>
      <c r="KK68" s="69"/>
      <c r="KL68" s="126"/>
      <c r="KM68" s="127"/>
      <c r="KO68" s="38"/>
      <c r="KP68" s="83"/>
      <c r="KQ68" s="158"/>
      <c r="KR68" s="174"/>
      <c r="KS68" s="38"/>
      <c r="KT68" s="35"/>
      <c r="KV68" s="54"/>
      <c r="KW68" s="64"/>
      <c r="KX68" s="69"/>
      <c r="KY68" s="126"/>
      <c r="KZ68" s="127"/>
      <c r="LB68" s="38"/>
      <c r="LC68" s="83"/>
      <c r="LD68" s="158"/>
      <c r="LE68" s="174"/>
      <c r="LF68" s="38"/>
      <c r="LG68" s="35"/>
      <c r="LI68" s="54"/>
      <c r="LJ68" s="64"/>
      <c r="LK68" s="69"/>
      <c r="LL68" s="126"/>
      <c r="LM68" s="127"/>
      <c r="LO68" s="38"/>
      <c r="LP68" s="83"/>
      <c r="LQ68" s="158"/>
      <c r="LR68" s="174"/>
      <c r="LS68" s="38"/>
      <c r="LT68" s="35"/>
      <c r="LV68" s="54"/>
      <c r="LW68" s="64"/>
      <c r="LX68" s="69"/>
      <c r="LY68" s="126"/>
      <c r="LZ68" s="127"/>
      <c r="MB68" s="38"/>
      <c r="MC68" s="83"/>
      <c r="MD68" s="158"/>
      <c r="ME68" s="174"/>
      <c r="MF68" s="38"/>
      <c r="MG68" s="35"/>
      <c r="MI68" s="54"/>
      <c r="MJ68" s="64"/>
      <c r="MK68" s="69"/>
      <c r="ML68" s="126"/>
      <c r="MM68" s="127"/>
      <c r="MO68" s="38"/>
      <c r="MP68" s="83"/>
      <c r="MQ68" s="158"/>
      <c r="MR68" s="174"/>
      <c r="MS68"/>
      <c r="MT68" s="4">
        <f t="shared" si="10"/>
        <v>14</v>
      </c>
      <c r="NB68"/>
      <c r="NC68" s="21"/>
      <c r="ND68" s="128"/>
      <c r="NE68" s="54"/>
    </row>
    <row r="69" spans="1:369" x14ac:dyDescent="0.15">
      <c r="A69" s="2" t="s">
        <v>41</v>
      </c>
      <c r="B69">
        <v>1</v>
      </c>
      <c r="C69" s="21">
        <v>2</v>
      </c>
      <c r="D69" s="128">
        <v>1</v>
      </c>
      <c r="E69" s="54">
        <v>1</v>
      </c>
      <c r="F69" s="64">
        <v>1</v>
      </c>
      <c r="G69" s="69">
        <v>1</v>
      </c>
      <c r="H69" s="127">
        <v>2</v>
      </c>
      <c r="I69">
        <v>1</v>
      </c>
      <c r="J69" s="21">
        <v>1</v>
      </c>
      <c r="K69" s="128">
        <v>1</v>
      </c>
      <c r="L69" s="54">
        <v>1</v>
      </c>
      <c r="M69" s="64">
        <v>1</v>
      </c>
      <c r="N69" s="69">
        <v>1</v>
      </c>
      <c r="O69" s="127">
        <v>1</v>
      </c>
      <c r="P69">
        <v>1</v>
      </c>
      <c r="Q69" s="21"/>
      <c r="R69" s="128"/>
      <c r="S69" s="54">
        <v>1</v>
      </c>
      <c r="T69" s="64">
        <v>1</v>
      </c>
      <c r="U69" s="69"/>
      <c r="V69" s="127">
        <v>1</v>
      </c>
      <c r="X69" s="21">
        <v>1</v>
      </c>
      <c r="Y69" s="128"/>
      <c r="Z69" s="54"/>
      <c r="AA69" s="64"/>
      <c r="AB69" s="69">
        <v>1</v>
      </c>
      <c r="AC69" s="127">
        <v>2</v>
      </c>
      <c r="AD69">
        <v>1</v>
      </c>
      <c r="AE69" s="21"/>
      <c r="AF69" s="128"/>
      <c r="AG69" s="54"/>
      <c r="AH69" s="64"/>
      <c r="AI69" s="69"/>
      <c r="AJ69" s="127"/>
      <c r="AL69" s="21"/>
      <c r="AM69" s="128"/>
      <c r="AN69" s="54"/>
      <c r="AO69" s="64"/>
      <c r="AP69" s="69"/>
      <c r="AQ69" s="127"/>
      <c r="AS69" s="21"/>
      <c r="AT69" s="128"/>
      <c r="AU69" s="54"/>
      <c r="AV69" s="64"/>
      <c r="AW69" s="69"/>
      <c r="AX69" s="127"/>
      <c r="AZ69" s="21"/>
      <c r="BA69" s="128"/>
      <c r="BB69" s="54"/>
      <c r="BC69" s="64"/>
      <c r="BD69" s="69"/>
      <c r="BE69" s="127"/>
      <c r="BF69">
        <v>1</v>
      </c>
      <c r="BG69" s="21"/>
      <c r="BH69" s="128"/>
      <c r="BI69" s="54"/>
      <c r="BJ69" s="64">
        <v>1</v>
      </c>
      <c r="BK69" s="69"/>
      <c r="BL69" s="127"/>
      <c r="BN69" s="21"/>
      <c r="BO69" s="128"/>
      <c r="BP69" s="54"/>
      <c r="BQ69" s="64"/>
      <c r="BR69" s="69"/>
      <c r="BS69" s="127"/>
      <c r="BU69" s="21"/>
      <c r="BV69" s="128">
        <v>1</v>
      </c>
      <c r="BW69" s="54"/>
      <c r="BX69" s="64"/>
      <c r="BY69" s="69"/>
      <c r="BZ69" s="127"/>
      <c r="CB69" s="21"/>
      <c r="CC69" s="128"/>
      <c r="CD69" s="54"/>
      <c r="CE69" s="64"/>
      <c r="CF69" s="69"/>
      <c r="CG69" s="127"/>
      <c r="CI69" s="21"/>
      <c r="CJ69" s="128"/>
      <c r="CK69" s="54"/>
      <c r="CL69" s="64"/>
      <c r="CM69" s="69"/>
      <c r="CN69" s="127"/>
      <c r="CP69" s="21"/>
      <c r="CQ69" s="128"/>
      <c r="CR69" s="54"/>
      <c r="CS69" s="64"/>
      <c r="CT69" s="69"/>
      <c r="CV69" s="21"/>
      <c r="CW69" s="128"/>
      <c r="CX69" s="54"/>
      <c r="CY69" s="64"/>
      <c r="CZ69" s="69"/>
      <c r="DB69" s="21"/>
      <c r="DC69" s="128"/>
      <c r="DD69" s="54"/>
      <c r="DE69" s="64"/>
      <c r="DF69" s="69"/>
      <c r="DH69" s="21"/>
      <c r="DI69" s="128"/>
      <c r="DJ69" s="54"/>
      <c r="DK69" s="64"/>
      <c r="DL69" s="69"/>
      <c r="DN69" s="21"/>
      <c r="DO69" s="128"/>
      <c r="DP69" s="54"/>
      <c r="DQ69" s="64"/>
      <c r="DR69" s="69"/>
      <c r="DT69" s="21"/>
      <c r="DU69" s="128"/>
      <c r="DV69" s="54"/>
      <c r="DW69" s="64"/>
      <c r="DX69" s="69"/>
      <c r="DZ69" s="21"/>
      <c r="EA69" s="128"/>
      <c r="EB69" s="54"/>
      <c r="EC69" s="64"/>
      <c r="ED69" s="69"/>
      <c r="EF69" s="21"/>
      <c r="EG69" s="128"/>
      <c r="EH69" s="54"/>
      <c r="EI69" s="64"/>
      <c r="EJ69" s="69"/>
      <c r="EL69" s="21"/>
      <c r="EM69" s="128"/>
      <c r="EN69" s="54"/>
      <c r="EO69" s="64"/>
      <c r="EP69" s="69"/>
      <c r="ER69" s="21"/>
      <c r="ES69" s="128"/>
      <c r="ET69" s="54"/>
      <c r="EU69" s="64"/>
      <c r="EV69" s="69"/>
      <c r="EW69">
        <v>3</v>
      </c>
      <c r="EX69" s="21"/>
      <c r="EY69" s="128"/>
      <c r="EZ69" s="54"/>
      <c r="FA69" s="64"/>
      <c r="FB69" s="69"/>
      <c r="FD69" s="21"/>
      <c r="FE69" s="128"/>
      <c r="FF69" s="54"/>
      <c r="FG69" s="64"/>
      <c r="FH69" s="69"/>
      <c r="FJ69" s="21"/>
      <c r="FK69" s="128"/>
      <c r="FL69" s="54"/>
      <c r="FM69" s="64"/>
      <c r="FN69" s="69"/>
      <c r="FO69" s="128"/>
      <c r="FP69" s="54"/>
      <c r="FQ69" s="64"/>
      <c r="FR69" s="69"/>
      <c r="FT69" s="21"/>
      <c r="FU69" s="128"/>
      <c r="FV69" s="54"/>
      <c r="FW69" s="64"/>
      <c r="FX69" s="69"/>
      <c r="FZ69" s="21"/>
      <c r="GA69" s="128"/>
      <c r="GB69" s="54"/>
      <c r="GC69" s="64"/>
      <c r="GD69" s="69"/>
      <c r="GE69">
        <v>3</v>
      </c>
      <c r="GF69" s="21"/>
      <c r="GG69" s="128"/>
      <c r="GH69" s="54"/>
      <c r="GI69" s="64"/>
      <c r="GJ69" s="69"/>
      <c r="GL69" s="21"/>
      <c r="GM69" s="128"/>
      <c r="GN69" s="54"/>
      <c r="GO69" s="64"/>
      <c r="GP69" s="69"/>
      <c r="GR69" s="21"/>
      <c r="GS69" s="128"/>
      <c r="GT69" s="54"/>
      <c r="GU69" s="64"/>
      <c r="GV69" s="69"/>
      <c r="GX69" s="21"/>
      <c r="GY69" s="128"/>
      <c r="GZ69" s="54"/>
      <c r="HA69" s="64"/>
      <c r="HB69" s="69"/>
      <c r="HD69" s="21"/>
      <c r="HE69" s="128"/>
      <c r="HF69" s="54"/>
      <c r="HG69" s="64"/>
      <c r="HH69" s="69"/>
      <c r="HJ69" s="21"/>
      <c r="HK69" s="128"/>
      <c r="HL69" s="54"/>
      <c r="HM69" s="64"/>
      <c r="HN69" s="69"/>
      <c r="HP69" s="21"/>
      <c r="HQ69" s="128"/>
      <c r="HR69" s="54"/>
      <c r="HS69" s="64"/>
      <c r="HT69" s="69"/>
      <c r="HV69" s="21"/>
      <c r="HW69" s="128"/>
      <c r="HX69" s="54"/>
      <c r="HY69" s="64"/>
      <c r="HZ69" s="69"/>
      <c r="IB69" s="21"/>
      <c r="IC69" s="128"/>
      <c r="ID69" s="54"/>
      <c r="IE69" s="64"/>
      <c r="IF69" s="69"/>
      <c r="IH69" s="21"/>
      <c r="IJ69" s="21"/>
      <c r="IK69" s="128"/>
      <c r="IL69" s="54"/>
      <c r="IM69" s="64"/>
      <c r="IN69" s="69"/>
      <c r="IP69" s="21"/>
      <c r="IQ69" s="128"/>
      <c r="IR69" s="54"/>
      <c r="IS69" s="64"/>
      <c r="IT69" s="69"/>
      <c r="IV69" s="21"/>
      <c r="IW69" s="128"/>
      <c r="IX69" s="54"/>
      <c r="IY69" s="64"/>
      <c r="IZ69" s="69"/>
      <c r="JB69" s="21"/>
      <c r="JC69" s="128"/>
      <c r="JD69" s="54"/>
      <c r="JE69" s="64"/>
      <c r="JF69" s="69"/>
      <c r="JH69" s="21"/>
      <c r="JI69" s="128"/>
      <c r="JJ69" s="54"/>
      <c r="JK69" s="64"/>
      <c r="JL69" s="69"/>
      <c r="JN69" s="21"/>
      <c r="JO69" s="128"/>
      <c r="JP69" s="54"/>
      <c r="JQ69" s="64"/>
      <c r="JR69" s="69"/>
      <c r="JT69" s="21"/>
      <c r="JU69" s="128"/>
      <c r="JV69" s="54"/>
      <c r="JW69" s="64"/>
      <c r="JX69" s="69"/>
      <c r="JZ69" s="21"/>
      <c r="KA69" s="128"/>
      <c r="KB69" s="54"/>
      <c r="KC69" s="64"/>
      <c r="KD69" s="69"/>
      <c r="KF69" s="38"/>
      <c r="KG69" s="35"/>
      <c r="KI69" s="54"/>
      <c r="KJ69" s="64"/>
      <c r="KK69" s="69"/>
      <c r="KL69" s="126"/>
      <c r="KM69" s="127"/>
      <c r="KO69" s="38"/>
      <c r="KP69" s="83"/>
      <c r="KQ69" s="158"/>
      <c r="KR69" s="174"/>
      <c r="KS69" s="38"/>
      <c r="KT69" s="35"/>
      <c r="KV69" s="54"/>
      <c r="KW69" s="64"/>
      <c r="KX69" s="69"/>
      <c r="KY69" s="126"/>
      <c r="KZ69" s="127"/>
      <c r="LB69" s="38"/>
      <c r="LC69" s="83"/>
      <c r="LD69" s="158"/>
      <c r="LE69" s="174"/>
      <c r="LF69" s="38"/>
      <c r="LG69" s="35"/>
      <c r="LI69" s="54"/>
      <c r="LJ69" s="64"/>
      <c r="LK69" s="69"/>
      <c r="LL69" s="126"/>
      <c r="LM69" s="127"/>
      <c r="LO69" s="38"/>
      <c r="LP69" s="83"/>
      <c r="LQ69" s="158"/>
      <c r="LR69" s="174">
        <v>1</v>
      </c>
      <c r="LS69" s="38"/>
      <c r="LT69" s="35"/>
      <c r="LV69" s="54"/>
      <c r="LW69" s="64"/>
      <c r="LX69" s="69"/>
      <c r="LY69" s="126"/>
      <c r="LZ69" s="127"/>
      <c r="MB69" s="38"/>
      <c r="MC69" s="83"/>
      <c r="MD69" s="158"/>
      <c r="ME69" s="174"/>
      <c r="MF69" s="38"/>
      <c r="MG69" s="35"/>
      <c r="MI69" s="54"/>
      <c r="MJ69" s="64"/>
      <c r="MK69" s="69"/>
      <c r="ML69" s="126"/>
      <c r="MM69" s="127"/>
      <c r="MO69" s="38"/>
      <c r="MP69" s="83"/>
      <c r="MQ69" s="158"/>
      <c r="MR69" s="174"/>
      <c r="MT69" s="4">
        <f t="shared" si="10"/>
        <v>28</v>
      </c>
      <c r="NC69" s="21"/>
      <c r="ND69" s="128"/>
      <c r="NE69" s="54"/>
    </row>
    <row r="70" spans="1:369" x14ac:dyDescent="0.15">
      <c r="A70" s="5" t="s">
        <v>95</v>
      </c>
      <c r="C70" s="21"/>
      <c r="D70" s="128"/>
      <c r="E70" s="54"/>
      <c r="F70" s="64"/>
      <c r="G70" s="69"/>
      <c r="H70" s="127"/>
      <c r="J70" s="21"/>
      <c r="K70" s="128"/>
      <c r="L70" s="54"/>
      <c r="M70" s="64"/>
      <c r="N70" s="69"/>
      <c r="O70" s="127"/>
      <c r="Q70" s="21"/>
      <c r="R70" s="128"/>
      <c r="S70" s="54"/>
      <c r="T70" s="64"/>
      <c r="U70" s="69"/>
      <c r="V70" s="127"/>
      <c r="X70" s="21"/>
      <c r="Y70" s="128"/>
      <c r="Z70" s="54"/>
      <c r="AA70" s="64"/>
      <c r="AB70" s="69"/>
      <c r="AC70" s="127"/>
      <c r="AE70" s="21"/>
      <c r="AF70" s="128"/>
      <c r="AG70" s="54"/>
      <c r="AH70" s="64"/>
      <c r="AI70" s="69"/>
      <c r="AJ70" s="127"/>
      <c r="AL70" s="21"/>
      <c r="AM70" s="128"/>
      <c r="AN70" s="54"/>
      <c r="AO70" s="64"/>
      <c r="AP70" s="69"/>
      <c r="AQ70" s="127"/>
      <c r="AS70" s="21"/>
      <c r="AT70" s="128"/>
      <c r="AU70" s="54"/>
      <c r="AV70" s="64"/>
      <c r="AW70" s="69"/>
      <c r="AX70" s="127"/>
      <c r="AZ70" s="21"/>
      <c r="BA70" s="128"/>
      <c r="BB70" s="54"/>
      <c r="BC70" s="64"/>
      <c r="BD70" s="69"/>
      <c r="BE70" s="127"/>
      <c r="BG70" s="21"/>
      <c r="BH70" s="128"/>
      <c r="BI70" s="54"/>
      <c r="BJ70" s="64"/>
      <c r="BK70" s="69"/>
      <c r="BL70" s="127"/>
      <c r="BN70" s="21"/>
      <c r="BO70" s="128"/>
      <c r="BP70" s="54"/>
      <c r="BQ70" s="64"/>
      <c r="BR70" s="69"/>
      <c r="BS70" s="127"/>
      <c r="BU70" s="21"/>
      <c r="BV70" s="128"/>
      <c r="BW70" s="54"/>
      <c r="BX70" s="64"/>
      <c r="BY70" s="69"/>
      <c r="BZ70" s="127"/>
      <c r="CB70" s="21"/>
      <c r="CC70" s="128"/>
      <c r="CD70" s="54"/>
      <c r="CE70" s="64"/>
      <c r="CF70" s="69"/>
      <c r="CG70" s="127"/>
      <c r="CI70" s="21"/>
      <c r="CJ70" s="128"/>
      <c r="CK70" s="54"/>
      <c r="CL70" s="64"/>
      <c r="CM70" s="69"/>
      <c r="CN70" s="127"/>
      <c r="CP70" s="21"/>
      <c r="CQ70" s="128"/>
      <c r="CR70" s="54"/>
      <c r="CS70" s="64"/>
      <c r="CT70" s="69"/>
      <c r="CV70" s="21"/>
      <c r="CW70" s="128"/>
      <c r="CX70" s="54"/>
      <c r="CY70" s="64"/>
      <c r="CZ70" s="69"/>
      <c r="DB70" s="21"/>
      <c r="DC70" s="128"/>
      <c r="DD70" s="54"/>
      <c r="DE70" s="64"/>
      <c r="DF70" s="69"/>
      <c r="DH70" s="21"/>
      <c r="DI70" s="128"/>
      <c r="DJ70" s="54"/>
      <c r="DK70" s="64"/>
      <c r="DL70" s="69"/>
      <c r="DN70" s="21"/>
      <c r="DO70" s="128"/>
      <c r="DP70" s="54"/>
      <c r="DQ70" s="64"/>
      <c r="DR70" s="69"/>
      <c r="DT70" s="21"/>
      <c r="DU70" s="128"/>
      <c r="DV70" s="54"/>
      <c r="DW70" s="64"/>
      <c r="DX70" s="69"/>
      <c r="DZ70" s="21"/>
      <c r="EA70" s="128"/>
      <c r="EB70" s="54"/>
      <c r="EC70" s="64"/>
      <c r="ED70" s="69"/>
      <c r="EF70" s="21"/>
      <c r="EG70" s="128"/>
      <c r="EH70" s="54"/>
      <c r="EI70" s="64"/>
      <c r="EJ70" s="69"/>
      <c r="EL70" s="21"/>
      <c r="EM70" s="128"/>
      <c r="EN70" s="54"/>
      <c r="EO70" s="64"/>
      <c r="EP70" s="69"/>
      <c r="ER70" s="21"/>
      <c r="ES70" s="128"/>
      <c r="ET70" s="54"/>
      <c r="EU70" s="64"/>
      <c r="EV70" s="69"/>
      <c r="EX70" s="21"/>
      <c r="EY70" s="128"/>
      <c r="EZ70" s="54"/>
      <c r="FA70" s="64"/>
      <c r="FB70" s="69"/>
      <c r="FD70" s="21"/>
      <c r="FE70" s="128"/>
      <c r="FF70" s="54"/>
      <c r="FG70" s="64"/>
      <c r="FH70" s="69"/>
      <c r="FJ70" s="21"/>
      <c r="FK70" s="128"/>
      <c r="FL70" s="54"/>
      <c r="FM70" s="64"/>
      <c r="FN70" s="69"/>
      <c r="FO70" s="128"/>
      <c r="FP70" s="54"/>
      <c r="FQ70" s="64"/>
      <c r="FR70" s="69"/>
      <c r="FT70" s="21"/>
      <c r="FU70" s="128"/>
      <c r="FV70" s="54"/>
      <c r="FW70" s="64"/>
      <c r="FX70" s="69"/>
      <c r="FZ70" s="21"/>
      <c r="GA70" s="128"/>
      <c r="GB70" s="54"/>
      <c r="GC70" s="64"/>
      <c r="GD70" s="69"/>
      <c r="GF70" s="21"/>
      <c r="GG70" s="128"/>
      <c r="GH70" s="54"/>
      <c r="GI70" s="64"/>
      <c r="GJ70" s="69"/>
      <c r="GL70" s="21"/>
      <c r="GM70" s="128"/>
      <c r="GN70" s="54"/>
      <c r="GO70" s="64"/>
      <c r="GP70" s="69"/>
      <c r="GR70" s="21"/>
      <c r="GS70" s="128"/>
      <c r="GT70" s="54"/>
      <c r="GU70" s="64"/>
      <c r="GV70" s="69"/>
      <c r="GX70" s="21"/>
      <c r="GY70" s="128"/>
      <c r="GZ70" s="54"/>
      <c r="HA70" s="64"/>
      <c r="HB70" s="69"/>
      <c r="HD70" s="21"/>
      <c r="HE70" s="128"/>
      <c r="HF70" s="54"/>
      <c r="HG70" s="64"/>
      <c r="HH70" s="69"/>
      <c r="HJ70" s="21"/>
      <c r="HK70" s="128"/>
      <c r="HL70" s="54"/>
      <c r="HM70" s="64"/>
      <c r="HN70" s="69"/>
      <c r="HP70" s="21"/>
      <c r="HQ70" s="128"/>
      <c r="HR70" s="54"/>
      <c r="HS70" s="64"/>
      <c r="HT70" s="69"/>
      <c r="HV70" s="21"/>
      <c r="HW70" s="128"/>
      <c r="HX70" s="54"/>
      <c r="HY70" s="64"/>
      <c r="HZ70" s="69"/>
      <c r="IB70" s="21"/>
      <c r="IC70" s="128"/>
      <c r="ID70" s="54"/>
      <c r="IE70" s="64"/>
      <c r="IF70" s="69"/>
      <c r="IH70" s="21"/>
      <c r="IJ70" s="21"/>
      <c r="IK70" s="128"/>
      <c r="IL70" s="54"/>
      <c r="IM70" s="64"/>
      <c r="IN70" s="69"/>
      <c r="IP70" s="21"/>
      <c r="IQ70" s="128"/>
      <c r="IR70" s="54"/>
      <c r="IS70" s="64"/>
      <c r="IT70" s="69"/>
      <c r="IV70" s="21"/>
      <c r="IW70" s="128"/>
      <c r="IX70" s="54"/>
      <c r="IY70" s="64"/>
      <c r="IZ70" s="69"/>
      <c r="JB70" s="21"/>
      <c r="JC70" s="128"/>
      <c r="JD70" s="54"/>
      <c r="JE70" s="64"/>
      <c r="JF70" s="69"/>
      <c r="JH70" s="21"/>
      <c r="JI70" s="128"/>
      <c r="JJ70" s="54"/>
      <c r="JK70" s="64"/>
      <c r="JL70" s="69"/>
      <c r="JN70" s="21"/>
      <c r="JO70" s="128"/>
      <c r="JP70" s="54"/>
      <c r="JQ70" s="64"/>
      <c r="JR70" s="69"/>
      <c r="JT70" s="21"/>
      <c r="JU70" s="128"/>
      <c r="JV70" s="54"/>
      <c r="JW70" s="64"/>
      <c r="JX70" s="69"/>
      <c r="JZ70" s="21"/>
      <c r="KA70" s="128"/>
      <c r="KB70" s="54"/>
      <c r="KC70" s="64"/>
      <c r="KD70" s="69"/>
      <c r="KF70" s="38"/>
      <c r="KG70" s="35"/>
      <c r="KI70" s="54"/>
      <c r="KJ70" s="64"/>
      <c r="KK70" s="69"/>
      <c r="KL70" s="126"/>
      <c r="KM70" s="127"/>
      <c r="KO70" s="38"/>
      <c r="KP70" s="83"/>
      <c r="KQ70" s="158"/>
      <c r="KR70" s="174"/>
      <c r="KS70" s="38"/>
      <c r="KT70" s="35"/>
      <c r="KV70" s="54"/>
      <c r="KW70" s="64"/>
      <c r="KX70" s="69"/>
      <c r="KY70" s="126"/>
      <c r="KZ70" s="127"/>
      <c r="LB70" s="38"/>
      <c r="LC70" s="83"/>
      <c r="LD70" s="158"/>
      <c r="LE70" s="174"/>
      <c r="LF70" s="38"/>
      <c r="LG70" s="35">
        <v>1</v>
      </c>
      <c r="LI70" s="54"/>
      <c r="LJ70" s="64"/>
      <c r="LK70" s="69"/>
      <c r="LL70" s="126"/>
      <c r="LM70" s="127"/>
      <c r="LO70" s="38"/>
      <c r="LP70" s="83"/>
      <c r="LQ70" s="158"/>
      <c r="LR70" s="174"/>
      <c r="LS70" s="38"/>
      <c r="LT70" s="35"/>
      <c r="LV70" s="54"/>
      <c r="LW70" s="64"/>
      <c r="LX70" s="69"/>
      <c r="LY70" s="126"/>
      <c r="LZ70" s="127"/>
      <c r="MB70" s="38"/>
      <c r="MC70" s="83"/>
      <c r="MD70" s="158"/>
      <c r="ME70" s="174"/>
      <c r="MF70" s="38"/>
      <c r="MG70" s="35"/>
      <c r="MI70" s="54"/>
      <c r="MJ70" s="64"/>
      <c r="MK70" s="69"/>
      <c r="ML70" s="126"/>
      <c r="MM70" s="127"/>
      <c r="MO70" s="38"/>
      <c r="MP70" s="83"/>
      <c r="MQ70" s="158"/>
      <c r="MR70" s="174"/>
      <c r="MT70" s="4">
        <f t="shared" ref="MT70:MT83" si="11">COUNTA(B70:MR70)</f>
        <v>1</v>
      </c>
      <c r="NC70" s="21"/>
      <c r="ND70" s="128"/>
      <c r="NE70" s="54"/>
    </row>
    <row r="71" spans="1:369" x14ac:dyDescent="0.15">
      <c r="A71" s="5" t="s">
        <v>111</v>
      </c>
      <c r="C71" s="21"/>
      <c r="D71" s="128"/>
      <c r="E71" s="54"/>
      <c r="F71" s="64"/>
      <c r="G71" s="69"/>
      <c r="H71" s="127"/>
      <c r="J71" s="21"/>
      <c r="K71" s="128"/>
      <c r="L71" s="54"/>
      <c r="M71" s="64"/>
      <c r="N71" s="69"/>
      <c r="O71" s="127"/>
      <c r="Q71" s="21"/>
      <c r="R71" s="128"/>
      <c r="S71" s="54"/>
      <c r="T71" s="64"/>
      <c r="U71" s="69"/>
      <c r="V71" s="127"/>
      <c r="X71" s="21"/>
      <c r="Y71" s="128"/>
      <c r="Z71" s="54"/>
      <c r="AA71" s="64"/>
      <c r="AB71" s="69"/>
      <c r="AC71" s="127"/>
      <c r="AE71" s="21"/>
      <c r="AF71" s="128"/>
      <c r="AG71" s="54"/>
      <c r="AH71" s="64"/>
      <c r="AI71" s="69"/>
      <c r="AJ71" s="127"/>
      <c r="AL71" s="21"/>
      <c r="AM71" s="128"/>
      <c r="AN71" s="54"/>
      <c r="AO71" s="64"/>
      <c r="AP71" s="69"/>
      <c r="AQ71" s="127"/>
      <c r="AS71" s="21"/>
      <c r="AT71" s="128"/>
      <c r="AU71" s="54"/>
      <c r="AV71" s="64"/>
      <c r="AW71" s="69"/>
      <c r="AX71" s="127"/>
      <c r="AZ71" s="21"/>
      <c r="BA71" s="128"/>
      <c r="BB71" s="54"/>
      <c r="BC71" s="64"/>
      <c r="BD71" s="69"/>
      <c r="BE71" s="127"/>
      <c r="BG71" s="21"/>
      <c r="BH71" s="128"/>
      <c r="BI71" s="54"/>
      <c r="BJ71" s="64"/>
      <c r="BK71" s="69"/>
      <c r="BL71" s="127"/>
      <c r="BN71" s="21"/>
      <c r="BO71" s="128"/>
      <c r="BP71" s="54"/>
      <c r="BQ71" s="64"/>
      <c r="BR71" s="69"/>
      <c r="BS71" s="127"/>
      <c r="BU71" s="21"/>
      <c r="BV71" s="128"/>
      <c r="BW71" s="54"/>
      <c r="BX71" s="64"/>
      <c r="BY71" s="69"/>
      <c r="BZ71" s="127"/>
      <c r="CB71" s="21"/>
      <c r="CC71" s="128"/>
      <c r="CD71" s="54"/>
      <c r="CE71" s="64"/>
      <c r="CF71" s="69">
        <v>1</v>
      </c>
      <c r="CG71" s="127"/>
      <c r="CI71" s="21"/>
      <c r="CJ71" s="128"/>
      <c r="CK71" s="54"/>
      <c r="CL71" s="64"/>
      <c r="CM71" s="69"/>
      <c r="CN71" s="127"/>
      <c r="CP71" s="21"/>
      <c r="CQ71" s="128"/>
      <c r="CR71" s="54"/>
      <c r="CS71" s="64"/>
      <c r="CT71" s="69"/>
      <c r="CV71" s="21"/>
      <c r="CW71" s="128"/>
      <c r="CX71" s="54"/>
      <c r="CY71" s="64"/>
      <c r="CZ71" s="69"/>
      <c r="DB71" s="21"/>
      <c r="DC71" s="128"/>
      <c r="DD71" s="54"/>
      <c r="DE71" s="64"/>
      <c r="DF71" s="69"/>
      <c r="DH71" s="21"/>
      <c r="DI71" s="128"/>
      <c r="DJ71" s="54"/>
      <c r="DK71" s="64"/>
      <c r="DL71" s="69"/>
      <c r="DN71" s="21"/>
      <c r="DO71" s="128"/>
      <c r="DP71" s="54"/>
      <c r="DQ71" s="64"/>
      <c r="DR71" s="69"/>
      <c r="DT71" s="21"/>
      <c r="DU71" s="128"/>
      <c r="DV71" s="54"/>
      <c r="DW71" s="64"/>
      <c r="DX71" s="69"/>
      <c r="DZ71" s="21"/>
      <c r="EA71" s="128"/>
      <c r="EB71" s="54"/>
      <c r="EC71" s="64"/>
      <c r="ED71" s="69"/>
      <c r="EF71" s="21"/>
      <c r="EG71" s="128"/>
      <c r="EH71" s="54"/>
      <c r="EI71" s="64"/>
      <c r="EJ71" s="69"/>
      <c r="EL71" s="21"/>
      <c r="EM71" s="128"/>
      <c r="EN71" s="54"/>
      <c r="EO71" s="64"/>
      <c r="EP71" s="69"/>
      <c r="ER71" s="21"/>
      <c r="ES71" s="128"/>
      <c r="ET71" s="54"/>
      <c r="EU71" s="64"/>
      <c r="EV71" s="69"/>
      <c r="EX71" s="21"/>
      <c r="EY71" s="128"/>
      <c r="EZ71" s="54"/>
      <c r="FA71" s="64"/>
      <c r="FB71" s="69"/>
      <c r="FD71" s="21"/>
      <c r="FE71" s="128"/>
      <c r="FF71" s="54"/>
      <c r="FG71" s="64"/>
      <c r="FH71" s="69"/>
      <c r="FJ71" s="21"/>
      <c r="FK71" s="128"/>
      <c r="FL71" s="54"/>
      <c r="FM71" s="64"/>
      <c r="FN71" s="69"/>
      <c r="FO71" s="128"/>
      <c r="FP71" s="54"/>
      <c r="FQ71" s="64"/>
      <c r="FR71" s="69"/>
      <c r="FT71" s="21"/>
      <c r="FU71" s="128"/>
      <c r="FV71" s="54"/>
      <c r="FW71" s="64"/>
      <c r="FX71" s="69"/>
      <c r="FZ71" s="21"/>
      <c r="GA71" s="128"/>
      <c r="GB71" s="54"/>
      <c r="GC71" s="64"/>
      <c r="GD71" s="69"/>
      <c r="GF71" s="21"/>
      <c r="GG71" s="128"/>
      <c r="GH71" s="54"/>
      <c r="GI71" s="64"/>
      <c r="GJ71" s="69"/>
      <c r="GL71" s="21"/>
      <c r="GM71" s="128"/>
      <c r="GN71" s="54"/>
      <c r="GO71" s="64"/>
      <c r="GP71" s="69"/>
      <c r="GR71" s="21"/>
      <c r="GS71" s="128"/>
      <c r="GT71" s="54"/>
      <c r="GU71" s="64"/>
      <c r="GV71" s="69"/>
      <c r="GX71" s="21"/>
      <c r="GY71" s="128"/>
      <c r="GZ71" s="54"/>
      <c r="HA71" s="64"/>
      <c r="HB71" s="69"/>
      <c r="HD71" s="21"/>
      <c r="HE71" s="128"/>
      <c r="HF71" s="54"/>
      <c r="HG71" s="64"/>
      <c r="HH71" s="69"/>
      <c r="HJ71" s="21"/>
      <c r="HK71" s="128"/>
      <c r="HL71" s="54"/>
      <c r="HM71" s="64"/>
      <c r="HN71" s="69"/>
      <c r="HP71" s="21"/>
      <c r="HQ71" s="128"/>
      <c r="HR71" s="54"/>
      <c r="HS71" s="64"/>
      <c r="HT71" s="69"/>
      <c r="HV71" s="21"/>
      <c r="HW71" s="128"/>
      <c r="HX71" s="54"/>
      <c r="HY71" s="64"/>
      <c r="HZ71" s="69"/>
      <c r="IB71" s="21"/>
      <c r="IC71" s="128"/>
      <c r="ID71" s="54"/>
      <c r="IE71" s="64"/>
      <c r="IF71" s="69"/>
      <c r="IH71" s="21"/>
      <c r="IJ71" s="21"/>
      <c r="IK71" s="128"/>
      <c r="IL71" s="54"/>
      <c r="IM71" s="64"/>
      <c r="IN71" s="69"/>
      <c r="IP71" s="21"/>
      <c r="IQ71" s="128"/>
      <c r="IR71" s="54"/>
      <c r="IS71" s="64"/>
      <c r="IT71" s="69"/>
      <c r="IV71" s="21"/>
      <c r="IW71" s="128"/>
      <c r="IX71" s="54"/>
      <c r="IY71" s="64"/>
      <c r="IZ71" s="69"/>
      <c r="JB71" s="21"/>
      <c r="JC71" s="128"/>
      <c r="JD71" s="54"/>
      <c r="JE71" s="64"/>
      <c r="JF71" s="69"/>
      <c r="JH71" s="21"/>
      <c r="JI71" s="128"/>
      <c r="JJ71" s="54"/>
      <c r="JK71" s="64"/>
      <c r="JL71" s="69"/>
      <c r="JN71" s="21"/>
      <c r="JO71" s="128"/>
      <c r="JP71" s="54"/>
      <c r="JQ71" s="64"/>
      <c r="JR71" s="69"/>
      <c r="JT71" s="21"/>
      <c r="JU71" s="128"/>
      <c r="JV71" s="54"/>
      <c r="JW71" s="64"/>
      <c r="JX71" s="69"/>
      <c r="JZ71" s="21"/>
      <c r="KA71" s="128"/>
      <c r="KB71" s="54"/>
      <c r="KC71" s="64"/>
      <c r="KD71" s="69"/>
      <c r="KF71" s="38"/>
      <c r="KG71" s="35"/>
      <c r="KI71" s="54"/>
      <c r="KJ71" s="64"/>
      <c r="KK71" s="69"/>
      <c r="KL71" s="126"/>
      <c r="KM71" s="127"/>
      <c r="KO71" s="38"/>
      <c r="KP71" s="83"/>
      <c r="KQ71" s="158"/>
      <c r="KR71" s="174"/>
      <c r="KS71" s="38"/>
      <c r="KT71" s="35"/>
      <c r="KU71" s="4">
        <v>2</v>
      </c>
      <c r="KV71" s="54">
        <v>2</v>
      </c>
      <c r="KW71" s="64">
        <v>2</v>
      </c>
      <c r="KX71" s="69">
        <v>2</v>
      </c>
      <c r="KY71" s="126">
        <v>3</v>
      </c>
      <c r="KZ71" s="127">
        <v>2</v>
      </c>
      <c r="LA71" s="4">
        <v>1</v>
      </c>
      <c r="LB71" s="38">
        <v>1</v>
      </c>
      <c r="LC71" s="83">
        <v>2</v>
      </c>
      <c r="LD71" s="158">
        <v>1</v>
      </c>
      <c r="LE71" s="174">
        <v>1</v>
      </c>
      <c r="LF71" s="38"/>
      <c r="LG71" s="35"/>
      <c r="LH71" s="4">
        <v>3</v>
      </c>
      <c r="LI71" s="54">
        <v>2</v>
      </c>
      <c r="LJ71" s="64">
        <v>1</v>
      </c>
      <c r="LK71" s="69">
        <v>1</v>
      </c>
      <c r="LL71" s="126">
        <v>2</v>
      </c>
      <c r="LM71" s="127">
        <v>1</v>
      </c>
      <c r="LN71" s="4">
        <v>1</v>
      </c>
      <c r="LO71" s="38">
        <v>1</v>
      </c>
      <c r="LP71" s="83">
        <v>2</v>
      </c>
      <c r="LQ71" s="158">
        <v>1</v>
      </c>
      <c r="LR71" s="174">
        <v>1</v>
      </c>
      <c r="LS71" s="38"/>
      <c r="LT71" s="35"/>
      <c r="LV71" s="54"/>
      <c r="LW71" s="64"/>
      <c r="LX71" s="69"/>
      <c r="LY71" s="126"/>
      <c r="LZ71" s="127"/>
      <c r="MB71" s="38"/>
      <c r="MC71" s="83"/>
      <c r="MD71" s="158"/>
      <c r="ME71" s="174"/>
      <c r="MF71" s="38"/>
      <c r="MG71" s="35"/>
      <c r="MI71" s="54"/>
      <c r="MJ71" s="64"/>
      <c r="MK71" s="69"/>
      <c r="ML71" s="126"/>
      <c r="MM71" s="127"/>
      <c r="MO71" s="38"/>
      <c r="MP71" s="83"/>
      <c r="MQ71" s="158"/>
      <c r="MR71" s="174"/>
      <c r="MT71" s="4">
        <f t="shared" si="11"/>
        <v>23</v>
      </c>
      <c r="NC71" s="21"/>
      <c r="ND71" s="128"/>
      <c r="NE71" s="54"/>
    </row>
    <row r="72" spans="1:369" x14ac:dyDescent="0.15">
      <c r="A72" s="2" t="s">
        <v>7</v>
      </c>
      <c r="B72">
        <v>2</v>
      </c>
      <c r="C72" s="21">
        <v>1</v>
      </c>
      <c r="D72" s="128">
        <v>1</v>
      </c>
      <c r="E72" s="54">
        <v>1</v>
      </c>
      <c r="F72" s="64">
        <v>1</v>
      </c>
      <c r="G72" s="69"/>
      <c r="H72" s="127">
        <v>2</v>
      </c>
      <c r="J72" s="21">
        <v>1</v>
      </c>
      <c r="K72" s="128">
        <v>1</v>
      </c>
      <c r="L72" s="54">
        <v>1</v>
      </c>
      <c r="M72" s="64">
        <v>1</v>
      </c>
      <c r="N72" s="69">
        <v>1</v>
      </c>
      <c r="O72" s="127">
        <v>1</v>
      </c>
      <c r="Q72" s="21"/>
      <c r="R72" s="128">
        <v>1</v>
      </c>
      <c r="S72" s="54">
        <v>1</v>
      </c>
      <c r="T72" s="64">
        <v>1</v>
      </c>
      <c r="U72" s="69">
        <v>1</v>
      </c>
      <c r="V72" s="127">
        <v>1</v>
      </c>
      <c r="X72" s="21"/>
      <c r="Y72" s="128"/>
      <c r="Z72" s="54">
        <v>1</v>
      </c>
      <c r="AA72" s="64">
        <v>1</v>
      </c>
      <c r="AB72" s="69">
        <v>1</v>
      </c>
      <c r="AC72" s="127">
        <v>1</v>
      </c>
      <c r="AD72">
        <v>1</v>
      </c>
      <c r="AE72" s="21"/>
      <c r="AF72" s="128"/>
      <c r="AG72" s="54">
        <v>1</v>
      </c>
      <c r="AH72" s="64">
        <v>1</v>
      </c>
      <c r="AI72" s="69"/>
      <c r="AJ72" s="127"/>
      <c r="AK72">
        <v>2</v>
      </c>
      <c r="AL72" s="21">
        <v>1</v>
      </c>
      <c r="AM72" s="128">
        <v>1</v>
      </c>
      <c r="AN72" s="54">
        <v>1</v>
      </c>
      <c r="AO72" s="64">
        <v>1</v>
      </c>
      <c r="AP72" s="69">
        <v>1</v>
      </c>
      <c r="AQ72" s="127">
        <v>1</v>
      </c>
      <c r="AS72" s="21"/>
      <c r="AT72" s="128">
        <v>1</v>
      </c>
      <c r="AU72" s="54"/>
      <c r="AV72" s="64">
        <v>1</v>
      </c>
      <c r="AW72" s="69">
        <v>1</v>
      </c>
      <c r="AX72" s="127">
        <v>1</v>
      </c>
      <c r="AY72">
        <v>1</v>
      </c>
      <c r="AZ72" s="21">
        <v>2</v>
      </c>
      <c r="BA72" s="128">
        <v>1</v>
      </c>
      <c r="BB72" s="54">
        <v>2</v>
      </c>
      <c r="BC72" s="64">
        <v>2</v>
      </c>
      <c r="BD72" s="69">
        <v>1</v>
      </c>
      <c r="BE72" s="127">
        <v>1</v>
      </c>
      <c r="BF72">
        <v>2</v>
      </c>
      <c r="BG72" s="21">
        <v>2</v>
      </c>
      <c r="BH72" s="128">
        <v>1</v>
      </c>
      <c r="BI72" s="54">
        <v>1</v>
      </c>
      <c r="BJ72" s="64"/>
      <c r="BK72" s="69">
        <v>1</v>
      </c>
      <c r="BL72" s="127">
        <v>1</v>
      </c>
      <c r="BN72" s="21"/>
      <c r="BO72" s="128"/>
      <c r="BP72" s="54"/>
      <c r="BQ72" s="64"/>
      <c r="BR72" s="69"/>
      <c r="BS72" s="127"/>
      <c r="BU72" s="21"/>
      <c r="BV72" s="128"/>
      <c r="BW72" s="54">
        <v>1</v>
      </c>
      <c r="BX72" s="64">
        <v>1</v>
      </c>
      <c r="BY72" s="69">
        <v>1</v>
      </c>
      <c r="BZ72" s="127">
        <v>1</v>
      </c>
      <c r="CB72" s="21">
        <v>1</v>
      </c>
      <c r="CC72" s="128">
        <v>1</v>
      </c>
      <c r="CD72" s="54">
        <v>1</v>
      </c>
      <c r="CE72" s="64">
        <v>1</v>
      </c>
      <c r="CF72" s="69">
        <v>1</v>
      </c>
      <c r="CG72" s="127">
        <v>1</v>
      </c>
      <c r="CH72">
        <v>2</v>
      </c>
      <c r="CI72" s="21">
        <v>1</v>
      </c>
      <c r="CJ72" s="128">
        <v>1</v>
      </c>
      <c r="CK72" s="54">
        <v>1</v>
      </c>
      <c r="CL72" s="64">
        <v>2</v>
      </c>
      <c r="CM72" s="69">
        <v>2</v>
      </c>
      <c r="CN72" s="127">
        <v>1</v>
      </c>
      <c r="CP72" s="21">
        <v>1</v>
      </c>
      <c r="CQ72" s="128"/>
      <c r="CR72" s="54"/>
      <c r="CS72" s="64"/>
      <c r="CT72" s="69"/>
      <c r="CU72">
        <v>1</v>
      </c>
      <c r="CV72" s="21">
        <v>2</v>
      </c>
      <c r="CW72" s="128">
        <v>2</v>
      </c>
      <c r="CX72" s="54">
        <v>2</v>
      </c>
      <c r="CY72" s="64">
        <v>2</v>
      </c>
      <c r="CZ72" s="69">
        <v>2</v>
      </c>
      <c r="DB72" s="21">
        <v>2</v>
      </c>
      <c r="DC72" s="128">
        <v>2</v>
      </c>
      <c r="DD72" s="54">
        <v>2</v>
      </c>
      <c r="DE72" s="64">
        <v>2</v>
      </c>
      <c r="DF72" s="69">
        <v>1</v>
      </c>
      <c r="DH72" s="21"/>
      <c r="DI72" s="128"/>
      <c r="DJ72" s="54"/>
      <c r="DK72" s="64"/>
      <c r="DL72" s="69"/>
      <c r="DN72" s="21"/>
      <c r="DO72" s="128"/>
      <c r="DP72" s="54"/>
      <c r="DQ72" s="64"/>
      <c r="DR72" s="69">
        <v>1</v>
      </c>
      <c r="DS72">
        <v>1</v>
      </c>
      <c r="DT72" s="21">
        <v>1</v>
      </c>
      <c r="DU72" s="128">
        <v>1</v>
      </c>
      <c r="DV72" s="54">
        <v>1</v>
      </c>
      <c r="DW72" s="64">
        <v>1</v>
      </c>
      <c r="DX72" s="69">
        <v>1</v>
      </c>
      <c r="DY72">
        <v>1</v>
      </c>
      <c r="DZ72" s="21"/>
      <c r="EA72" s="128">
        <v>1</v>
      </c>
      <c r="EB72" s="54">
        <v>1</v>
      </c>
      <c r="EC72" s="64">
        <v>1</v>
      </c>
      <c r="ED72" s="69">
        <v>1</v>
      </c>
      <c r="EF72" s="21">
        <v>1</v>
      </c>
      <c r="EG72" s="128">
        <v>1</v>
      </c>
      <c r="EH72" s="54">
        <v>1</v>
      </c>
      <c r="EI72" s="64">
        <v>1</v>
      </c>
      <c r="EJ72" s="69">
        <v>1</v>
      </c>
      <c r="EL72" s="21"/>
      <c r="EM72" s="128"/>
      <c r="EN72" s="54"/>
      <c r="EO72" s="64"/>
      <c r="EP72" s="69"/>
      <c r="ER72" s="21">
        <v>2</v>
      </c>
      <c r="ES72" s="128">
        <v>1</v>
      </c>
      <c r="ET72" s="54">
        <v>1</v>
      </c>
      <c r="EU72" s="64">
        <v>2</v>
      </c>
      <c r="EV72" s="69">
        <v>2</v>
      </c>
      <c r="EW72">
        <v>1</v>
      </c>
      <c r="EX72" s="21">
        <v>2</v>
      </c>
      <c r="EY72" s="128">
        <v>1</v>
      </c>
      <c r="EZ72" s="54">
        <v>1</v>
      </c>
      <c r="FA72" s="64">
        <v>1</v>
      </c>
      <c r="FB72" s="69">
        <v>1</v>
      </c>
      <c r="FD72" s="21"/>
      <c r="FE72" s="128">
        <v>1</v>
      </c>
      <c r="FF72" s="54">
        <v>1</v>
      </c>
      <c r="FG72" s="64">
        <v>1</v>
      </c>
      <c r="FH72" s="69">
        <v>1</v>
      </c>
      <c r="FI72">
        <v>1</v>
      </c>
      <c r="FJ72" s="21">
        <v>1</v>
      </c>
      <c r="FK72" s="128">
        <v>1</v>
      </c>
      <c r="FL72" s="54">
        <v>1</v>
      </c>
      <c r="FM72" s="64">
        <v>1</v>
      </c>
      <c r="FN72" s="69">
        <v>1</v>
      </c>
      <c r="FO72" s="128">
        <v>1</v>
      </c>
      <c r="FP72" s="54">
        <v>1</v>
      </c>
      <c r="FQ72" s="64">
        <v>1</v>
      </c>
      <c r="FR72" s="69">
        <v>2</v>
      </c>
      <c r="FS72">
        <v>1</v>
      </c>
      <c r="FT72" s="21">
        <v>1</v>
      </c>
      <c r="FU72" s="128">
        <v>1</v>
      </c>
      <c r="FV72" s="54">
        <v>1</v>
      </c>
      <c r="FW72" s="64">
        <v>1</v>
      </c>
      <c r="FX72" s="69">
        <v>1</v>
      </c>
      <c r="FZ72" s="21"/>
      <c r="GA72" s="128">
        <v>1</v>
      </c>
      <c r="GB72" s="54">
        <v>1</v>
      </c>
      <c r="GC72" s="64">
        <v>1</v>
      </c>
      <c r="GD72" s="69">
        <v>1</v>
      </c>
      <c r="GE72">
        <v>2</v>
      </c>
      <c r="GF72" s="21">
        <v>2</v>
      </c>
      <c r="GG72" s="128">
        <v>2</v>
      </c>
      <c r="GH72" s="54">
        <v>2</v>
      </c>
      <c r="GI72" s="64">
        <v>2</v>
      </c>
      <c r="GJ72" s="69">
        <v>2</v>
      </c>
      <c r="GK72">
        <v>1</v>
      </c>
      <c r="GL72" s="21">
        <v>1</v>
      </c>
      <c r="GM72" s="128">
        <v>1</v>
      </c>
      <c r="GN72" s="54"/>
      <c r="GO72" s="64">
        <v>1</v>
      </c>
      <c r="GP72" s="69">
        <v>1</v>
      </c>
      <c r="GQ72">
        <v>2</v>
      </c>
      <c r="GR72" s="21">
        <v>3</v>
      </c>
      <c r="GS72" s="128">
        <v>1</v>
      </c>
      <c r="GT72" s="54">
        <v>1</v>
      </c>
      <c r="GU72" s="64">
        <v>2</v>
      </c>
      <c r="GV72" s="69">
        <v>2</v>
      </c>
      <c r="GX72" s="21"/>
      <c r="GY72" s="128"/>
      <c r="GZ72" s="54"/>
      <c r="HA72" s="64"/>
      <c r="HB72" s="69"/>
      <c r="HD72" s="21"/>
      <c r="HE72" s="128"/>
      <c r="HF72" s="54"/>
      <c r="HG72" s="64"/>
      <c r="HH72" s="69"/>
      <c r="HJ72" s="21"/>
      <c r="HK72" s="128"/>
      <c r="HL72" s="54"/>
      <c r="HM72" s="64"/>
      <c r="HN72" s="69"/>
      <c r="HP72" s="21"/>
      <c r="HQ72" s="128"/>
      <c r="HR72" s="54"/>
      <c r="HS72" s="64"/>
      <c r="HT72" s="69"/>
      <c r="HV72" s="21"/>
      <c r="HW72" s="128"/>
      <c r="HX72" s="54"/>
      <c r="HY72" s="64"/>
      <c r="HZ72" s="69"/>
      <c r="IB72" s="21"/>
      <c r="IC72" s="128"/>
      <c r="ID72" s="54"/>
      <c r="IE72" s="64"/>
      <c r="IF72" s="69"/>
      <c r="IH72" s="21"/>
      <c r="IJ72" s="21"/>
      <c r="IK72" s="128"/>
      <c r="IL72" s="54"/>
      <c r="IM72" s="64"/>
      <c r="IN72" s="69"/>
      <c r="IP72" s="21"/>
      <c r="IQ72" s="128"/>
      <c r="IR72" s="54"/>
      <c r="IS72" s="64"/>
      <c r="IT72" s="69"/>
      <c r="IV72" s="21"/>
      <c r="IW72" s="128"/>
      <c r="IX72" s="54"/>
      <c r="IY72" s="64"/>
      <c r="IZ72" s="69"/>
      <c r="JB72" s="21"/>
      <c r="JC72" s="128"/>
      <c r="JD72" s="54"/>
      <c r="JE72" s="64"/>
      <c r="JF72" s="69"/>
      <c r="JH72" s="21"/>
      <c r="JI72" s="128"/>
      <c r="JJ72" s="54"/>
      <c r="JK72" s="64"/>
      <c r="JL72" s="69"/>
      <c r="JM72">
        <v>1</v>
      </c>
      <c r="JN72" s="21">
        <v>1</v>
      </c>
      <c r="JO72" s="128">
        <v>1</v>
      </c>
      <c r="JP72" s="54">
        <v>1</v>
      </c>
      <c r="JQ72" s="64">
        <v>1</v>
      </c>
      <c r="JR72" s="69">
        <v>1</v>
      </c>
      <c r="JS72">
        <v>2</v>
      </c>
      <c r="JT72" s="21">
        <v>1</v>
      </c>
      <c r="JU72" s="128">
        <v>1</v>
      </c>
      <c r="JV72" s="54">
        <v>1</v>
      </c>
      <c r="JW72" s="64">
        <v>1</v>
      </c>
      <c r="JX72" s="69">
        <v>1</v>
      </c>
      <c r="JZ72" s="21"/>
      <c r="KA72" s="128"/>
      <c r="KB72" s="54"/>
      <c r="KC72" s="64"/>
      <c r="KD72" s="69"/>
      <c r="KF72" s="38"/>
      <c r="KG72" s="35"/>
      <c r="KI72" s="54"/>
      <c r="KJ72" s="64"/>
      <c r="KK72" s="69"/>
      <c r="KL72" s="126"/>
      <c r="KM72" s="127"/>
      <c r="KO72" s="38"/>
      <c r="KP72" s="83"/>
      <c r="KQ72" s="158"/>
      <c r="KR72" s="174"/>
      <c r="KS72" s="38"/>
      <c r="KT72" s="35"/>
      <c r="KV72" s="54"/>
      <c r="KW72" s="64"/>
      <c r="KX72" s="69"/>
      <c r="KY72" s="126"/>
      <c r="KZ72" s="127"/>
      <c r="LB72" s="38"/>
      <c r="LC72" s="83"/>
      <c r="LD72" s="158"/>
      <c r="LE72" s="174"/>
      <c r="LF72" s="38"/>
      <c r="LG72" s="35"/>
      <c r="LI72" s="54"/>
      <c r="LJ72" s="64"/>
      <c r="LK72" s="69"/>
      <c r="LL72" s="126"/>
      <c r="LM72" s="127"/>
      <c r="LO72" s="38"/>
      <c r="LP72" s="83"/>
      <c r="LQ72" s="158"/>
      <c r="LR72" s="174"/>
      <c r="LS72" s="38"/>
      <c r="LT72" s="35"/>
      <c r="LV72" s="54"/>
      <c r="LW72" s="64"/>
      <c r="LX72" s="69"/>
      <c r="LY72" s="126"/>
      <c r="LZ72" s="127"/>
      <c r="MB72" s="38"/>
      <c r="MC72" s="83"/>
      <c r="MD72" s="158"/>
      <c r="ME72" s="174"/>
      <c r="MF72" s="38"/>
      <c r="MG72" s="35"/>
      <c r="MI72" s="54"/>
      <c r="MJ72" s="64"/>
      <c r="MK72" s="69"/>
      <c r="ML72" s="126"/>
      <c r="MM72" s="127"/>
      <c r="MO72" s="38"/>
      <c r="MP72" s="83"/>
      <c r="MQ72" s="158"/>
      <c r="MR72" s="174"/>
      <c r="MT72" s="4">
        <f t="shared" si="11"/>
        <v>158</v>
      </c>
      <c r="NB72">
        <v>1</v>
      </c>
      <c r="NC72" s="21"/>
      <c r="ND72" s="128"/>
      <c r="NE72" s="54">
        <v>1</v>
      </c>
    </row>
    <row r="73" spans="1:369" x14ac:dyDescent="0.15">
      <c r="A73" s="2" t="s">
        <v>32</v>
      </c>
      <c r="C73" s="21"/>
      <c r="D73" s="128"/>
      <c r="E73" s="54"/>
      <c r="F73" s="64"/>
      <c r="G73" s="69"/>
      <c r="H73" s="127"/>
      <c r="J73" s="21"/>
      <c r="K73" s="128"/>
      <c r="L73" s="54"/>
      <c r="M73" s="64"/>
      <c r="N73" s="69"/>
      <c r="O73" s="127"/>
      <c r="Q73" s="21"/>
      <c r="R73" s="128"/>
      <c r="S73" s="54"/>
      <c r="T73" s="64"/>
      <c r="U73" s="69"/>
      <c r="V73" s="127"/>
      <c r="W73">
        <v>1</v>
      </c>
      <c r="X73" s="21"/>
      <c r="Y73" s="128"/>
      <c r="Z73" s="54"/>
      <c r="AA73" s="64"/>
      <c r="AB73" s="69"/>
      <c r="AC73" s="127">
        <v>1</v>
      </c>
      <c r="AE73" s="21"/>
      <c r="AF73" s="128"/>
      <c r="AG73" s="54"/>
      <c r="AH73" s="64"/>
      <c r="AI73" s="69"/>
      <c r="AJ73" s="127"/>
      <c r="AK73">
        <v>1</v>
      </c>
      <c r="AL73" s="21"/>
      <c r="AM73" s="128"/>
      <c r="AN73" s="54"/>
      <c r="AO73" s="64"/>
      <c r="AP73" s="69"/>
      <c r="AQ73" s="127"/>
      <c r="AS73" s="21"/>
      <c r="AT73" s="128"/>
      <c r="AU73" s="54"/>
      <c r="AV73" s="64"/>
      <c r="AW73" s="69"/>
      <c r="AX73" s="127"/>
      <c r="AZ73" s="21"/>
      <c r="BA73" s="128"/>
      <c r="BB73" s="54"/>
      <c r="BC73" s="64"/>
      <c r="BD73" s="69"/>
      <c r="BE73" s="127"/>
      <c r="BF73">
        <v>1</v>
      </c>
      <c r="BG73" s="21"/>
      <c r="BH73" s="128"/>
      <c r="BI73" s="54"/>
      <c r="BJ73" s="64"/>
      <c r="BK73" s="69"/>
      <c r="BL73" s="127"/>
      <c r="BN73" s="21">
        <v>1</v>
      </c>
      <c r="BO73" s="128"/>
      <c r="BP73" s="54"/>
      <c r="BQ73" s="64"/>
      <c r="BR73" s="69"/>
      <c r="BS73" s="127"/>
      <c r="BU73" s="21"/>
      <c r="BV73" s="128">
        <v>1</v>
      </c>
      <c r="BW73" s="54">
        <v>1</v>
      </c>
      <c r="BX73" s="64"/>
      <c r="BY73" s="69"/>
      <c r="BZ73" s="127"/>
      <c r="CB73" s="21"/>
      <c r="CC73" s="128">
        <v>1</v>
      </c>
      <c r="CD73" s="54"/>
      <c r="CE73" s="64"/>
      <c r="CF73" s="69"/>
      <c r="CG73" s="127"/>
      <c r="CI73" s="21"/>
      <c r="CJ73" s="128"/>
      <c r="CK73" s="54"/>
      <c r="CL73" s="64"/>
      <c r="CM73" s="69"/>
      <c r="CN73" s="127"/>
      <c r="CP73" s="21"/>
      <c r="CQ73" s="128"/>
      <c r="CR73" s="54"/>
      <c r="CS73" s="64"/>
      <c r="CT73" s="69"/>
      <c r="CV73" s="21"/>
      <c r="CW73" s="128"/>
      <c r="CX73" s="54"/>
      <c r="CY73" s="64"/>
      <c r="CZ73" s="69"/>
      <c r="DB73" s="21"/>
      <c r="DC73" s="128"/>
      <c r="DD73" s="54"/>
      <c r="DE73" s="64"/>
      <c r="DF73" s="69"/>
      <c r="DH73" s="21"/>
      <c r="DI73" s="128"/>
      <c r="DJ73" s="54"/>
      <c r="DK73" s="64"/>
      <c r="DL73" s="69"/>
      <c r="DN73" s="21"/>
      <c r="DO73" s="128"/>
      <c r="DP73" s="54"/>
      <c r="DQ73" s="64"/>
      <c r="DR73" s="69"/>
      <c r="DT73" s="21"/>
      <c r="DU73" s="128"/>
      <c r="DV73" s="54"/>
      <c r="DW73" s="64"/>
      <c r="DX73" s="69"/>
      <c r="DZ73" s="21"/>
      <c r="EA73" s="128"/>
      <c r="EB73" s="54"/>
      <c r="EC73" s="64"/>
      <c r="ED73" s="69"/>
      <c r="EF73" s="21"/>
      <c r="EG73" s="128"/>
      <c r="EH73" s="54"/>
      <c r="EI73" s="64">
        <v>1</v>
      </c>
      <c r="EJ73" s="69"/>
      <c r="EL73" s="21"/>
      <c r="EM73" s="128"/>
      <c r="EN73" s="54"/>
      <c r="EO73" s="64"/>
      <c r="EP73" s="69"/>
      <c r="ER73" s="21"/>
      <c r="ES73" s="128"/>
      <c r="ET73" s="54"/>
      <c r="EU73" s="64"/>
      <c r="EV73" s="69"/>
      <c r="EX73" s="21"/>
      <c r="EY73" s="128"/>
      <c r="EZ73" s="54"/>
      <c r="FA73" s="64"/>
      <c r="FB73" s="69"/>
      <c r="FD73" s="21"/>
      <c r="FE73" s="128"/>
      <c r="FF73" s="54"/>
      <c r="FG73" s="64"/>
      <c r="FH73" s="69"/>
      <c r="FJ73" s="21"/>
      <c r="FK73" s="128"/>
      <c r="FL73" s="54"/>
      <c r="FM73" s="64"/>
      <c r="FN73" s="69"/>
      <c r="FO73" s="128"/>
      <c r="FP73" s="54"/>
      <c r="FQ73" s="64"/>
      <c r="FR73" s="69"/>
      <c r="FT73" s="21"/>
      <c r="FU73" s="128"/>
      <c r="FV73" s="54"/>
      <c r="FW73" s="64"/>
      <c r="FX73" s="69"/>
      <c r="FZ73" s="21"/>
      <c r="GA73" s="128"/>
      <c r="GB73" s="54"/>
      <c r="GC73" s="64"/>
      <c r="GD73" s="69"/>
      <c r="GE73">
        <v>1</v>
      </c>
      <c r="GF73" s="21"/>
      <c r="GG73" s="128"/>
      <c r="GH73" s="54"/>
      <c r="GI73" s="64"/>
      <c r="GJ73" s="69"/>
      <c r="GL73" s="21"/>
      <c r="GM73" s="128"/>
      <c r="GN73" s="54"/>
      <c r="GO73" s="64"/>
      <c r="GP73" s="69"/>
      <c r="GR73" s="21"/>
      <c r="GS73" s="128"/>
      <c r="GT73" s="54"/>
      <c r="GU73" s="64"/>
      <c r="GV73" s="69"/>
      <c r="GX73" s="21"/>
      <c r="GY73" s="128"/>
      <c r="GZ73" s="54"/>
      <c r="HA73" s="64"/>
      <c r="HB73" s="69"/>
      <c r="HD73" s="21"/>
      <c r="HE73" s="128"/>
      <c r="HF73" s="54">
        <v>1</v>
      </c>
      <c r="HG73" s="64"/>
      <c r="HH73" s="69"/>
      <c r="HJ73" s="21"/>
      <c r="HK73" s="128"/>
      <c r="HL73" s="54"/>
      <c r="HM73" s="64"/>
      <c r="HN73" s="69"/>
      <c r="HP73" s="21"/>
      <c r="HQ73" s="128"/>
      <c r="HR73" s="54"/>
      <c r="HS73" s="64"/>
      <c r="HT73" s="69"/>
      <c r="HV73" s="21"/>
      <c r="HW73" s="128"/>
      <c r="HX73" s="54"/>
      <c r="HY73" s="64"/>
      <c r="HZ73" s="69"/>
      <c r="IB73" s="21"/>
      <c r="IC73" s="128"/>
      <c r="ID73" s="54"/>
      <c r="IE73" s="64"/>
      <c r="IF73" s="69"/>
      <c r="IH73" s="21"/>
      <c r="IJ73" s="21"/>
      <c r="IK73" s="128"/>
      <c r="IL73" s="54"/>
      <c r="IM73" s="64"/>
      <c r="IN73" s="69"/>
      <c r="IP73" s="21"/>
      <c r="IQ73" s="128"/>
      <c r="IR73" s="54"/>
      <c r="IS73" s="64"/>
      <c r="IT73" s="69"/>
      <c r="IV73" s="21"/>
      <c r="IW73" s="128"/>
      <c r="IX73" s="54"/>
      <c r="IY73" s="64"/>
      <c r="IZ73" s="69"/>
      <c r="JB73" s="21"/>
      <c r="JC73" s="128"/>
      <c r="JD73" s="54"/>
      <c r="JE73" s="64"/>
      <c r="JF73" s="69"/>
      <c r="JH73" s="21"/>
      <c r="JI73" s="128"/>
      <c r="JJ73" s="54"/>
      <c r="JK73" s="64"/>
      <c r="JL73" s="69"/>
      <c r="JN73" s="21"/>
      <c r="JO73" s="128"/>
      <c r="JP73" s="54"/>
      <c r="JQ73" s="64"/>
      <c r="JR73" s="69"/>
      <c r="JT73" s="21"/>
      <c r="JU73" s="128"/>
      <c r="JV73" s="54"/>
      <c r="JW73" s="64"/>
      <c r="JX73" s="69"/>
      <c r="JZ73" s="21"/>
      <c r="KA73" s="128"/>
      <c r="KB73" s="54"/>
      <c r="KC73" s="64"/>
      <c r="KD73" s="69"/>
      <c r="KF73" s="38"/>
      <c r="KG73" s="35"/>
      <c r="KI73" s="54"/>
      <c r="KJ73" s="64"/>
      <c r="KK73" s="69"/>
      <c r="KL73" s="126"/>
      <c r="KM73" s="127"/>
      <c r="KO73" s="38"/>
      <c r="KP73" s="83"/>
      <c r="KQ73" s="158"/>
      <c r="KR73" s="174"/>
      <c r="KS73" s="38"/>
      <c r="KT73" s="35"/>
      <c r="KV73" s="54"/>
      <c r="KW73" s="64"/>
      <c r="KX73" s="69"/>
      <c r="KY73" s="126"/>
      <c r="KZ73" s="127"/>
      <c r="LB73" s="38"/>
      <c r="LC73" s="83"/>
      <c r="LD73" s="158"/>
      <c r="LE73" s="174"/>
      <c r="LF73" s="38"/>
      <c r="LG73" s="35"/>
      <c r="LI73" s="54"/>
      <c r="LJ73" s="64"/>
      <c r="LK73" s="69"/>
      <c r="LL73" s="126"/>
      <c r="LM73" s="127"/>
      <c r="LO73" s="38"/>
      <c r="LP73" s="83"/>
      <c r="LQ73" s="158"/>
      <c r="LR73" s="174"/>
      <c r="LS73" s="38"/>
      <c r="LT73" s="35"/>
      <c r="LV73" s="54"/>
      <c r="LW73" s="64"/>
      <c r="LX73" s="69"/>
      <c r="LY73" s="126"/>
      <c r="LZ73" s="127"/>
      <c r="MB73" s="38"/>
      <c r="MC73" s="83"/>
      <c r="MD73" s="158"/>
      <c r="ME73" s="174"/>
      <c r="MF73" s="38"/>
      <c r="MG73" s="35"/>
      <c r="MI73" s="54"/>
      <c r="MJ73" s="64"/>
      <c r="MK73" s="69"/>
      <c r="ML73" s="126"/>
      <c r="MM73" s="127"/>
      <c r="MO73" s="38"/>
      <c r="MP73" s="83"/>
      <c r="MQ73" s="158"/>
      <c r="MR73" s="174"/>
      <c r="MT73" s="4">
        <f t="shared" si="11"/>
        <v>11</v>
      </c>
      <c r="NC73" s="21"/>
      <c r="ND73" s="128"/>
      <c r="NE73" s="54"/>
    </row>
    <row r="74" spans="1:369" ht="14.25" customHeight="1" x14ac:dyDescent="0.15">
      <c r="A74" s="5" t="s">
        <v>72</v>
      </c>
      <c r="C74" s="21"/>
      <c r="D74" s="128"/>
      <c r="E74" s="54"/>
      <c r="F74" s="64"/>
      <c r="G74" s="69"/>
      <c r="H74" s="127"/>
      <c r="J74" s="21"/>
      <c r="K74" s="128"/>
      <c r="L74" s="54"/>
      <c r="M74" s="64"/>
      <c r="N74" s="69"/>
      <c r="O74" s="127"/>
      <c r="Q74" s="21"/>
      <c r="R74" s="128"/>
      <c r="S74" s="54"/>
      <c r="T74" s="64"/>
      <c r="U74" s="69"/>
      <c r="V74" s="127"/>
      <c r="X74" s="21"/>
      <c r="Y74" s="128"/>
      <c r="Z74" s="54"/>
      <c r="AA74" s="64"/>
      <c r="AB74" s="69"/>
      <c r="AC74" s="127"/>
      <c r="AD74">
        <v>1</v>
      </c>
      <c r="AE74" s="21">
        <v>2</v>
      </c>
      <c r="AF74" s="128">
        <v>1</v>
      </c>
      <c r="AG74" s="54"/>
      <c r="AH74" s="64"/>
      <c r="AI74" s="69"/>
      <c r="AJ74" s="127"/>
      <c r="AL74" s="21"/>
      <c r="AM74" s="128">
        <v>1</v>
      </c>
      <c r="AN74" s="54">
        <v>1</v>
      </c>
      <c r="AO74" s="64"/>
      <c r="AP74" s="69"/>
      <c r="AQ74" s="127"/>
      <c r="AS74" s="21"/>
      <c r="AT74" s="128"/>
      <c r="AU74" s="54">
        <v>1</v>
      </c>
      <c r="AV74" s="64"/>
      <c r="AW74" s="69"/>
      <c r="AX74" s="127"/>
      <c r="AZ74" s="21"/>
      <c r="BA74" s="128">
        <v>1</v>
      </c>
      <c r="BB74" s="54"/>
      <c r="BC74" s="64"/>
      <c r="BD74" s="69"/>
      <c r="BE74" s="127"/>
      <c r="BG74" s="21"/>
      <c r="BH74" s="128"/>
      <c r="BI74" s="54"/>
      <c r="BJ74" s="64"/>
      <c r="BK74" s="69"/>
      <c r="BL74" s="127"/>
      <c r="BN74" s="21"/>
      <c r="BO74" s="128"/>
      <c r="BP74" s="54"/>
      <c r="BQ74" s="64"/>
      <c r="BR74" s="69"/>
      <c r="BS74" s="127"/>
      <c r="BU74" s="21"/>
      <c r="BV74" s="128"/>
      <c r="BW74" s="54"/>
      <c r="BX74" s="64"/>
      <c r="BY74" s="69"/>
      <c r="BZ74" s="127"/>
      <c r="CB74" s="21"/>
      <c r="CC74" s="128">
        <v>1</v>
      </c>
      <c r="CD74" s="54"/>
      <c r="CE74" s="64"/>
      <c r="CF74" s="69"/>
      <c r="CG74" s="127"/>
      <c r="CI74" s="21"/>
      <c r="CJ74" s="128">
        <v>1</v>
      </c>
      <c r="CK74" s="54"/>
      <c r="CL74" s="64"/>
      <c r="CM74" s="69"/>
      <c r="CN74" s="127"/>
      <c r="CP74" s="21"/>
      <c r="CQ74" s="128"/>
      <c r="CR74" s="54"/>
      <c r="CS74" s="64"/>
      <c r="CT74" s="69"/>
      <c r="CV74" s="21"/>
      <c r="CW74" s="128"/>
      <c r="CX74" s="54"/>
      <c r="CY74" s="64"/>
      <c r="CZ74" s="69"/>
      <c r="DB74" s="21"/>
      <c r="DC74" s="128"/>
      <c r="DD74" s="54"/>
      <c r="DE74" s="64"/>
      <c r="DF74" s="69"/>
      <c r="DH74" s="21"/>
      <c r="DI74" s="128"/>
      <c r="DJ74" s="54"/>
      <c r="DK74" s="64"/>
      <c r="DL74" s="69"/>
      <c r="DN74" s="21"/>
      <c r="DO74" s="128"/>
      <c r="DP74" s="54"/>
      <c r="DQ74" s="64"/>
      <c r="DR74" s="69"/>
      <c r="DT74" s="21"/>
      <c r="DU74" s="128"/>
      <c r="DV74" s="54"/>
      <c r="DW74" s="64"/>
      <c r="DX74" s="69"/>
      <c r="DZ74" s="21"/>
      <c r="EA74" s="128"/>
      <c r="EB74" s="54"/>
      <c r="EC74" s="64"/>
      <c r="ED74" s="69"/>
      <c r="EF74" s="21"/>
      <c r="EG74" s="128"/>
      <c r="EH74" s="54"/>
      <c r="EI74" s="64"/>
      <c r="EJ74" s="69"/>
      <c r="EL74" s="21"/>
      <c r="EM74" s="128"/>
      <c r="EN74" s="54"/>
      <c r="EO74" s="64"/>
      <c r="EP74" s="69"/>
      <c r="ER74" s="21"/>
      <c r="ES74" s="128"/>
      <c r="ET74" s="54"/>
      <c r="EU74" s="64"/>
      <c r="EV74" s="69"/>
      <c r="EX74" s="21"/>
      <c r="EY74" s="128"/>
      <c r="EZ74" s="54"/>
      <c r="FA74" s="64"/>
      <c r="FB74" s="69"/>
      <c r="FD74" s="21"/>
      <c r="FE74" s="128"/>
      <c r="FF74" s="54"/>
      <c r="FG74" s="64"/>
      <c r="FH74" s="69"/>
      <c r="FJ74" s="21"/>
      <c r="FK74" s="128"/>
      <c r="FL74" s="54"/>
      <c r="FM74" s="64"/>
      <c r="FN74" s="69"/>
      <c r="FO74" s="128"/>
      <c r="FP74" s="54"/>
      <c r="FQ74" s="64"/>
      <c r="FR74" s="69"/>
      <c r="FT74" s="21"/>
      <c r="FU74" s="128"/>
      <c r="FV74" s="54"/>
      <c r="FW74" s="64"/>
      <c r="FX74" s="69"/>
      <c r="FZ74" s="21"/>
      <c r="GA74" s="128"/>
      <c r="GB74" s="54"/>
      <c r="GC74" s="64"/>
      <c r="GD74" s="69"/>
      <c r="GF74" s="21"/>
      <c r="GG74" s="128"/>
      <c r="GH74" s="54"/>
      <c r="GI74" s="64"/>
      <c r="GJ74" s="69"/>
      <c r="GL74" s="21"/>
      <c r="GM74" s="128"/>
      <c r="GN74" s="54"/>
      <c r="GO74" s="64"/>
      <c r="GP74" s="69"/>
      <c r="GR74" s="21"/>
      <c r="GS74" s="128"/>
      <c r="GT74" s="54"/>
      <c r="GU74" s="64"/>
      <c r="GV74" s="69"/>
      <c r="GX74" s="21"/>
      <c r="GY74" s="128"/>
      <c r="GZ74" s="54"/>
      <c r="HA74" s="64"/>
      <c r="HB74" s="69"/>
      <c r="HD74" s="21"/>
      <c r="HE74" s="128"/>
      <c r="HF74" s="54"/>
      <c r="HG74" s="64"/>
      <c r="HH74" s="69"/>
      <c r="HJ74" s="21"/>
      <c r="HK74" s="128"/>
      <c r="HL74" s="54"/>
      <c r="HM74" s="64"/>
      <c r="HN74" s="69"/>
      <c r="HP74" s="21"/>
      <c r="HQ74" s="128"/>
      <c r="HR74" s="54"/>
      <c r="HS74" s="64"/>
      <c r="HT74" s="69"/>
      <c r="HV74" s="21"/>
      <c r="HW74" s="128"/>
      <c r="HX74" s="54"/>
      <c r="HY74" s="64"/>
      <c r="HZ74" s="69"/>
      <c r="IB74" s="21"/>
      <c r="IC74" s="128"/>
      <c r="ID74" s="54"/>
      <c r="IE74" s="64"/>
      <c r="IF74" s="69"/>
      <c r="IH74" s="21"/>
      <c r="IJ74" s="21"/>
      <c r="IK74" s="128"/>
      <c r="IL74" s="54"/>
      <c r="IM74" s="64"/>
      <c r="IN74" s="69"/>
      <c r="IP74" s="21"/>
      <c r="IQ74" s="128"/>
      <c r="IR74" s="54"/>
      <c r="IS74" s="64"/>
      <c r="IT74" s="69"/>
      <c r="IV74" s="21"/>
      <c r="IW74" s="128"/>
      <c r="IX74" s="54"/>
      <c r="IY74" s="64"/>
      <c r="IZ74" s="69"/>
      <c r="JB74" s="21"/>
      <c r="JC74" s="128"/>
      <c r="JD74" s="54"/>
      <c r="JE74" s="64"/>
      <c r="JF74" s="69"/>
      <c r="JH74" s="21"/>
      <c r="JI74" s="128"/>
      <c r="JJ74" s="54"/>
      <c r="JK74" s="64"/>
      <c r="JL74" s="69"/>
      <c r="JN74" s="21"/>
      <c r="JO74" s="128"/>
      <c r="JP74" s="54"/>
      <c r="JQ74" s="64"/>
      <c r="JR74" s="69"/>
      <c r="JT74" s="21"/>
      <c r="JU74" s="128"/>
      <c r="JV74" s="54"/>
      <c r="JW74" s="64"/>
      <c r="JX74" s="69"/>
      <c r="JZ74" s="21"/>
      <c r="KA74" s="128"/>
      <c r="KB74" s="54"/>
      <c r="KC74" s="64"/>
      <c r="KD74" s="69"/>
      <c r="KE74" s="4"/>
      <c r="KF74" s="38"/>
      <c r="KG74" s="35"/>
      <c r="KI74" s="54"/>
      <c r="KJ74" s="64"/>
      <c r="KK74" s="69"/>
      <c r="KL74" s="126"/>
      <c r="KM74" s="127"/>
      <c r="KO74" s="38"/>
      <c r="KP74" s="83"/>
      <c r="KQ74" s="158"/>
      <c r="KR74" s="174"/>
      <c r="KS74" s="38"/>
      <c r="KT74" s="35"/>
      <c r="KV74" s="54"/>
      <c r="KW74" s="64"/>
      <c r="KX74" s="69"/>
      <c r="KY74" s="126"/>
      <c r="KZ74" s="127"/>
      <c r="LB74" s="38"/>
      <c r="LC74" s="83"/>
      <c r="LD74" s="158"/>
      <c r="LE74" s="174"/>
      <c r="LF74" s="38"/>
      <c r="LG74" s="35"/>
      <c r="LI74" s="54"/>
      <c r="LJ74" s="64"/>
      <c r="LK74" s="69"/>
      <c r="LL74" s="126"/>
      <c r="LM74" s="127"/>
      <c r="LO74" s="38"/>
      <c r="LP74" s="83"/>
      <c r="LQ74" s="158"/>
      <c r="LR74" s="174"/>
      <c r="LS74" s="38"/>
      <c r="LT74" s="35"/>
      <c r="LV74" s="54"/>
      <c r="LW74" s="64"/>
      <c r="LX74" s="69"/>
      <c r="LY74" s="126"/>
      <c r="LZ74" s="127"/>
      <c r="MB74" s="38"/>
      <c r="MC74" s="83"/>
      <c r="MD74" s="158"/>
      <c r="ME74" s="174"/>
      <c r="MF74" s="38"/>
      <c r="MG74" s="35"/>
      <c r="MI74" s="54">
        <v>1</v>
      </c>
      <c r="MJ74" s="64"/>
      <c r="MK74" s="69"/>
      <c r="ML74" s="126"/>
      <c r="MM74" s="127"/>
      <c r="MO74" s="38"/>
      <c r="MP74" s="83"/>
      <c r="MQ74" s="158"/>
      <c r="MR74" s="174"/>
      <c r="MS74" s="4"/>
      <c r="MT74" s="4">
        <f t="shared" si="11"/>
        <v>10</v>
      </c>
      <c r="NC74" s="21"/>
      <c r="ND74" s="128"/>
      <c r="NE74" s="54"/>
    </row>
    <row r="75" spans="1:369" x14ac:dyDescent="0.15">
      <c r="A75" s="5" t="s">
        <v>61</v>
      </c>
      <c r="B75" s="17"/>
      <c r="C75" s="21"/>
      <c r="D75" s="128">
        <v>1</v>
      </c>
      <c r="E75" s="54"/>
      <c r="F75" s="64">
        <v>1</v>
      </c>
      <c r="G75" s="69"/>
      <c r="H75" s="127"/>
      <c r="J75" s="21"/>
      <c r="K75" s="128"/>
      <c r="L75" s="54"/>
      <c r="M75" s="64"/>
      <c r="N75" s="69"/>
      <c r="O75" s="127"/>
      <c r="Q75" s="21"/>
      <c r="R75" s="128"/>
      <c r="S75" s="54">
        <v>1</v>
      </c>
      <c r="T75" s="64">
        <v>1</v>
      </c>
      <c r="U75" s="69">
        <v>1</v>
      </c>
      <c r="V75" s="127">
        <v>1</v>
      </c>
      <c r="X75" s="21"/>
      <c r="Y75" s="128"/>
      <c r="Z75" s="54"/>
      <c r="AA75" s="64"/>
      <c r="AB75" s="69"/>
      <c r="AC75" s="127"/>
      <c r="AE75" s="21"/>
      <c r="AF75" s="128"/>
      <c r="AG75" s="54"/>
      <c r="AH75" s="64"/>
      <c r="AI75" s="69">
        <v>1</v>
      </c>
      <c r="AJ75" s="127">
        <v>1</v>
      </c>
      <c r="AL75" s="21"/>
      <c r="AM75" s="128"/>
      <c r="AN75" s="54"/>
      <c r="AO75" s="64"/>
      <c r="AP75" s="69"/>
      <c r="AQ75" s="127"/>
      <c r="AS75" s="21"/>
      <c r="AT75" s="128"/>
      <c r="AU75" s="54"/>
      <c r="AV75" s="64"/>
      <c r="AW75" s="69"/>
      <c r="AX75" s="127"/>
      <c r="AZ75" s="21"/>
      <c r="BA75" s="128"/>
      <c r="BB75" s="54"/>
      <c r="BC75" s="64"/>
      <c r="BD75" s="69"/>
      <c r="BE75" s="127"/>
      <c r="BG75" s="21"/>
      <c r="BH75" s="128"/>
      <c r="BI75" s="54"/>
      <c r="BJ75" s="64"/>
      <c r="BK75" s="69"/>
      <c r="BL75" s="127"/>
      <c r="BN75" s="21"/>
      <c r="BO75" s="128"/>
      <c r="BP75" s="54"/>
      <c r="BQ75" s="64"/>
      <c r="BR75" s="69"/>
      <c r="BS75" s="127"/>
      <c r="BU75" s="21"/>
      <c r="BV75" s="128"/>
      <c r="BW75" s="54"/>
      <c r="BX75" s="64"/>
      <c r="BY75" s="69"/>
      <c r="BZ75" s="127"/>
      <c r="CB75" s="21"/>
      <c r="CC75" s="128"/>
      <c r="CD75" s="54"/>
      <c r="CE75" s="64"/>
      <c r="CF75" s="69"/>
      <c r="CG75" s="127"/>
      <c r="CI75" s="21"/>
      <c r="CJ75" s="128"/>
      <c r="CK75" s="54"/>
      <c r="CL75" s="64"/>
      <c r="CM75" s="69"/>
      <c r="CN75" s="127"/>
      <c r="CP75" s="21">
        <v>1</v>
      </c>
      <c r="CQ75" s="128"/>
      <c r="CR75" s="54">
        <v>1</v>
      </c>
      <c r="CS75" s="64">
        <v>1</v>
      </c>
      <c r="CT75" s="69">
        <v>1</v>
      </c>
      <c r="CV75" s="21"/>
      <c r="CW75" s="128"/>
      <c r="CX75" s="54"/>
      <c r="CY75" s="64"/>
      <c r="CZ75" s="69"/>
      <c r="DB75" s="21"/>
      <c r="DC75" s="128">
        <v>1</v>
      </c>
      <c r="DD75" s="54">
        <v>1</v>
      </c>
      <c r="DE75" s="64">
        <v>1</v>
      </c>
      <c r="DF75" s="69"/>
      <c r="DH75" s="21"/>
      <c r="DI75" s="128"/>
      <c r="DJ75" s="54"/>
      <c r="DK75" s="64"/>
      <c r="DL75" s="69"/>
      <c r="DN75" s="21"/>
      <c r="DO75" s="128"/>
      <c r="DP75" s="54"/>
      <c r="DQ75" s="64"/>
      <c r="DR75" s="69"/>
      <c r="DT75" s="21"/>
      <c r="DU75" s="128"/>
      <c r="DV75" s="54"/>
      <c r="DW75" s="64"/>
      <c r="DX75" s="69"/>
      <c r="DZ75" s="21"/>
      <c r="EA75" s="128"/>
      <c r="EB75" s="54"/>
      <c r="EC75" s="64"/>
      <c r="ED75" s="69"/>
      <c r="EF75" s="21"/>
      <c r="EG75" s="128"/>
      <c r="EH75" s="54"/>
      <c r="EI75" s="64"/>
      <c r="EJ75" s="69"/>
      <c r="EL75" s="21"/>
      <c r="EM75" s="128"/>
      <c r="EN75" s="54"/>
      <c r="EO75" s="64"/>
      <c r="EP75" s="69"/>
      <c r="ER75" s="21"/>
      <c r="ES75" s="128"/>
      <c r="ET75" s="54"/>
      <c r="EU75" s="64"/>
      <c r="EV75" s="69"/>
      <c r="EX75" s="21"/>
      <c r="EY75" s="128"/>
      <c r="EZ75" s="54"/>
      <c r="FA75" s="64"/>
      <c r="FB75" s="69"/>
      <c r="FD75" s="21"/>
      <c r="FE75" s="128"/>
      <c r="FF75" s="54"/>
      <c r="FG75" s="64"/>
      <c r="FH75" s="69"/>
      <c r="FJ75" s="21"/>
      <c r="FK75" s="128"/>
      <c r="FL75" s="54"/>
      <c r="FM75" s="64"/>
      <c r="FN75" s="69"/>
      <c r="FO75" s="128"/>
      <c r="FP75" s="54"/>
      <c r="FQ75" s="64"/>
      <c r="FR75" s="69"/>
      <c r="FT75" s="21"/>
      <c r="FU75" s="128"/>
      <c r="FV75" s="54"/>
      <c r="FW75" s="64"/>
      <c r="FX75" s="69"/>
      <c r="FZ75" s="21"/>
      <c r="GA75" s="128"/>
      <c r="GB75" s="54"/>
      <c r="GC75" s="64"/>
      <c r="GD75" s="69"/>
      <c r="GF75" s="21"/>
      <c r="GG75" s="128"/>
      <c r="GH75" s="54"/>
      <c r="GI75" s="64"/>
      <c r="GJ75" s="69"/>
      <c r="GL75" s="21"/>
      <c r="GM75" s="128"/>
      <c r="GN75" s="54"/>
      <c r="GO75" s="64"/>
      <c r="GP75" s="69"/>
      <c r="GR75" s="21"/>
      <c r="GS75" s="128"/>
      <c r="GT75" s="54"/>
      <c r="GU75" s="64"/>
      <c r="GV75" s="69"/>
      <c r="GX75" s="21"/>
      <c r="GY75" s="128"/>
      <c r="GZ75" s="54"/>
      <c r="HA75" s="64"/>
      <c r="HB75" s="69"/>
      <c r="HD75" s="21"/>
      <c r="HE75" s="128"/>
      <c r="HF75" s="54"/>
      <c r="HG75" s="64"/>
      <c r="HH75" s="69"/>
      <c r="HJ75" s="21"/>
      <c r="HK75" s="128"/>
      <c r="HL75" s="54"/>
      <c r="HM75" s="64"/>
      <c r="HN75" s="69"/>
      <c r="HP75" s="21"/>
      <c r="HQ75" s="128"/>
      <c r="HR75" s="54"/>
      <c r="HS75" s="64"/>
      <c r="HT75" s="69"/>
      <c r="HV75" s="21"/>
      <c r="HW75" s="128"/>
      <c r="HX75" s="54"/>
      <c r="HY75" s="64"/>
      <c r="HZ75" s="69"/>
      <c r="IB75" s="21"/>
      <c r="IC75" s="128"/>
      <c r="ID75" s="54"/>
      <c r="IE75" s="64"/>
      <c r="IF75" s="69"/>
      <c r="IH75" s="21"/>
      <c r="IJ75" s="21"/>
      <c r="IK75" s="128"/>
      <c r="IL75" s="54"/>
      <c r="IM75" s="64"/>
      <c r="IN75" s="69"/>
      <c r="IP75" s="21"/>
      <c r="IQ75" s="128"/>
      <c r="IR75" s="54"/>
      <c r="IS75" s="64"/>
      <c r="IT75" s="69"/>
      <c r="IV75" s="21"/>
      <c r="IW75" s="128"/>
      <c r="IX75" s="54"/>
      <c r="IY75" s="64"/>
      <c r="IZ75" s="69"/>
      <c r="JB75" s="21"/>
      <c r="JC75" s="128"/>
      <c r="JD75" s="54"/>
      <c r="JE75" s="64"/>
      <c r="JF75" s="69"/>
      <c r="JH75" s="21"/>
      <c r="JI75" s="128"/>
      <c r="JJ75" s="54"/>
      <c r="JK75" s="64"/>
      <c r="JL75" s="69"/>
      <c r="JN75" s="21"/>
      <c r="JO75" s="128"/>
      <c r="JP75" s="54"/>
      <c r="JQ75" s="64"/>
      <c r="JR75" s="69"/>
      <c r="JT75" s="21"/>
      <c r="JU75" s="128"/>
      <c r="JV75" s="54"/>
      <c r="JW75" s="64"/>
      <c r="JX75" s="69"/>
      <c r="JZ75" s="21"/>
      <c r="KA75" s="128"/>
      <c r="KB75" s="54"/>
      <c r="KC75" s="64"/>
      <c r="KD75" s="69"/>
      <c r="KE75" s="4"/>
      <c r="KF75" s="38"/>
      <c r="KG75" s="35"/>
      <c r="KI75" s="54"/>
      <c r="KJ75" s="64"/>
      <c r="KK75" s="69"/>
      <c r="KL75" s="126"/>
      <c r="KM75" s="127"/>
      <c r="KO75" s="38"/>
      <c r="KP75" s="83"/>
      <c r="KQ75" s="158"/>
      <c r="KR75" s="174"/>
      <c r="KS75" s="38"/>
      <c r="KT75" s="35"/>
      <c r="KV75" s="54"/>
      <c r="KW75" s="64"/>
      <c r="KX75" s="69"/>
      <c r="KY75" s="126"/>
      <c r="KZ75" s="127"/>
      <c r="LB75" s="38"/>
      <c r="LC75" s="83"/>
      <c r="LD75" s="158"/>
      <c r="LE75" s="174"/>
      <c r="LF75" s="38"/>
      <c r="LG75" s="35"/>
      <c r="LI75" s="54"/>
      <c r="LJ75" s="64"/>
      <c r="LK75" s="69"/>
      <c r="LL75" s="126"/>
      <c r="LM75" s="127"/>
      <c r="LO75" s="38"/>
      <c r="LP75" s="83"/>
      <c r="LQ75" s="158"/>
      <c r="LR75" s="174"/>
      <c r="LS75" s="38"/>
      <c r="LT75" s="35"/>
      <c r="LV75" s="54"/>
      <c r="LW75" s="64"/>
      <c r="LX75" s="69"/>
      <c r="LY75" s="126"/>
      <c r="LZ75" s="127"/>
      <c r="MB75" s="38"/>
      <c r="MC75" s="83"/>
      <c r="MD75" s="158"/>
      <c r="ME75" s="174"/>
      <c r="MF75" s="38"/>
      <c r="MG75" s="35"/>
      <c r="MI75" s="54"/>
      <c r="MJ75" s="64"/>
      <c r="MK75" s="69"/>
      <c r="ML75" s="126"/>
      <c r="MM75" s="127"/>
      <c r="MO75" s="38"/>
      <c r="MP75" s="83"/>
      <c r="MQ75" s="158"/>
      <c r="MR75" s="174"/>
      <c r="MS75" s="4"/>
      <c r="MT75" s="4">
        <f t="shared" si="11"/>
        <v>15</v>
      </c>
      <c r="NC75" s="21"/>
      <c r="ND75" s="128"/>
      <c r="NE75" s="54"/>
    </row>
    <row r="76" spans="1:369" x14ac:dyDescent="0.15">
      <c r="A76" s="5" t="s">
        <v>42</v>
      </c>
      <c r="B76" s="17"/>
      <c r="C76" s="21"/>
      <c r="D76" s="128"/>
      <c r="E76" s="54"/>
      <c r="F76" s="64"/>
      <c r="G76" s="69"/>
      <c r="H76" s="127"/>
      <c r="J76" s="21"/>
      <c r="K76" s="128"/>
      <c r="L76" s="54"/>
      <c r="M76" s="64"/>
      <c r="N76" s="69"/>
      <c r="O76" s="127">
        <v>1</v>
      </c>
      <c r="Q76" s="21"/>
      <c r="R76" s="128"/>
      <c r="S76" s="54">
        <v>1</v>
      </c>
      <c r="T76" s="64">
        <v>1</v>
      </c>
      <c r="U76" s="69"/>
      <c r="V76" s="127"/>
      <c r="X76" s="21"/>
      <c r="Y76" s="128"/>
      <c r="Z76" s="54"/>
      <c r="AA76" s="64"/>
      <c r="AB76" s="69"/>
      <c r="AC76" s="127"/>
      <c r="AE76" s="21"/>
      <c r="AF76" s="128"/>
      <c r="AG76" s="54"/>
      <c r="AH76" s="64"/>
      <c r="AI76" s="69"/>
      <c r="AJ76" s="127"/>
      <c r="AL76" s="21"/>
      <c r="AM76" s="128"/>
      <c r="AN76" s="54"/>
      <c r="AO76" s="64"/>
      <c r="AP76" s="69"/>
      <c r="AQ76" s="127"/>
      <c r="AS76" s="21"/>
      <c r="AT76" s="128"/>
      <c r="AU76" s="54">
        <v>1</v>
      </c>
      <c r="AV76" s="64"/>
      <c r="AW76" s="69"/>
      <c r="AX76" s="127"/>
      <c r="AZ76" s="21"/>
      <c r="BA76" s="128"/>
      <c r="BB76" s="54"/>
      <c r="BC76" s="64"/>
      <c r="BD76" s="69"/>
      <c r="BE76" s="127"/>
      <c r="BG76" s="21"/>
      <c r="BH76" s="128"/>
      <c r="BI76" s="54"/>
      <c r="BJ76" s="64"/>
      <c r="BK76" s="69"/>
      <c r="BL76" s="127"/>
      <c r="BN76" s="21"/>
      <c r="BO76" s="128"/>
      <c r="BP76" s="54"/>
      <c r="BQ76" s="64"/>
      <c r="BR76" s="69">
        <v>1</v>
      </c>
      <c r="BS76" s="127"/>
      <c r="BU76" s="21"/>
      <c r="BV76" s="128"/>
      <c r="BW76" s="54"/>
      <c r="BX76" s="64"/>
      <c r="BY76" s="69"/>
      <c r="BZ76" s="127"/>
      <c r="CB76" s="21"/>
      <c r="CC76" s="128"/>
      <c r="CD76" s="54"/>
      <c r="CE76" s="64"/>
      <c r="CF76" s="69"/>
      <c r="CG76" s="127"/>
      <c r="CI76" s="21"/>
      <c r="CJ76" s="128"/>
      <c r="CK76" s="54"/>
      <c r="CL76" s="64">
        <v>1</v>
      </c>
      <c r="CM76" s="69">
        <v>1</v>
      </c>
      <c r="CN76" s="127">
        <v>1</v>
      </c>
      <c r="CP76" s="21"/>
      <c r="CQ76" s="128"/>
      <c r="CR76" s="54"/>
      <c r="CS76" s="64"/>
      <c r="CT76" s="69"/>
      <c r="CV76" s="21"/>
      <c r="CW76" s="128"/>
      <c r="CX76" s="54"/>
      <c r="CY76" s="64"/>
      <c r="CZ76" s="69"/>
      <c r="DB76" s="21"/>
      <c r="DC76" s="128"/>
      <c r="DD76" s="54"/>
      <c r="DE76" s="64"/>
      <c r="DF76" s="69"/>
      <c r="DH76" s="21"/>
      <c r="DI76" s="128">
        <v>1</v>
      </c>
      <c r="DJ76" s="54">
        <v>1</v>
      </c>
      <c r="DK76" s="64">
        <v>2</v>
      </c>
      <c r="DL76" s="69">
        <v>1</v>
      </c>
      <c r="DN76" s="21"/>
      <c r="DO76" s="128"/>
      <c r="DP76" s="54"/>
      <c r="DQ76" s="64">
        <v>1</v>
      </c>
      <c r="DR76" s="69">
        <v>2</v>
      </c>
      <c r="DT76" s="21"/>
      <c r="DU76" s="128"/>
      <c r="DV76" s="54"/>
      <c r="DW76" s="64"/>
      <c r="DX76" s="69">
        <v>1</v>
      </c>
      <c r="DZ76" s="21"/>
      <c r="EA76" s="128"/>
      <c r="EB76" s="54"/>
      <c r="EC76" s="64"/>
      <c r="ED76" s="69"/>
      <c r="EF76" s="21"/>
      <c r="EG76" s="128"/>
      <c r="EH76" s="54"/>
      <c r="EI76" s="64"/>
      <c r="EJ76" s="69"/>
      <c r="EL76" s="21"/>
      <c r="EM76" s="128"/>
      <c r="EN76" s="54"/>
      <c r="EO76" s="64"/>
      <c r="EP76" s="69"/>
      <c r="ER76" s="21"/>
      <c r="ES76" s="128"/>
      <c r="ET76" s="54"/>
      <c r="EU76" s="64"/>
      <c r="EV76" s="69"/>
      <c r="EX76" s="21">
        <v>2</v>
      </c>
      <c r="EY76" s="128">
        <v>2</v>
      </c>
      <c r="EZ76" s="54">
        <v>2</v>
      </c>
      <c r="FA76" s="64">
        <v>2</v>
      </c>
      <c r="FB76" s="69">
        <v>2</v>
      </c>
      <c r="FD76" s="21"/>
      <c r="FE76" s="128"/>
      <c r="FF76" s="54"/>
      <c r="FG76" s="64"/>
      <c r="FH76" s="69"/>
      <c r="FJ76" s="21"/>
      <c r="FK76" s="128"/>
      <c r="FL76" s="54"/>
      <c r="FM76" s="64"/>
      <c r="FN76" s="69"/>
      <c r="FO76" s="128"/>
      <c r="FP76" s="54"/>
      <c r="FQ76" s="64"/>
      <c r="FR76" s="69"/>
      <c r="FT76" s="21"/>
      <c r="FU76" s="128"/>
      <c r="FV76" s="54"/>
      <c r="FW76" s="64"/>
      <c r="FX76" s="69"/>
      <c r="FZ76" s="21"/>
      <c r="GA76" s="128">
        <v>1</v>
      </c>
      <c r="GB76" s="54"/>
      <c r="GC76" s="64"/>
      <c r="GD76" s="69">
        <v>1</v>
      </c>
      <c r="GF76" s="21">
        <v>2</v>
      </c>
      <c r="GG76" s="128">
        <v>1</v>
      </c>
      <c r="GH76" s="54">
        <v>2</v>
      </c>
      <c r="GI76" s="64"/>
      <c r="GJ76" s="69"/>
      <c r="GL76" s="21">
        <v>2</v>
      </c>
      <c r="GM76" s="128"/>
      <c r="GN76" s="54">
        <v>1</v>
      </c>
      <c r="GO76" s="64">
        <v>1</v>
      </c>
      <c r="GP76" s="69">
        <v>1</v>
      </c>
      <c r="GR76" s="21">
        <v>2</v>
      </c>
      <c r="GS76" s="128">
        <v>3</v>
      </c>
      <c r="GT76" s="54">
        <v>2</v>
      </c>
      <c r="GU76" s="64">
        <v>2</v>
      </c>
      <c r="GV76" s="69">
        <v>2</v>
      </c>
      <c r="GX76" s="21"/>
      <c r="GY76" s="128">
        <v>2</v>
      </c>
      <c r="GZ76" s="54">
        <v>1</v>
      </c>
      <c r="HA76" s="64">
        <v>1</v>
      </c>
      <c r="HB76" s="69">
        <v>2</v>
      </c>
      <c r="HD76" s="21"/>
      <c r="HE76" s="128"/>
      <c r="HF76" s="54">
        <v>1</v>
      </c>
      <c r="HG76" s="64"/>
      <c r="HH76" s="69">
        <v>1</v>
      </c>
      <c r="HJ76" s="21"/>
      <c r="HK76" s="128"/>
      <c r="HL76" s="54"/>
      <c r="HM76" s="64"/>
      <c r="HN76" s="69"/>
      <c r="HP76" s="21"/>
      <c r="HQ76" s="128"/>
      <c r="HR76" s="54"/>
      <c r="HS76" s="64"/>
      <c r="HT76" s="69"/>
      <c r="HV76" s="21"/>
      <c r="HW76" s="128"/>
      <c r="HX76" s="54"/>
      <c r="HY76" s="64"/>
      <c r="HZ76" s="69"/>
      <c r="IB76" s="21"/>
      <c r="IC76" s="128"/>
      <c r="ID76" s="54"/>
      <c r="IE76" s="64">
        <v>1</v>
      </c>
      <c r="IF76" s="69"/>
      <c r="IH76" s="21"/>
      <c r="IJ76" s="21"/>
      <c r="IK76" s="128"/>
      <c r="IL76" s="54"/>
      <c r="IM76" s="64"/>
      <c r="IN76" s="69"/>
      <c r="IP76" s="21"/>
      <c r="IQ76" s="128"/>
      <c r="IR76" s="54"/>
      <c r="IS76" s="64"/>
      <c r="IT76" s="69">
        <v>1</v>
      </c>
      <c r="IV76" s="21"/>
      <c r="IW76" s="128"/>
      <c r="IX76" s="54"/>
      <c r="IY76" s="64"/>
      <c r="IZ76" s="69"/>
      <c r="JB76" s="21"/>
      <c r="JC76" s="128"/>
      <c r="JD76" s="54"/>
      <c r="JE76" s="64"/>
      <c r="JF76" s="69"/>
      <c r="JH76" s="21"/>
      <c r="JI76" s="128"/>
      <c r="JJ76" s="54"/>
      <c r="JK76" s="64"/>
      <c r="JL76" s="69"/>
      <c r="JN76" s="21"/>
      <c r="JO76" s="128"/>
      <c r="JP76" s="54"/>
      <c r="JQ76" s="64"/>
      <c r="JR76" s="69"/>
      <c r="JT76" s="21"/>
      <c r="JU76" s="128"/>
      <c r="JV76" s="54"/>
      <c r="JW76" s="64"/>
      <c r="JX76" s="69"/>
      <c r="JZ76" s="21"/>
      <c r="KA76" s="128"/>
      <c r="KB76" s="54"/>
      <c r="KC76" s="64"/>
      <c r="KD76" s="69"/>
      <c r="KE76" s="4"/>
      <c r="KF76" s="38"/>
      <c r="KG76" s="35"/>
      <c r="KI76" s="54"/>
      <c r="KJ76" s="64"/>
      <c r="KK76" s="69"/>
      <c r="KL76" s="126"/>
      <c r="KM76" s="127"/>
      <c r="KO76" s="38"/>
      <c r="KP76" s="83"/>
      <c r="KQ76" s="158"/>
      <c r="KR76" s="174"/>
      <c r="KS76" s="38"/>
      <c r="KT76" s="35"/>
      <c r="KV76" s="54"/>
      <c r="KW76" s="64"/>
      <c r="KX76" s="69"/>
      <c r="KY76" s="126"/>
      <c r="KZ76" s="127"/>
      <c r="LB76" s="38"/>
      <c r="LC76" s="83"/>
      <c r="LD76" s="158"/>
      <c r="LE76" s="174"/>
      <c r="LF76" s="38"/>
      <c r="LG76" s="35"/>
      <c r="LI76" s="54"/>
      <c r="LJ76" s="64"/>
      <c r="LK76" s="69"/>
      <c r="LL76" s="126"/>
      <c r="LM76" s="127"/>
      <c r="LO76" s="38"/>
      <c r="LP76" s="83"/>
      <c r="LQ76" s="158"/>
      <c r="LR76" s="174"/>
      <c r="LS76" s="38"/>
      <c r="LT76" s="35"/>
      <c r="LV76" s="54"/>
      <c r="LW76" s="64"/>
      <c r="LX76" s="69"/>
      <c r="LY76" s="126"/>
      <c r="LZ76" s="127"/>
      <c r="MB76" s="38"/>
      <c r="MC76" s="83"/>
      <c r="MD76" s="158"/>
      <c r="ME76" s="174"/>
      <c r="MF76" s="38"/>
      <c r="MG76" s="35"/>
      <c r="MI76" s="54"/>
      <c r="MJ76" s="64"/>
      <c r="MK76" s="69"/>
      <c r="ML76" s="126"/>
      <c r="MM76" s="127"/>
      <c r="MO76" s="38"/>
      <c r="MP76" s="83"/>
      <c r="MQ76" s="158"/>
      <c r="MR76" s="174"/>
      <c r="MS76" s="4"/>
      <c r="MT76" s="4">
        <f t="shared" si="11"/>
        <v>42</v>
      </c>
      <c r="NC76" s="21"/>
      <c r="ND76" s="128"/>
      <c r="NE76" s="54"/>
    </row>
    <row r="77" spans="1:369" x14ac:dyDescent="0.15">
      <c r="A77" s="5" t="s">
        <v>205</v>
      </c>
      <c r="B77" s="17"/>
      <c r="C77" s="21"/>
      <c r="D77" s="128"/>
      <c r="E77" s="54"/>
      <c r="F77" s="64"/>
      <c r="G77" s="69"/>
      <c r="H77" s="127"/>
      <c r="J77" s="21"/>
      <c r="K77" s="128"/>
      <c r="L77" s="54"/>
      <c r="M77" s="64"/>
      <c r="N77" s="69"/>
      <c r="O77" s="127"/>
      <c r="Q77" s="21"/>
      <c r="R77" s="128"/>
      <c r="S77" s="54"/>
      <c r="T77" s="64"/>
      <c r="U77" s="69"/>
      <c r="V77" s="127"/>
      <c r="X77" s="21"/>
      <c r="Y77" s="128"/>
      <c r="Z77" s="54"/>
      <c r="AA77" s="64"/>
      <c r="AB77" s="69"/>
      <c r="AC77" s="127"/>
      <c r="AE77" s="21"/>
      <c r="AF77" s="128"/>
      <c r="AG77" s="54"/>
      <c r="AH77" s="64"/>
      <c r="AI77" s="69"/>
      <c r="AJ77" s="127"/>
      <c r="AL77" s="21"/>
      <c r="AM77" s="128"/>
      <c r="AN77" s="54"/>
      <c r="AO77" s="64"/>
      <c r="AP77" s="69"/>
      <c r="AQ77" s="127"/>
      <c r="AS77" s="21"/>
      <c r="AT77" s="128"/>
      <c r="AU77" s="54"/>
      <c r="AV77" s="64"/>
      <c r="AW77" s="69"/>
      <c r="AX77" s="127"/>
      <c r="AZ77" s="21"/>
      <c r="BA77" s="128"/>
      <c r="BB77" s="54"/>
      <c r="BC77" s="64"/>
      <c r="BD77" s="69"/>
      <c r="BE77" s="127"/>
      <c r="BG77" s="21"/>
      <c r="BH77" s="128"/>
      <c r="BI77" s="54"/>
      <c r="BJ77" s="64"/>
      <c r="BK77" s="69"/>
      <c r="BL77" s="127"/>
      <c r="BN77" s="21"/>
      <c r="BO77" s="128"/>
      <c r="BP77" s="54"/>
      <c r="BQ77" s="64"/>
      <c r="BR77" s="69"/>
      <c r="BS77" s="127"/>
      <c r="BU77" s="21"/>
      <c r="BV77" s="128"/>
      <c r="BW77" s="54"/>
      <c r="BX77" s="64"/>
      <c r="BY77" s="69"/>
      <c r="BZ77" s="127"/>
      <c r="CB77" s="21"/>
      <c r="CC77" s="128"/>
      <c r="CD77" s="54"/>
      <c r="CE77" s="64"/>
      <c r="CF77" s="69"/>
      <c r="CG77" s="127"/>
      <c r="CI77" s="21"/>
      <c r="CJ77" s="128"/>
      <c r="CK77" s="54"/>
      <c r="CL77" s="64"/>
      <c r="CM77" s="69"/>
      <c r="CN77" s="127"/>
      <c r="CP77" s="21"/>
      <c r="CQ77" s="128"/>
      <c r="CR77" s="54"/>
      <c r="CS77" s="64"/>
      <c r="CT77" s="69"/>
      <c r="CV77" s="21"/>
      <c r="CW77" s="128"/>
      <c r="CX77" s="54"/>
      <c r="CY77" s="64"/>
      <c r="CZ77" s="69"/>
      <c r="DB77" s="21"/>
      <c r="DC77" s="128"/>
      <c r="DD77" s="54"/>
      <c r="DE77" s="64"/>
      <c r="DF77" s="69"/>
      <c r="DH77" s="21"/>
      <c r="DI77" s="128"/>
      <c r="DJ77" s="54"/>
      <c r="DK77" s="64"/>
      <c r="DL77" s="69"/>
      <c r="DN77" s="21"/>
      <c r="DO77" s="128"/>
      <c r="DP77" s="54"/>
      <c r="DQ77" s="64"/>
      <c r="DR77" s="69"/>
      <c r="DT77" s="21"/>
      <c r="DU77" s="128"/>
      <c r="DV77" s="54"/>
      <c r="DW77" s="64"/>
      <c r="DX77" s="69"/>
      <c r="DZ77" s="21"/>
      <c r="EA77" s="128"/>
      <c r="EB77" s="54"/>
      <c r="EC77" s="64"/>
      <c r="ED77" s="69">
        <v>1</v>
      </c>
      <c r="EF77" s="21"/>
      <c r="EG77" s="128"/>
      <c r="EH77" s="54"/>
      <c r="EI77" s="64"/>
      <c r="EJ77" s="69"/>
      <c r="EL77" s="21"/>
      <c r="EM77" s="128"/>
      <c r="EN77" s="54"/>
      <c r="EO77" s="64"/>
      <c r="EP77" s="69"/>
      <c r="ER77" s="21"/>
      <c r="ES77" s="128"/>
      <c r="ET77" s="54"/>
      <c r="EU77" s="64"/>
      <c r="EV77" s="69"/>
      <c r="EX77" s="21"/>
      <c r="EY77" s="128"/>
      <c r="EZ77" s="54"/>
      <c r="FA77" s="64"/>
      <c r="FB77" s="69"/>
      <c r="FD77" s="21"/>
      <c r="FE77" s="128"/>
      <c r="FF77" s="54"/>
      <c r="FG77" s="64"/>
      <c r="FH77" s="69"/>
      <c r="FJ77" s="21"/>
      <c r="FK77" s="128"/>
      <c r="FL77" s="54"/>
      <c r="FM77" s="64"/>
      <c r="FN77" s="69"/>
      <c r="FO77" s="128"/>
      <c r="FP77" s="54"/>
      <c r="FQ77" s="64"/>
      <c r="FR77" s="69"/>
      <c r="FT77" s="21"/>
      <c r="FU77" s="128"/>
      <c r="FV77" s="54"/>
      <c r="FW77" s="64"/>
      <c r="FX77" s="69"/>
      <c r="FZ77" s="21"/>
      <c r="GA77" s="128"/>
      <c r="GB77" s="54"/>
      <c r="GC77" s="64"/>
      <c r="GD77" s="69"/>
      <c r="GF77" s="21"/>
      <c r="GG77" s="128"/>
      <c r="GH77" s="54"/>
      <c r="GI77" s="64"/>
      <c r="GJ77" s="69"/>
      <c r="GL77" s="21"/>
      <c r="GM77" s="128"/>
      <c r="GN77" s="54"/>
      <c r="GO77" s="64"/>
      <c r="GP77" s="69"/>
      <c r="GR77" s="21"/>
      <c r="GS77" s="128"/>
      <c r="GT77" s="54"/>
      <c r="GU77" s="64"/>
      <c r="GV77" s="69"/>
      <c r="GX77" s="21"/>
      <c r="GY77" s="128"/>
      <c r="GZ77" s="54"/>
      <c r="HA77" s="64"/>
      <c r="HB77" s="69"/>
      <c r="HD77" s="21"/>
      <c r="HE77" s="128"/>
      <c r="HF77" s="54"/>
      <c r="HG77" s="64"/>
      <c r="HH77" s="69"/>
      <c r="HJ77" s="21"/>
      <c r="HK77" s="128"/>
      <c r="HL77" s="54"/>
      <c r="HM77" s="64"/>
      <c r="HN77" s="69"/>
      <c r="HP77" s="21"/>
      <c r="HQ77" s="128"/>
      <c r="HR77" s="54"/>
      <c r="HS77" s="64"/>
      <c r="HT77" s="69"/>
      <c r="HV77" s="21"/>
      <c r="HW77" s="128"/>
      <c r="HX77" s="54"/>
      <c r="HY77" s="64"/>
      <c r="HZ77" s="69"/>
      <c r="IB77" s="21"/>
      <c r="IC77" s="128"/>
      <c r="ID77" s="54"/>
      <c r="IE77" s="64"/>
      <c r="IF77" s="69"/>
      <c r="IH77" s="21"/>
      <c r="IJ77" s="21"/>
      <c r="IK77" s="128"/>
      <c r="IL77" s="54"/>
      <c r="IM77" s="64"/>
      <c r="IN77" s="69"/>
      <c r="IP77" s="21"/>
      <c r="IQ77" s="128"/>
      <c r="IR77" s="54"/>
      <c r="IS77" s="64"/>
      <c r="IT77" s="69"/>
      <c r="IV77" s="21"/>
      <c r="IW77" s="128"/>
      <c r="IX77" s="54"/>
      <c r="IY77" s="64"/>
      <c r="IZ77" s="69"/>
      <c r="JB77" s="21"/>
      <c r="JC77" s="128"/>
      <c r="JD77" s="54"/>
      <c r="JE77" s="64"/>
      <c r="JF77" s="69"/>
      <c r="JH77" s="21"/>
      <c r="JI77" s="128"/>
      <c r="JJ77" s="54"/>
      <c r="JK77" s="64"/>
      <c r="JL77" s="69"/>
      <c r="JN77" s="21"/>
      <c r="JO77" s="128"/>
      <c r="JP77" s="54"/>
      <c r="JQ77" s="64"/>
      <c r="JR77" s="69"/>
      <c r="JT77" s="21"/>
      <c r="JU77" s="128"/>
      <c r="JV77" s="54"/>
      <c r="JW77" s="64"/>
      <c r="JX77" s="69"/>
      <c r="JZ77" s="21"/>
      <c r="KA77" s="128"/>
      <c r="KB77" s="54"/>
      <c r="KC77" s="64"/>
      <c r="KD77" s="69"/>
      <c r="KE77" s="4"/>
      <c r="KF77" s="38"/>
      <c r="KG77" s="35"/>
      <c r="KI77" s="54"/>
      <c r="KJ77" s="64"/>
      <c r="KK77" s="69"/>
      <c r="KL77" s="126"/>
      <c r="KM77" s="127"/>
      <c r="KO77" s="38"/>
      <c r="KP77" s="83"/>
      <c r="KQ77" s="158"/>
      <c r="KR77" s="174"/>
      <c r="KS77" s="38"/>
      <c r="KT77" s="35"/>
      <c r="KV77" s="54"/>
      <c r="KW77" s="64"/>
      <c r="KX77" s="69"/>
      <c r="KY77" s="126"/>
      <c r="KZ77" s="127"/>
      <c r="LB77" s="38"/>
      <c r="LC77" s="83"/>
      <c r="LD77" s="158"/>
      <c r="LE77" s="174"/>
      <c r="LF77" s="38"/>
      <c r="LG77" s="35"/>
      <c r="LI77" s="54"/>
      <c r="LJ77" s="64"/>
      <c r="LK77" s="69"/>
      <c r="LL77" s="126"/>
      <c r="LM77" s="127"/>
      <c r="LO77" s="38"/>
      <c r="LP77" s="83"/>
      <c r="LQ77" s="158"/>
      <c r="LR77" s="174"/>
      <c r="LS77" s="38"/>
      <c r="LT77" s="35"/>
      <c r="LV77" s="54"/>
      <c r="LW77" s="64"/>
      <c r="LX77" s="69"/>
      <c r="LY77" s="126"/>
      <c r="LZ77" s="127"/>
      <c r="MB77" s="38"/>
      <c r="MC77" s="83"/>
      <c r="MD77" s="158"/>
      <c r="ME77" s="174"/>
      <c r="MF77" s="38"/>
      <c r="MG77" s="35"/>
      <c r="MI77" s="54"/>
      <c r="MJ77" s="64"/>
      <c r="MK77" s="69"/>
      <c r="ML77" s="126"/>
      <c r="MM77" s="127"/>
      <c r="MO77" s="38"/>
      <c r="MP77" s="83"/>
      <c r="MQ77" s="158"/>
      <c r="MR77" s="174"/>
      <c r="MS77" s="4"/>
      <c r="MT77" s="4">
        <f t="shared" si="11"/>
        <v>1</v>
      </c>
      <c r="NC77" s="21"/>
      <c r="ND77" s="128"/>
      <c r="NE77" s="54"/>
    </row>
    <row r="78" spans="1:369" x14ac:dyDescent="0.15">
      <c r="A78" s="2" t="s">
        <v>213</v>
      </c>
      <c r="B78" s="17"/>
      <c r="C78" s="21"/>
      <c r="D78" s="128"/>
      <c r="E78" s="54"/>
      <c r="F78" s="64"/>
      <c r="G78" s="69"/>
      <c r="H78" s="127"/>
      <c r="J78" s="21"/>
      <c r="K78" s="128"/>
      <c r="L78" s="54"/>
      <c r="M78" s="64"/>
      <c r="N78" s="69"/>
      <c r="O78" s="127"/>
      <c r="Q78" s="21"/>
      <c r="R78" s="128"/>
      <c r="S78" s="54"/>
      <c r="T78" s="64"/>
      <c r="U78" s="69"/>
      <c r="V78" s="127"/>
      <c r="X78" s="21"/>
      <c r="Y78" s="128"/>
      <c r="Z78" s="54"/>
      <c r="AA78" s="64"/>
      <c r="AB78" s="69"/>
      <c r="AC78" s="127"/>
      <c r="AE78" s="21"/>
      <c r="AF78" s="128"/>
      <c r="AG78" s="54"/>
      <c r="AH78" s="64"/>
      <c r="AI78" s="69"/>
      <c r="AJ78" s="127"/>
      <c r="AL78" s="21"/>
      <c r="AM78" s="128"/>
      <c r="AN78" s="54"/>
      <c r="AO78" s="64"/>
      <c r="AP78" s="69"/>
      <c r="AQ78" s="127"/>
      <c r="AS78" s="21"/>
      <c r="AT78" s="128"/>
      <c r="AU78" s="54"/>
      <c r="AV78" s="64"/>
      <c r="AW78" s="69"/>
      <c r="AX78" s="127"/>
      <c r="AZ78" s="21"/>
      <c r="BA78" s="128"/>
      <c r="BB78" s="54"/>
      <c r="BC78" s="64"/>
      <c r="BD78" s="69"/>
      <c r="BE78" s="127"/>
      <c r="BG78" s="21"/>
      <c r="BH78" s="128"/>
      <c r="BI78" s="54"/>
      <c r="BJ78" s="64"/>
      <c r="BK78" s="69"/>
      <c r="BL78" s="127"/>
      <c r="BN78" s="21"/>
      <c r="BO78" s="128"/>
      <c r="BP78" s="54"/>
      <c r="BQ78" s="64"/>
      <c r="BR78" s="69"/>
      <c r="BS78" s="127"/>
      <c r="BU78" s="21"/>
      <c r="BV78" s="128"/>
      <c r="BW78" s="54"/>
      <c r="BX78" s="64"/>
      <c r="BY78" s="69"/>
      <c r="BZ78" s="127"/>
      <c r="CB78" s="21"/>
      <c r="CC78" s="128"/>
      <c r="CD78" s="54"/>
      <c r="CE78" s="64"/>
      <c r="CF78" s="69"/>
      <c r="CG78" s="127"/>
      <c r="CI78" s="21"/>
      <c r="CJ78" s="128"/>
      <c r="CK78" s="54"/>
      <c r="CL78" s="64"/>
      <c r="CM78" s="69"/>
      <c r="CN78" s="127"/>
      <c r="CP78" s="21"/>
      <c r="CQ78" s="128"/>
      <c r="CR78" s="54"/>
      <c r="CS78" s="64"/>
      <c r="CT78" s="69"/>
      <c r="CV78" s="21"/>
      <c r="CW78" s="128"/>
      <c r="CX78" s="54"/>
      <c r="CY78" s="64"/>
      <c r="CZ78" s="69"/>
      <c r="DB78" s="21"/>
      <c r="DC78" s="128"/>
      <c r="DD78" s="54"/>
      <c r="DE78" s="64"/>
      <c r="DF78" s="69"/>
      <c r="DH78" s="21"/>
      <c r="DI78" s="128"/>
      <c r="DJ78" s="54"/>
      <c r="DK78" s="64"/>
      <c r="DL78" s="69"/>
      <c r="DN78" s="21"/>
      <c r="DO78" s="128"/>
      <c r="DP78" s="54"/>
      <c r="DQ78" s="64"/>
      <c r="DR78" s="69"/>
      <c r="DT78" s="21"/>
      <c r="DU78" s="128"/>
      <c r="DV78" s="54"/>
      <c r="DW78" s="64"/>
      <c r="DX78" s="69"/>
      <c r="DZ78" s="21"/>
      <c r="EA78" s="128"/>
      <c r="EB78" s="54"/>
      <c r="EC78" s="64"/>
      <c r="ED78" s="69"/>
      <c r="EF78" s="21"/>
      <c r="EG78" s="128"/>
      <c r="EH78" s="54"/>
      <c r="EI78" s="64"/>
      <c r="EJ78" s="69"/>
      <c r="EL78" s="21"/>
      <c r="EM78" s="128"/>
      <c r="EN78" s="54"/>
      <c r="EO78" s="64"/>
      <c r="EP78" s="69"/>
      <c r="ER78" s="21"/>
      <c r="ES78" s="128"/>
      <c r="ET78" s="54"/>
      <c r="EU78" s="64"/>
      <c r="EV78" s="69"/>
      <c r="EX78" s="21"/>
      <c r="EY78" s="128"/>
      <c r="EZ78" s="54"/>
      <c r="FA78" s="64"/>
      <c r="FB78" s="69"/>
      <c r="FD78" s="21"/>
      <c r="FE78" s="128"/>
      <c r="FF78" s="54"/>
      <c r="FG78" s="64"/>
      <c r="FH78" s="69"/>
      <c r="FJ78" s="21"/>
      <c r="FK78" s="128"/>
      <c r="FL78" s="54"/>
      <c r="FM78" s="64"/>
      <c r="FN78" s="69"/>
      <c r="FO78" s="128"/>
      <c r="FP78" s="54"/>
      <c r="FQ78" s="64"/>
      <c r="FR78" s="69"/>
      <c r="FT78" s="21"/>
      <c r="FU78" s="128"/>
      <c r="FV78" s="54"/>
      <c r="FW78" s="64"/>
      <c r="FX78" s="69"/>
      <c r="FZ78" s="21"/>
      <c r="GA78" s="128"/>
      <c r="GB78" s="54"/>
      <c r="GC78" s="64"/>
      <c r="GD78" s="69"/>
      <c r="GF78" s="21"/>
      <c r="GG78" s="128"/>
      <c r="GH78" s="54"/>
      <c r="GI78" s="64"/>
      <c r="GJ78" s="69"/>
      <c r="GL78" s="21"/>
      <c r="GM78" s="128"/>
      <c r="GN78" s="54"/>
      <c r="GO78" s="64"/>
      <c r="GP78" s="69"/>
      <c r="GR78" s="21"/>
      <c r="GS78" s="128"/>
      <c r="GT78" s="54"/>
      <c r="GU78" s="64"/>
      <c r="GV78" s="69"/>
      <c r="GX78" s="21"/>
      <c r="GY78" s="128"/>
      <c r="GZ78" s="54"/>
      <c r="HA78" s="64"/>
      <c r="HB78" s="69"/>
      <c r="HD78" s="21"/>
      <c r="HE78" s="128"/>
      <c r="HF78" s="54"/>
      <c r="HG78" s="64"/>
      <c r="HH78" s="69"/>
      <c r="HJ78" s="21"/>
      <c r="HK78" s="128"/>
      <c r="HL78" s="54"/>
      <c r="HM78" s="64"/>
      <c r="HN78" s="69"/>
      <c r="HP78" s="21"/>
      <c r="HQ78" s="128"/>
      <c r="HR78" s="54"/>
      <c r="HS78" s="64"/>
      <c r="HT78" s="69"/>
      <c r="HV78" s="21"/>
      <c r="HW78" s="128"/>
      <c r="HX78" s="54"/>
      <c r="HY78" s="64"/>
      <c r="HZ78" s="69"/>
      <c r="IB78" s="21"/>
      <c r="IC78" s="128"/>
      <c r="ID78" s="54"/>
      <c r="IE78" s="64"/>
      <c r="IF78" s="69"/>
      <c r="IH78" s="21"/>
      <c r="IJ78" s="21"/>
      <c r="IK78" s="128"/>
      <c r="IL78" s="54"/>
      <c r="IM78" s="64"/>
      <c r="IN78" s="69"/>
      <c r="IP78" s="21"/>
      <c r="IQ78" s="128"/>
      <c r="IR78" s="54"/>
      <c r="IS78" s="64"/>
      <c r="IT78" s="69"/>
      <c r="IV78" s="21"/>
      <c r="IW78" s="128"/>
      <c r="IX78" s="54"/>
      <c r="IY78" s="64"/>
      <c r="IZ78" s="69"/>
      <c r="JB78" s="21"/>
      <c r="JC78" s="128"/>
      <c r="JD78" s="54"/>
      <c r="JE78" s="64"/>
      <c r="JF78" s="69"/>
      <c r="JH78" s="21"/>
      <c r="JI78" s="128"/>
      <c r="JJ78" s="54"/>
      <c r="JK78" s="64"/>
      <c r="JL78" s="69"/>
      <c r="JN78" s="21"/>
      <c r="JO78" s="128"/>
      <c r="JP78" s="54"/>
      <c r="JQ78" s="64"/>
      <c r="JR78" s="69"/>
      <c r="JT78" s="21"/>
      <c r="JU78" s="128"/>
      <c r="JV78" s="54"/>
      <c r="JW78" s="64"/>
      <c r="JX78" s="69"/>
      <c r="JZ78" s="21"/>
      <c r="KA78" s="128">
        <v>1</v>
      </c>
      <c r="KB78" s="54">
        <v>2</v>
      </c>
      <c r="KC78" s="64">
        <v>1</v>
      </c>
      <c r="KD78" s="69">
        <v>2</v>
      </c>
      <c r="KE78" s="4"/>
      <c r="KF78" s="38"/>
      <c r="KG78" s="35"/>
      <c r="KI78" s="54"/>
      <c r="KJ78" s="64"/>
      <c r="KK78" s="69"/>
      <c r="KL78" s="126"/>
      <c r="KM78" s="127"/>
      <c r="KO78" s="38"/>
      <c r="KP78" s="83"/>
      <c r="KQ78" s="158"/>
      <c r="KR78" s="174"/>
      <c r="KS78" s="38"/>
      <c r="KT78" s="35"/>
      <c r="KV78" s="54"/>
      <c r="KW78" s="64"/>
      <c r="KX78" s="69"/>
      <c r="KY78" s="126"/>
      <c r="KZ78" s="127"/>
      <c r="LB78" s="38"/>
      <c r="LC78" s="83"/>
      <c r="LD78" s="158"/>
      <c r="LE78" s="174"/>
      <c r="LF78" s="38"/>
      <c r="LG78" s="35"/>
      <c r="LI78" s="54"/>
      <c r="LJ78" s="64"/>
      <c r="LK78" s="69"/>
      <c r="LL78" s="126"/>
      <c r="LM78" s="127"/>
      <c r="LO78" s="38"/>
      <c r="LP78" s="83"/>
      <c r="LQ78" s="158"/>
      <c r="LR78" s="174"/>
      <c r="LS78" s="38"/>
      <c r="LT78" s="35"/>
      <c r="LV78" s="54"/>
      <c r="LW78" s="64"/>
      <c r="LX78" s="69"/>
      <c r="LY78" s="126"/>
      <c r="LZ78" s="127"/>
      <c r="MB78" s="38"/>
      <c r="MC78" s="83"/>
      <c r="MD78" s="158"/>
      <c r="ME78" s="174"/>
      <c r="MF78" s="38"/>
      <c r="MG78" s="35"/>
      <c r="MI78" s="54"/>
      <c r="MJ78" s="64"/>
      <c r="MK78" s="69"/>
      <c r="ML78" s="126"/>
      <c r="MM78" s="127"/>
      <c r="MO78" s="38"/>
      <c r="MP78" s="83"/>
      <c r="MQ78" s="158"/>
      <c r="MR78" s="174"/>
      <c r="MS78" s="4"/>
      <c r="MT78" s="4">
        <f t="shared" si="11"/>
        <v>4</v>
      </c>
      <c r="NC78" s="21"/>
      <c r="ND78" s="128"/>
      <c r="NE78" s="54"/>
    </row>
    <row r="79" spans="1:369" x14ac:dyDescent="0.15">
      <c r="A79" s="5" t="s">
        <v>96</v>
      </c>
      <c r="B79" s="17"/>
      <c r="C79" s="21"/>
      <c r="D79" s="128"/>
      <c r="E79" s="54"/>
      <c r="F79" s="64"/>
      <c r="G79" s="69"/>
      <c r="H79" s="127"/>
      <c r="J79" s="21"/>
      <c r="K79" s="128"/>
      <c r="L79" s="54"/>
      <c r="M79" s="64"/>
      <c r="N79" s="69"/>
      <c r="O79" s="127"/>
      <c r="Q79" s="21"/>
      <c r="R79" s="128"/>
      <c r="S79" s="54"/>
      <c r="T79" s="64"/>
      <c r="U79" s="69"/>
      <c r="V79" s="127"/>
      <c r="X79" s="21"/>
      <c r="Y79" s="128"/>
      <c r="Z79" s="54"/>
      <c r="AA79" s="64"/>
      <c r="AB79" s="69"/>
      <c r="AC79" s="127"/>
      <c r="AE79" s="21"/>
      <c r="AF79" s="128"/>
      <c r="AG79" s="54"/>
      <c r="AH79" s="64"/>
      <c r="AI79" s="69"/>
      <c r="AJ79" s="127"/>
      <c r="AL79" s="21"/>
      <c r="AM79" s="128"/>
      <c r="AN79" s="54">
        <v>1</v>
      </c>
      <c r="AO79" s="64"/>
      <c r="AP79" s="69"/>
      <c r="AQ79" s="127"/>
      <c r="AS79" s="21"/>
      <c r="AT79" s="128"/>
      <c r="AU79" s="54"/>
      <c r="AV79" s="64"/>
      <c r="AW79" s="69"/>
      <c r="AX79" s="127"/>
      <c r="AZ79" s="21"/>
      <c r="BA79" s="128"/>
      <c r="BB79" s="54"/>
      <c r="BC79" s="64"/>
      <c r="BD79" s="69"/>
      <c r="BE79" s="127"/>
      <c r="BG79" s="21"/>
      <c r="BH79" s="128"/>
      <c r="BI79" s="54"/>
      <c r="BJ79" s="64">
        <v>1</v>
      </c>
      <c r="BK79" s="69"/>
      <c r="BL79" s="127"/>
      <c r="BN79" s="21"/>
      <c r="BO79" s="128"/>
      <c r="BP79" s="54"/>
      <c r="BQ79" s="64"/>
      <c r="BR79" s="69"/>
      <c r="BS79" s="127"/>
      <c r="BU79" s="21"/>
      <c r="BV79" s="128"/>
      <c r="BW79" s="54"/>
      <c r="BX79" s="64"/>
      <c r="BY79" s="69"/>
      <c r="BZ79" s="127"/>
      <c r="CB79" s="21"/>
      <c r="CC79" s="128"/>
      <c r="CD79" s="54"/>
      <c r="CE79" s="64"/>
      <c r="CF79" s="69"/>
      <c r="CG79" s="127"/>
      <c r="CI79" s="21"/>
      <c r="CJ79" s="128"/>
      <c r="CK79" s="54"/>
      <c r="CL79" s="64"/>
      <c r="CM79" s="69"/>
      <c r="CN79" s="127"/>
      <c r="CP79" s="21"/>
      <c r="CQ79" s="128"/>
      <c r="CR79" s="54"/>
      <c r="CS79" s="64"/>
      <c r="CT79" s="69"/>
      <c r="CV79" s="21"/>
      <c r="CW79" s="128"/>
      <c r="CX79" s="54"/>
      <c r="CY79" s="64"/>
      <c r="CZ79" s="69"/>
      <c r="DB79" s="21"/>
      <c r="DC79" s="128"/>
      <c r="DD79" s="54"/>
      <c r="DE79" s="64"/>
      <c r="DF79" s="69"/>
      <c r="DH79" s="21"/>
      <c r="DI79" s="128"/>
      <c r="DJ79" s="54"/>
      <c r="DK79" s="64"/>
      <c r="DL79" s="69"/>
      <c r="DN79" s="21"/>
      <c r="DO79" s="128"/>
      <c r="DP79" s="54"/>
      <c r="DQ79" s="64"/>
      <c r="DR79" s="69"/>
      <c r="DT79" s="21"/>
      <c r="DU79" s="128"/>
      <c r="DV79" s="54"/>
      <c r="DW79" s="64"/>
      <c r="DX79" s="69"/>
      <c r="DZ79" s="21"/>
      <c r="EA79" s="128"/>
      <c r="EB79" s="54"/>
      <c r="EC79" s="64"/>
      <c r="ED79" s="69"/>
      <c r="EF79" s="21"/>
      <c r="EG79" s="128"/>
      <c r="EH79" s="54"/>
      <c r="EI79" s="64"/>
      <c r="EJ79" s="69"/>
      <c r="EL79" s="21"/>
      <c r="EM79" s="128"/>
      <c r="EN79" s="54"/>
      <c r="EO79" s="64"/>
      <c r="EP79" s="69"/>
      <c r="ER79" s="21"/>
      <c r="ES79" s="128"/>
      <c r="ET79" s="54"/>
      <c r="EU79" s="64"/>
      <c r="EV79" s="69"/>
      <c r="EX79" s="21"/>
      <c r="EY79" s="128"/>
      <c r="EZ79" s="54"/>
      <c r="FA79" s="64"/>
      <c r="FB79" s="69"/>
      <c r="FD79" s="21"/>
      <c r="FE79" s="128"/>
      <c r="FF79" s="54"/>
      <c r="FG79" s="64"/>
      <c r="FH79" s="69"/>
      <c r="FJ79" s="21"/>
      <c r="FK79" s="128"/>
      <c r="FL79" s="54"/>
      <c r="FM79" s="64"/>
      <c r="FN79" s="69"/>
      <c r="FO79" s="128"/>
      <c r="FP79" s="54"/>
      <c r="FQ79" s="64"/>
      <c r="FR79" s="69"/>
      <c r="FT79" s="21"/>
      <c r="FU79" s="128"/>
      <c r="FV79" s="54"/>
      <c r="FW79" s="64"/>
      <c r="FX79" s="69"/>
      <c r="FZ79" s="21"/>
      <c r="GA79" s="128"/>
      <c r="GB79" s="54"/>
      <c r="GC79" s="64"/>
      <c r="GD79" s="69"/>
      <c r="GF79" s="21"/>
      <c r="GG79" s="128">
        <v>1</v>
      </c>
      <c r="GH79" s="54">
        <v>1</v>
      </c>
      <c r="GI79" s="64">
        <v>1</v>
      </c>
      <c r="GJ79" s="69"/>
      <c r="GL79" s="21"/>
      <c r="GM79" s="128"/>
      <c r="GN79" s="54"/>
      <c r="GO79" s="64"/>
      <c r="GP79" s="69"/>
      <c r="GR79" s="21"/>
      <c r="GS79" s="128"/>
      <c r="GT79" s="54"/>
      <c r="GU79" s="64"/>
      <c r="GV79" s="69"/>
      <c r="GX79" s="21"/>
      <c r="GY79" s="128"/>
      <c r="GZ79" s="54"/>
      <c r="HA79" s="64"/>
      <c r="HB79" s="69"/>
      <c r="HD79" s="21"/>
      <c r="HE79" s="128"/>
      <c r="HF79" s="54"/>
      <c r="HG79" s="64"/>
      <c r="HH79" s="69"/>
      <c r="HJ79" s="21"/>
      <c r="HK79" s="128"/>
      <c r="HL79" s="54"/>
      <c r="HM79" s="64"/>
      <c r="HN79" s="69"/>
      <c r="HP79" s="21"/>
      <c r="HQ79" s="128"/>
      <c r="HR79" s="54"/>
      <c r="HS79" s="64"/>
      <c r="HT79" s="69"/>
      <c r="HV79" s="21">
        <v>1</v>
      </c>
      <c r="HW79" s="128"/>
      <c r="HX79" s="54"/>
      <c r="HY79" s="64"/>
      <c r="HZ79" s="69">
        <v>1</v>
      </c>
      <c r="IB79" s="21"/>
      <c r="IC79" s="128"/>
      <c r="ID79" s="54"/>
      <c r="IE79" s="64"/>
      <c r="IF79" s="69"/>
      <c r="IH79" s="21"/>
      <c r="IJ79" s="21"/>
      <c r="IK79" s="128"/>
      <c r="IL79" s="54"/>
      <c r="IM79" s="64"/>
      <c r="IN79" s="69"/>
      <c r="IP79" s="21"/>
      <c r="IQ79" s="128"/>
      <c r="IR79" s="54"/>
      <c r="IS79" s="64"/>
      <c r="IT79" s="69"/>
      <c r="IV79" s="21"/>
      <c r="IW79" s="128"/>
      <c r="IX79" s="54"/>
      <c r="IY79" s="64"/>
      <c r="IZ79" s="69"/>
      <c r="JB79" s="21"/>
      <c r="JC79" s="128"/>
      <c r="JD79" s="54"/>
      <c r="JE79" s="64"/>
      <c r="JF79" s="69"/>
      <c r="JH79" s="21"/>
      <c r="JI79" s="128"/>
      <c r="JJ79" s="54"/>
      <c r="JK79" s="64"/>
      <c r="JL79" s="69"/>
      <c r="JN79" s="21"/>
      <c r="JO79" s="128"/>
      <c r="JP79" s="54"/>
      <c r="JQ79" s="64"/>
      <c r="JR79" s="69"/>
      <c r="JT79" s="21"/>
      <c r="JU79" s="128"/>
      <c r="JV79" s="54"/>
      <c r="JW79" s="64"/>
      <c r="JX79" s="69"/>
      <c r="JZ79" s="21"/>
      <c r="KA79" s="128"/>
      <c r="KB79" s="54"/>
      <c r="KC79" s="64"/>
      <c r="KD79" s="69"/>
      <c r="KE79" s="4"/>
      <c r="KF79" s="38"/>
      <c r="KG79" s="35"/>
      <c r="KI79" s="54"/>
      <c r="KJ79" s="64"/>
      <c r="KK79" s="69"/>
      <c r="KL79" s="126"/>
      <c r="KM79" s="127"/>
      <c r="KO79" s="38"/>
      <c r="KP79" s="83"/>
      <c r="KQ79" s="158"/>
      <c r="KR79" s="174"/>
      <c r="KS79" s="38"/>
      <c r="KT79" s="35"/>
      <c r="KV79" s="54"/>
      <c r="KW79" s="64"/>
      <c r="KX79" s="69"/>
      <c r="KY79" s="126"/>
      <c r="KZ79" s="127"/>
      <c r="LB79" s="38"/>
      <c r="LC79" s="83"/>
      <c r="LD79" s="158"/>
      <c r="LE79" s="174"/>
      <c r="LF79" s="38"/>
      <c r="LG79" s="35"/>
      <c r="LI79" s="54"/>
      <c r="LJ79" s="64"/>
      <c r="LK79" s="69"/>
      <c r="LL79" s="126"/>
      <c r="LM79" s="127"/>
      <c r="LO79" s="38"/>
      <c r="LP79" s="83"/>
      <c r="LQ79" s="158"/>
      <c r="LR79" s="174"/>
      <c r="LS79" s="38"/>
      <c r="LT79" s="35"/>
      <c r="LV79" s="54"/>
      <c r="LW79" s="64"/>
      <c r="LX79" s="69"/>
      <c r="LY79" s="126"/>
      <c r="LZ79" s="127"/>
      <c r="MB79" s="38"/>
      <c r="MC79" s="83"/>
      <c r="MD79" s="158"/>
      <c r="ME79" s="174"/>
      <c r="MF79" s="38"/>
      <c r="MG79" s="35"/>
      <c r="MI79" s="54"/>
      <c r="MJ79" s="64"/>
      <c r="MK79" s="69"/>
      <c r="ML79" s="126"/>
      <c r="MM79" s="127"/>
      <c r="MO79" s="38"/>
      <c r="MP79" s="83"/>
      <c r="MQ79" s="158"/>
      <c r="MR79" s="174"/>
      <c r="MS79" s="4"/>
      <c r="MT79" s="4">
        <f t="shared" si="11"/>
        <v>7</v>
      </c>
      <c r="NC79" s="21"/>
      <c r="ND79" s="128"/>
      <c r="NE79" s="54"/>
    </row>
    <row r="80" spans="1:369" x14ac:dyDescent="0.15">
      <c r="A80" s="2" t="s">
        <v>175</v>
      </c>
      <c r="B80" s="17"/>
      <c r="C80" s="21"/>
      <c r="D80" s="128"/>
      <c r="E80" s="54"/>
      <c r="F80" s="64"/>
      <c r="G80" s="69"/>
      <c r="H80" s="127"/>
      <c r="J80" s="21"/>
      <c r="K80" s="128"/>
      <c r="L80" s="54"/>
      <c r="M80" s="64"/>
      <c r="N80" s="69"/>
      <c r="O80" s="127"/>
      <c r="Q80" s="21"/>
      <c r="R80" s="128"/>
      <c r="S80" s="54"/>
      <c r="T80" s="64"/>
      <c r="U80" s="69"/>
      <c r="V80" s="127"/>
      <c r="X80" s="21"/>
      <c r="Y80" s="128"/>
      <c r="Z80" s="54"/>
      <c r="AA80" s="64"/>
      <c r="AB80" s="69"/>
      <c r="AC80" s="127"/>
      <c r="AE80" s="21"/>
      <c r="AF80" s="128"/>
      <c r="AG80" s="54"/>
      <c r="AH80" s="64"/>
      <c r="AI80" s="69"/>
      <c r="AJ80" s="127"/>
      <c r="AL80" s="21"/>
      <c r="AM80" s="128"/>
      <c r="AN80" s="54"/>
      <c r="AO80" s="64"/>
      <c r="AP80" s="69"/>
      <c r="AQ80" s="127"/>
      <c r="AS80" s="21"/>
      <c r="AT80" s="128"/>
      <c r="AU80" s="54"/>
      <c r="AV80" s="64"/>
      <c r="AW80" s="69"/>
      <c r="AX80" s="127"/>
      <c r="AZ80" s="21"/>
      <c r="BA80" s="128"/>
      <c r="BB80" s="54"/>
      <c r="BC80" s="64"/>
      <c r="BD80" s="69"/>
      <c r="BE80" s="127"/>
      <c r="BG80" s="21"/>
      <c r="BH80" s="128"/>
      <c r="BI80" s="54"/>
      <c r="BJ80" s="64"/>
      <c r="BK80" s="69"/>
      <c r="BL80" s="127"/>
      <c r="BN80" s="21"/>
      <c r="BO80" s="128"/>
      <c r="BP80" s="54"/>
      <c r="BQ80" s="64"/>
      <c r="BR80" s="69"/>
      <c r="BS80" s="127"/>
      <c r="BU80" s="21"/>
      <c r="BV80" s="128"/>
      <c r="BW80" s="54"/>
      <c r="BX80" s="64"/>
      <c r="BY80" s="69"/>
      <c r="BZ80" s="127"/>
      <c r="CB80" s="21"/>
      <c r="CC80" s="128"/>
      <c r="CD80" s="54"/>
      <c r="CE80" s="64"/>
      <c r="CF80" s="69"/>
      <c r="CG80" s="127"/>
      <c r="CI80" s="21"/>
      <c r="CJ80" s="128"/>
      <c r="CK80" s="54"/>
      <c r="CL80" s="64"/>
      <c r="CM80" s="69"/>
      <c r="CN80" s="127"/>
      <c r="CP80" s="21"/>
      <c r="CQ80" s="128"/>
      <c r="CR80" s="54"/>
      <c r="CS80" s="64"/>
      <c r="CT80" s="69"/>
      <c r="CV80" s="21"/>
      <c r="CW80" s="128"/>
      <c r="CX80" s="54"/>
      <c r="CY80" s="64"/>
      <c r="CZ80" s="69"/>
      <c r="DB80" s="21"/>
      <c r="DC80" s="128"/>
      <c r="DD80" s="54"/>
      <c r="DE80" s="64"/>
      <c r="DF80" s="69"/>
      <c r="DH80" s="21"/>
      <c r="DI80" s="128"/>
      <c r="DJ80" s="54"/>
      <c r="DK80" s="64"/>
      <c r="DL80" s="69"/>
      <c r="DN80" s="21"/>
      <c r="DO80" s="128"/>
      <c r="DP80" s="54"/>
      <c r="DQ80" s="64"/>
      <c r="DR80" s="69"/>
      <c r="DT80" s="21"/>
      <c r="DU80" s="128"/>
      <c r="DV80" s="54"/>
      <c r="DW80" s="64"/>
      <c r="DX80" s="69"/>
      <c r="DZ80" s="21"/>
      <c r="EA80" s="128"/>
      <c r="EB80" s="54"/>
      <c r="EC80" s="64"/>
      <c r="ED80" s="69"/>
      <c r="EF80" s="21"/>
      <c r="EG80" s="128"/>
      <c r="EH80" s="54"/>
      <c r="EI80" s="64"/>
      <c r="EJ80" s="69"/>
      <c r="EL80" s="21"/>
      <c r="EM80" s="128"/>
      <c r="EN80" s="54"/>
      <c r="EO80" s="64"/>
      <c r="EP80" s="69"/>
      <c r="ER80" s="21"/>
      <c r="ES80" s="128"/>
      <c r="ET80" s="54"/>
      <c r="EU80" s="64"/>
      <c r="EV80" s="69"/>
      <c r="EX80" s="21"/>
      <c r="EY80" s="128"/>
      <c r="EZ80" s="54"/>
      <c r="FA80" s="64"/>
      <c r="FB80" s="69"/>
      <c r="FD80" s="21"/>
      <c r="FE80" s="128"/>
      <c r="FF80" s="54"/>
      <c r="FG80" s="64"/>
      <c r="FH80" s="69"/>
      <c r="FJ80" s="21"/>
      <c r="FK80" s="128"/>
      <c r="FL80" s="54"/>
      <c r="FM80" s="64"/>
      <c r="FN80" s="69"/>
      <c r="FO80" s="128"/>
      <c r="FP80" s="54"/>
      <c r="FQ80" s="64"/>
      <c r="FR80" s="69"/>
      <c r="FT80" s="21"/>
      <c r="FU80" s="128"/>
      <c r="FV80" s="54"/>
      <c r="FW80" s="64"/>
      <c r="FX80" s="69"/>
      <c r="FZ80" s="21"/>
      <c r="GA80" s="128"/>
      <c r="GB80" s="54"/>
      <c r="GC80" s="64"/>
      <c r="GD80" s="69"/>
      <c r="GF80" s="21"/>
      <c r="GG80" s="128">
        <v>1</v>
      </c>
      <c r="GH80" s="54"/>
      <c r="GI80" s="64"/>
      <c r="GJ80" s="69"/>
      <c r="GL80" s="21"/>
      <c r="GM80" s="128"/>
      <c r="GN80" s="54"/>
      <c r="GO80" s="64"/>
      <c r="GP80" s="69"/>
      <c r="GR80" s="21"/>
      <c r="GS80" s="128"/>
      <c r="GT80" s="54"/>
      <c r="GU80" s="64"/>
      <c r="GV80" s="69"/>
      <c r="GX80" s="21"/>
      <c r="GY80" s="128"/>
      <c r="GZ80" s="54"/>
      <c r="HA80" s="64"/>
      <c r="HB80" s="69"/>
      <c r="HD80" s="21"/>
      <c r="HE80" s="128"/>
      <c r="HF80" s="54"/>
      <c r="HG80" s="64"/>
      <c r="HH80" s="69"/>
      <c r="HJ80" s="21"/>
      <c r="HK80" s="128"/>
      <c r="HL80" s="54"/>
      <c r="HM80" s="64"/>
      <c r="HN80" s="69"/>
      <c r="HP80" s="21"/>
      <c r="HQ80" s="128"/>
      <c r="HR80" s="54"/>
      <c r="HS80" s="64"/>
      <c r="HT80" s="69"/>
      <c r="HV80" s="21"/>
      <c r="HW80" s="128"/>
      <c r="HX80" s="54"/>
      <c r="HY80" s="64"/>
      <c r="HZ80" s="69"/>
      <c r="IB80" s="21"/>
      <c r="IC80" s="128"/>
      <c r="ID80" s="54"/>
      <c r="IE80" s="64"/>
      <c r="IF80" s="69"/>
      <c r="IH80" s="21"/>
      <c r="IJ80" s="21"/>
      <c r="IK80" s="128"/>
      <c r="IL80" s="54"/>
      <c r="IM80" s="64"/>
      <c r="IN80" s="69"/>
      <c r="IP80" s="21"/>
      <c r="IQ80" s="128"/>
      <c r="IR80" s="54"/>
      <c r="IS80" s="64"/>
      <c r="IT80" s="69"/>
      <c r="IV80" s="21"/>
      <c r="IW80" s="128"/>
      <c r="IX80" s="54"/>
      <c r="IY80" s="64"/>
      <c r="IZ80" s="69"/>
      <c r="JB80" s="21"/>
      <c r="JC80" s="128"/>
      <c r="JD80" s="54"/>
      <c r="JE80" s="64"/>
      <c r="JF80" s="69"/>
      <c r="JH80" s="21"/>
      <c r="JI80" s="128"/>
      <c r="JJ80" s="54"/>
      <c r="JK80" s="64"/>
      <c r="JL80" s="69"/>
      <c r="JN80" s="21"/>
      <c r="JO80" s="128"/>
      <c r="JP80" s="54"/>
      <c r="JQ80" s="64"/>
      <c r="JR80" s="69"/>
      <c r="JT80" s="21"/>
      <c r="JU80" s="128"/>
      <c r="JV80" s="54"/>
      <c r="JW80" s="64"/>
      <c r="JX80" s="69"/>
      <c r="JZ80" s="21"/>
      <c r="KA80" s="128"/>
      <c r="KB80" s="54"/>
      <c r="KC80" s="64"/>
      <c r="KD80" s="69"/>
      <c r="KE80" s="4"/>
      <c r="KF80" s="38"/>
      <c r="KG80" s="35"/>
      <c r="KI80" s="54"/>
      <c r="KJ80" s="64"/>
      <c r="KK80" s="69"/>
      <c r="KL80" s="126"/>
      <c r="KM80" s="127"/>
      <c r="KO80" s="38"/>
      <c r="KP80" s="83"/>
      <c r="KQ80" s="158"/>
      <c r="KR80" s="174"/>
      <c r="KS80" s="38"/>
      <c r="KT80" s="35"/>
      <c r="KV80" s="54"/>
      <c r="KW80" s="64"/>
      <c r="KX80" s="69"/>
      <c r="KY80" s="126"/>
      <c r="KZ80" s="127"/>
      <c r="LB80" s="38"/>
      <c r="LC80" s="83"/>
      <c r="LD80" s="158"/>
      <c r="LE80" s="174"/>
      <c r="LF80" s="38"/>
      <c r="LG80" s="35"/>
      <c r="LI80" s="54"/>
      <c r="LJ80" s="64"/>
      <c r="LK80" s="69"/>
      <c r="LL80" s="126"/>
      <c r="LM80" s="127"/>
      <c r="LO80" s="38"/>
      <c r="LP80" s="83"/>
      <c r="LQ80" s="158"/>
      <c r="LR80" s="174"/>
      <c r="LS80" s="38"/>
      <c r="LT80" s="35"/>
      <c r="LV80" s="54"/>
      <c r="LW80" s="64"/>
      <c r="LX80" s="69"/>
      <c r="LY80" s="126"/>
      <c r="LZ80" s="127"/>
      <c r="MB80" s="38"/>
      <c r="MC80" s="83"/>
      <c r="MD80" s="158"/>
      <c r="ME80" s="174"/>
      <c r="MF80" s="38"/>
      <c r="MG80" s="35"/>
      <c r="MI80" s="54"/>
      <c r="MJ80" s="64"/>
      <c r="MK80" s="69"/>
      <c r="ML80" s="126"/>
      <c r="MM80" s="127"/>
      <c r="MO80" s="38"/>
      <c r="MP80" s="83"/>
      <c r="MQ80" s="158"/>
      <c r="MR80" s="174"/>
      <c r="MS80" s="4"/>
      <c r="MT80" s="4">
        <f t="shared" si="11"/>
        <v>1</v>
      </c>
      <c r="NC80" s="21"/>
      <c r="ND80" s="128"/>
      <c r="NE80" s="54"/>
    </row>
    <row r="81" spans="1:369" x14ac:dyDescent="0.15">
      <c r="A81" s="2" t="s">
        <v>24</v>
      </c>
      <c r="B81">
        <v>1</v>
      </c>
      <c r="C81" s="21">
        <v>3</v>
      </c>
      <c r="D81" s="128">
        <v>2</v>
      </c>
      <c r="E81" s="54">
        <v>1</v>
      </c>
      <c r="F81" s="64">
        <v>2</v>
      </c>
      <c r="G81" s="69">
        <v>1</v>
      </c>
      <c r="H81" s="127"/>
      <c r="I81">
        <v>3</v>
      </c>
      <c r="J81" s="21">
        <v>2</v>
      </c>
      <c r="K81" s="128">
        <v>3</v>
      </c>
      <c r="L81" s="54">
        <v>1</v>
      </c>
      <c r="M81" s="64">
        <v>1</v>
      </c>
      <c r="N81" s="69">
        <v>1</v>
      </c>
      <c r="O81" s="127"/>
      <c r="P81">
        <v>2</v>
      </c>
      <c r="Q81" s="21">
        <v>2</v>
      </c>
      <c r="R81" s="128">
        <v>2</v>
      </c>
      <c r="S81" s="54">
        <v>1</v>
      </c>
      <c r="T81" s="64">
        <v>2</v>
      </c>
      <c r="U81" s="69">
        <v>1</v>
      </c>
      <c r="V81" s="127">
        <v>1</v>
      </c>
      <c r="W81">
        <v>2</v>
      </c>
      <c r="X81" s="21">
        <v>2</v>
      </c>
      <c r="Y81" s="128">
        <v>2</v>
      </c>
      <c r="Z81" s="54"/>
      <c r="AA81" s="64"/>
      <c r="AB81" s="69">
        <v>1</v>
      </c>
      <c r="AC81" s="127">
        <v>2</v>
      </c>
      <c r="AD81">
        <v>2</v>
      </c>
      <c r="AE81" s="21">
        <v>1</v>
      </c>
      <c r="AF81" s="128">
        <v>1</v>
      </c>
      <c r="AG81" s="54"/>
      <c r="AH81" s="64"/>
      <c r="AI81" s="69"/>
      <c r="AJ81" s="127"/>
      <c r="AL81" s="21">
        <v>2</v>
      </c>
      <c r="AM81" s="128">
        <v>1</v>
      </c>
      <c r="AN81" s="54"/>
      <c r="AO81" s="64"/>
      <c r="AP81" s="69"/>
      <c r="AQ81" s="127"/>
      <c r="AR81">
        <v>2</v>
      </c>
      <c r="AS81" s="21">
        <v>2</v>
      </c>
      <c r="AT81" s="128">
        <v>1</v>
      </c>
      <c r="AU81" s="54"/>
      <c r="AV81" s="64"/>
      <c r="AW81" s="69"/>
      <c r="AX81" s="127"/>
      <c r="AY81">
        <v>2</v>
      </c>
      <c r="AZ81" s="21">
        <v>2</v>
      </c>
      <c r="BA81" s="128">
        <v>2</v>
      </c>
      <c r="BB81" s="54">
        <v>1</v>
      </c>
      <c r="BC81" s="64"/>
      <c r="BD81" s="69">
        <v>1</v>
      </c>
      <c r="BE81" s="127"/>
      <c r="BF81">
        <v>2</v>
      </c>
      <c r="BG81" s="21">
        <v>1</v>
      </c>
      <c r="BH81" s="128">
        <v>2</v>
      </c>
      <c r="BI81" s="54"/>
      <c r="BJ81" s="64">
        <v>1</v>
      </c>
      <c r="BK81" s="69">
        <v>1</v>
      </c>
      <c r="BL81" s="127"/>
      <c r="BN81" s="21"/>
      <c r="BO81" s="128"/>
      <c r="BP81" s="54"/>
      <c r="BQ81" s="64"/>
      <c r="BR81" s="69"/>
      <c r="BS81" s="127"/>
      <c r="BT81">
        <v>3</v>
      </c>
      <c r="BU81" s="21">
        <v>3</v>
      </c>
      <c r="BV81" s="128">
        <v>1</v>
      </c>
      <c r="BW81" s="54">
        <v>2</v>
      </c>
      <c r="BX81" s="64">
        <v>1</v>
      </c>
      <c r="BY81" s="69">
        <v>1</v>
      </c>
      <c r="BZ81" s="127">
        <v>1</v>
      </c>
      <c r="CA81">
        <v>2</v>
      </c>
      <c r="CB81" s="21">
        <v>1</v>
      </c>
      <c r="CC81" s="128"/>
      <c r="CD81" s="54"/>
      <c r="CE81" s="64"/>
      <c r="CF81" s="69"/>
      <c r="CG81" s="127"/>
      <c r="CH81">
        <v>3</v>
      </c>
      <c r="CI81" s="21">
        <v>2</v>
      </c>
      <c r="CJ81" s="128">
        <v>1</v>
      </c>
      <c r="CK81" s="54"/>
      <c r="CL81" s="64"/>
      <c r="CM81" s="69"/>
      <c r="CN81" s="127"/>
      <c r="CO81">
        <v>4</v>
      </c>
      <c r="CP81" s="21">
        <v>2</v>
      </c>
      <c r="CQ81" s="128">
        <v>1</v>
      </c>
      <c r="CR81" s="54"/>
      <c r="CS81" s="64"/>
      <c r="CT81" s="69">
        <v>1</v>
      </c>
      <c r="CV81" s="21">
        <v>3</v>
      </c>
      <c r="CW81" s="128">
        <v>1</v>
      </c>
      <c r="CX81" s="54">
        <v>1</v>
      </c>
      <c r="CY81" s="64"/>
      <c r="CZ81" s="69"/>
      <c r="DA81">
        <v>3</v>
      </c>
      <c r="DB81" s="21"/>
      <c r="DC81" s="128">
        <v>1</v>
      </c>
      <c r="DD81" s="54"/>
      <c r="DE81" s="64"/>
      <c r="DF81" s="69">
        <v>1</v>
      </c>
      <c r="DG81">
        <v>3</v>
      </c>
      <c r="DH81" s="21">
        <v>1</v>
      </c>
      <c r="DI81" s="128">
        <v>1</v>
      </c>
      <c r="DJ81" s="54">
        <v>1</v>
      </c>
      <c r="DK81" s="64"/>
      <c r="DL81" s="69">
        <v>2</v>
      </c>
      <c r="DM81">
        <v>3</v>
      </c>
      <c r="DN81" s="21"/>
      <c r="DO81" s="128">
        <v>1</v>
      </c>
      <c r="DP81" s="54"/>
      <c r="DQ81" s="64"/>
      <c r="DR81" s="69"/>
      <c r="DS81">
        <v>1</v>
      </c>
      <c r="DT81" s="21"/>
      <c r="DU81" s="128">
        <v>1</v>
      </c>
      <c r="DV81" s="54"/>
      <c r="DW81" s="64"/>
      <c r="DX81" s="69"/>
      <c r="DY81">
        <v>1</v>
      </c>
      <c r="DZ81" s="21">
        <v>1</v>
      </c>
      <c r="EA81" s="128"/>
      <c r="EB81" s="54"/>
      <c r="EC81" s="64"/>
      <c r="ED81" s="69"/>
      <c r="EE81">
        <v>1</v>
      </c>
      <c r="EF81" s="21">
        <v>1</v>
      </c>
      <c r="EG81" s="128"/>
      <c r="EH81" s="54"/>
      <c r="EI81" s="64"/>
      <c r="EJ81" s="69"/>
      <c r="EL81" s="21"/>
      <c r="EM81" s="128"/>
      <c r="EN81" s="54"/>
      <c r="EO81" s="64"/>
      <c r="EP81" s="69"/>
      <c r="ER81" s="21"/>
      <c r="ES81" s="128"/>
      <c r="ET81" s="54"/>
      <c r="EU81" s="64"/>
      <c r="EV81" s="69"/>
      <c r="EX81" s="21">
        <v>1</v>
      </c>
      <c r="EY81" s="128"/>
      <c r="EZ81" s="54">
        <v>1</v>
      </c>
      <c r="FA81" s="64"/>
      <c r="FB81" s="69"/>
      <c r="FC81">
        <v>4</v>
      </c>
      <c r="FD81" s="21">
        <v>3</v>
      </c>
      <c r="FE81" s="128"/>
      <c r="FF81" s="54"/>
      <c r="FG81" s="64"/>
      <c r="FH81" s="69"/>
      <c r="FI81">
        <v>1</v>
      </c>
      <c r="FJ81" s="21">
        <v>3</v>
      </c>
      <c r="FK81" s="128"/>
      <c r="FL81" s="54"/>
      <c r="FM81" s="64"/>
      <c r="FN81" s="69"/>
      <c r="FO81" s="128"/>
      <c r="FP81" s="54"/>
      <c r="FQ81" s="64"/>
      <c r="FR81" s="69"/>
      <c r="FS81">
        <v>3</v>
      </c>
      <c r="FT81" s="21">
        <v>1</v>
      </c>
      <c r="FU81" s="128"/>
      <c r="FV81" s="54"/>
      <c r="FW81" s="64"/>
      <c r="FX81" s="69"/>
      <c r="FY81">
        <v>3</v>
      </c>
      <c r="FZ81" s="21">
        <v>3</v>
      </c>
      <c r="GA81" s="128">
        <v>1</v>
      </c>
      <c r="GB81" s="54"/>
      <c r="GC81" s="64"/>
      <c r="GD81" s="69">
        <v>1</v>
      </c>
      <c r="GF81" s="21">
        <v>3</v>
      </c>
      <c r="GG81" s="128"/>
      <c r="GH81" s="54"/>
      <c r="GI81" s="64"/>
      <c r="GJ81" s="69"/>
      <c r="GL81" s="21">
        <v>3</v>
      </c>
      <c r="GM81" s="128"/>
      <c r="GN81" s="54"/>
      <c r="GO81" s="64"/>
      <c r="GP81" s="69"/>
      <c r="GR81" s="21">
        <v>2</v>
      </c>
      <c r="GS81" s="128"/>
      <c r="GT81" s="54"/>
      <c r="GU81" s="64"/>
      <c r="GV81" s="69"/>
      <c r="GX81" s="21">
        <v>3</v>
      </c>
      <c r="GY81" s="128"/>
      <c r="GZ81" s="54">
        <v>2</v>
      </c>
      <c r="HA81" s="64"/>
      <c r="HB81" s="69"/>
      <c r="HD81" s="21">
        <v>2</v>
      </c>
      <c r="HE81" s="128"/>
      <c r="HF81" s="54"/>
      <c r="HG81" s="64"/>
      <c r="HH81" s="69"/>
      <c r="HJ81" s="21">
        <v>1</v>
      </c>
      <c r="HK81" s="128">
        <v>1</v>
      </c>
      <c r="HL81" s="54"/>
      <c r="HM81" s="64"/>
      <c r="HN81" s="69"/>
      <c r="HP81" s="21">
        <v>1</v>
      </c>
      <c r="HQ81" s="128"/>
      <c r="HR81" s="54"/>
      <c r="HS81" s="64"/>
      <c r="HT81" s="69"/>
      <c r="HV81" s="21"/>
      <c r="HW81" s="128"/>
      <c r="HX81" s="54"/>
      <c r="HY81" s="64"/>
      <c r="HZ81" s="69"/>
      <c r="IB81" s="21">
        <v>1</v>
      </c>
      <c r="IC81" s="128">
        <v>1</v>
      </c>
      <c r="ID81" s="54"/>
      <c r="IE81" s="64"/>
      <c r="IF81" s="69">
        <v>1</v>
      </c>
      <c r="IH81" s="21"/>
      <c r="IJ81" s="21">
        <v>1</v>
      </c>
      <c r="IK81" s="128"/>
      <c r="IL81" s="54"/>
      <c r="IM81" s="64"/>
      <c r="IN81" s="69"/>
      <c r="IP81" s="21">
        <v>1</v>
      </c>
      <c r="IQ81" s="128"/>
      <c r="IR81" s="54"/>
      <c r="IS81" s="64"/>
      <c r="IT81" s="69"/>
      <c r="IV81" s="21">
        <v>1</v>
      </c>
      <c r="IW81" s="128"/>
      <c r="IX81" s="54"/>
      <c r="IY81" s="64"/>
      <c r="IZ81" s="69"/>
      <c r="JB81" s="21"/>
      <c r="JC81" s="128"/>
      <c r="JD81" s="54"/>
      <c r="JE81" s="64"/>
      <c r="JF81" s="69"/>
      <c r="JH81" s="21">
        <v>1</v>
      </c>
      <c r="JI81" s="128"/>
      <c r="JJ81" s="54"/>
      <c r="JK81" s="64"/>
      <c r="JL81" s="69"/>
      <c r="JN81" s="21">
        <v>3</v>
      </c>
      <c r="JO81" s="128"/>
      <c r="JP81" s="54"/>
      <c r="JQ81" s="64"/>
      <c r="JR81" s="69"/>
      <c r="JT81" s="21"/>
      <c r="JU81" s="128"/>
      <c r="JV81" s="54"/>
      <c r="JW81" s="64"/>
      <c r="JX81" s="69"/>
      <c r="JZ81" s="21">
        <v>1</v>
      </c>
      <c r="KA81" s="128"/>
      <c r="KB81" s="54"/>
      <c r="KC81" s="64"/>
      <c r="KD81" s="69"/>
      <c r="KF81" s="38"/>
      <c r="KG81" s="35"/>
      <c r="KI81" s="54"/>
      <c r="KJ81" s="64"/>
      <c r="KK81" s="69"/>
      <c r="KL81" s="126"/>
      <c r="KM81" s="127"/>
      <c r="KO81" s="38"/>
      <c r="KP81" s="83"/>
      <c r="KQ81" s="158"/>
      <c r="KR81" s="174"/>
      <c r="KS81" s="38"/>
      <c r="KT81" s="35"/>
      <c r="KV81" s="54"/>
      <c r="KW81" s="64"/>
      <c r="KX81" s="69"/>
      <c r="KY81" s="126"/>
      <c r="KZ81" s="127"/>
      <c r="LB81" s="38">
        <v>1</v>
      </c>
      <c r="LC81" s="83"/>
      <c r="LD81" s="158"/>
      <c r="LE81" s="174"/>
      <c r="LF81" s="38"/>
      <c r="LG81" s="35"/>
      <c r="LI81" s="54"/>
      <c r="LJ81" s="64"/>
      <c r="LK81" s="69"/>
      <c r="LL81" s="126"/>
      <c r="LM81" s="127"/>
      <c r="LO81" s="38"/>
      <c r="LP81" s="83"/>
      <c r="LQ81" s="158"/>
      <c r="LR81" s="174"/>
      <c r="LS81" s="38"/>
      <c r="LT81" s="35"/>
      <c r="LV81" s="54"/>
      <c r="LW81" s="64"/>
      <c r="LX81" s="69"/>
      <c r="LY81" s="126"/>
      <c r="LZ81" s="127"/>
      <c r="MB81" s="38"/>
      <c r="MC81" s="83"/>
      <c r="MD81" s="158"/>
      <c r="ME81" s="174"/>
      <c r="MF81" s="38"/>
      <c r="MG81" s="35"/>
      <c r="MI81" s="54"/>
      <c r="MJ81" s="64"/>
      <c r="MK81" s="69"/>
      <c r="ML81" s="126"/>
      <c r="MM81" s="127"/>
      <c r="MO81" s="38"/>
      <c r="MP81" s="83"/>
      <c r="MQ81" s="158"/>
      <c r="MR81" s="174"/>
      <c r="MT81" s="4">
        <f t="shared" si="11"/>
        <v>108</v>
      </c>
      <c r="NB81">
        <v>4</v>
      </c>
      <c r="NC81" s="21"/>
      <c r="ND81" s="128"/>
      <c r="NE81" s="54"/>
    </row>
    <row r="82" spans="1:369" ht="12.95" customHeight="1" x14ac:dyDescent="0.15">
      <c r="A82" s="2" t="s">
        <v>189</v>
      </c>
      <c r="B82" s="17"/>
      <c r="C82" s="21"/>
      <c r="D82" s="128">
        <v>1</v>
      </c>
      <c r="E82" s="54">
        <v>2</v>
      </c>
      <c r="F82" s="64">
        <v>1</v>
      </c>
      <c r="G82" s="69">
        <v>1</v>
      </c>
      <c r="H82" s="127"/>
      <c r="J82" s="21"/>
      <c r="K82" s="128"/>
      <c r="L82" s="54">
        <v>2</v>
      </c>
      <c r="M82" s="64">
        <v>2</v>
      </c>
      <c r="N82" s="69">
        <v>2</v>
      </c>
      <c r="O82" s="127"/>
      <c r="Q82" s="21"/>
      <c r="R82" s="128"/>
      <c r="S82" s="54">
        <v>1</v>
      </c>
      <c r="T82" s="64">
        <v>1</v>
      </c>
      <c r="U82" s="69">
        <v>2</v>
      </c>
      <c r="V82" s="127"/>
      <c r="X82" s="21"/>
      <c r="Y82" s="128"/>
      <c r="Z82" s="54">
        <v>1</v>
      </c>
      <c r="AA82" s="64">
        <v>2</v>
      </c>
      <c r="AB82" s="69">
        <v>2</v>
      </c>
      <c r="AC82" s="127">
        <v>2</v>
      </c>
      <c r="AE82" s="21"/>
      <c r="AF82" s="128"/>
      <c r="AG82" s="54">
        <v>1</v>
      </c>
      <c r="AH82" s="64">
        <v>2</v>
      </c>
      <c r="AI82" s="69">
        <v>2</v>
      </c>
      <c r="AJ82" s="127">
        <v>2</v>
      </c>
      <c r="AL82" s="21"/>
      <c r="AM82" s="128"/>
      <c r="AN82" s="54">
        <v>1</v>
      </c>
      <c r="AO82" s="64">
        <v>1</v>
      </c>
      <c r="AP82" s="69">
        <v>1</v>
      </c>
      <c r="AQ82" s="127">
        <v>1</v>
      </c>
      <c r="AS82" s="21"/>
      <c r="AT82" s="128"/>
      <c r="AU82" s="54">
        <v>1</v>
      </c>
      <c r="AV82" s="64">
        <v>1</v>
      </c>
      <c r="AW82" s="69">
        <v>1</v>
      </c>
      <c r="AX82" s="127">
        <v>1</v>
      </c>
      <c r="AZ82" s="21"/>
      <c r="BA82" s="128"/>
      <c r="BB82" s="54"/>
      <c r="BC82" s="64">
        <v>2</v>
      </c>
      <c r="BD82" s="69">
        <v>2</v>
      </c>
      <c r="BE82" s="127">
        <v>1</v>
      </c>
      <c r="BG82" s="21"/>
      <c r="BH82" s="128"/>
      <c r="BI82" s="54">
        <v>2</v>
      </c>
      <c r="BJ82" s="64">
        <v>2</v>
      </c>
      <c r="BK82" s="69">
        <v>2</v>
      </c>
      <c r="BL82" s="127">
        <v>1</v>
      </c>
      <c r="BN82" s="21">
        <v>2</v>
      </c>
      <c r="BO82" s="128">
        <v>2</v>
      </c>
      <c r="BP82" s="54">
        <v>2</v>
      </c>
      <c r="BQ82" s="64">
        <v>1</v>
      </c>
      <c r="BR82" s="69">
        <v>2</v>
      </c>
      <c r="BS82" s="127">
        <v>2</v>
      </c>
      <c r="BU82" s="21"/>
      <c r="BV82" s="128"/>
      <c r="BW82" s="54"/>
      <c r="BX82" s="64">
        <v>2</v>
      </c>
      <c r="BY82" s="69">
        <v>2</v>
      </c>
      <c r="BZ82" s="127">
        <v>1</v>
      </c>
      <c r="CB82" s="21"/>
      <c r="CC82" s="128"/>
      <c r="CD82" s="54">
        <v>1</v>
      </c>
      <c r="CE82" s="64"/>
      <c r="CF82" s="69">
        <v>2</v>
      </c>
      <c r="CG82" s="127">
        <v>1</v>
      </c>
      <c r="CI82" s="21"/>
      <c r="CJ82" s="128"/>
      <c r="CK82" s="54">
        <v>1</v>
      </c>
      <c r="CL82" s="64">
        <v>1</v>
      </c>
      <c r="CM82" s="69">
        <v>1</v>
      </c>
      <c r="CN82" s="127">
        <v>1</v>
      </c>
      <c r="CP82" s="21"/>
      <c r="CQ82" s="128">
        <v>1</v>
      </c>
      <c r="CR82" s="54">
        <v>2</v>
      </c>
      <c r="CS82" s="64">
        <v>1</v>
      </c>
      <c r="CT82" s="69">
        <v>1</v>
      </c>
      <c r="CV82" s="21"/>
      <c r="CW82" s="128"/>
      <c r="CX82" s="54"/>
      <c r="CY82" s="64">
        <v>1</v>
      </c>
      <c r="CZ82" s="69">
        <v>2</v>
      </c>
      <c r="DB82" s="21"/>
      <c r="DC82" s="128"/>
      <c r="DD82" s="54"/>
      <c r="DE82" s="64">
        <v>1</v>
      </c>
      <c r="DF82" s="69">
        <v>1</v>
      </c>
      <c r="DH82" s="21"/>
      <c r="DI82" s="128">
        <v>1</v>
      </c>
      <c r="DJ82" s="54">
        <v>3</v>
      </c>
      <c r="DK82" s="64">
        <v>1</v>
      </c>
      <c r="DL82" s="69">
        <v>1</v>
      </c>
      <c r="DN82" s="21"/>
      <c r="DO82" s="128"/>
      <c r="DP82" s="54"/>
      <c r="DQ82" s="64"/>
      <c r="DR82" s="69"/>
      <c r="DT82" s="21"/>
      <c r="DU82" s="128"/>
      <c r="DV82" s="54"/>
      <c r="DW82" s="64"/>
      <c r="DX82" s="69">
        <v>1</v>
      </c>
      <c r="DZ82" s="21"/>
      <c r="EA82" s="128">
        <v>1</v>
      </c>
      <c r="EB82" s="54">
        <v>1</v>
      </c>
      <c r="EC82" s="64">
        <v>1</v>
      </c>
      <c r="ED82" s="69">
        <v>1</v>
      </c>
      <c r="EF82" s="21"/>
      <c r="EG82" s="128"/>
      <c r="EH82" s="54"/>
      <c r="EI82" s="64">
        <v>1</v>
      </c>
      <c r="EJ82" s="69">
        <v>1</v>
      </c>
      <c r="EL82" s="21"/>
      <c r="EM82" s="128"/>
      <c r="EN82" s="54"/>
      <c r="EO82" s="64"/>
      <c r="EP82" s="69"/>
      <c r="ER82" s="21"/>
      <c r="ES82" s="128"/>
      <c r="ET82" s="54"/>
      <c r="EU82" s="64"/>
      <c r="EV82" s="69"/>
      <c r="EX82" s="21"/>
      <c r="EY82" s="128"/>
      <c r="EZ82" s="54"/>
      <c r="FA82" s="64"/>
      <c r="FB82" s="69">
        <v>1</v>
      </c>
      <c r="FD82" s="21"/>
      <c r="FE82" s="128">
        <v>2</v>
      </c>
      <c r="FF82" s="54">
        <v>2</v>
      </c>
      <c r="FG82" s="64">
        <v>1</v>
      </c>
      <c r="FH82" s="69">
        <v>1</v>
      </c>
      <c r="FJ82" s="21"/>
      <c r="FK82" s="128">
        <v>1</v>
      </c>
      <c r="FL82" s="54">
        <v>1</v>
      </c>
      <c r="FM82" s="64">
        <v>1</v>
      </c>
      <c r="FN82" s="69"/>
      <c r="FO82" s="128"/>
      <c r="FP82" s="54"/>
      <c r="FQ82" s="64"/>
      <c r="FR82" s="69"/>
      <c r="FT82" s="21"/>
      <c r="FU82" s="128"/>
      <c r="FV82" s="54"/>
      <c r="FW82" s="64"/>
      <c r="FX82" s="69"/>
      <c r="FZ82" s="21"/>
      <c r="GA82" s="128"/>
      <c r="GB82" s="54">
        <v>2</v>
      </c>
      <c r="GC82" s="64">
        <v>2</v>
      </c>
      <c r="GD82" s="69">
        <v>1</v>
      </c>
      <c r="GF82" s="21"/>
      <c r="GG82" s="128">
        <v>2</v>
      </c>
      <c r="GH82" s="54">
        <v>2</v>
      </c>
      <c r="GI82" s="64">
        <v>2</v>
      </c>
      <c r="GJ82" s="69">
        <v>3</v>
      </c>
      <c r="GL82" s="21"/>
      <c r="GM82" s="128">
        <v>2</v>
      </c>
      <c r="GN82" s="54"/>
      <c r="GO82" s="64">
        <v>2</v>
      </c>
      <c r="GP82" s="69">
        <v>2</v>
      </c>
      <c r="GR82" s="21"/>
      <c r="GS82" s="128">
        <v>2</v>
      </c>
      <c r="GT82" s="54">
        <v>1</v>
      </c>
      <c r="GU82" s="64">
        <v>1</v>
      </c>
      <c r="GV82" s="69">
        <v>1</v>
      </c>
      <c r="GX82" s="21"/>
      <c r="GY82" s="128">
        <v>1</v>
      </c>
      <c r="GZ82" s="54">
        <v>2</v>
      </c>
      <c r="HA82" s="64">
        <v>1</v>
      </c>
      <c r="HB82" s="69">
        <v>1</v>
      </c>
      <c r="HD82" s="21"/>
      <c r="HE82" s="128">
        <v>1</v>
      </c>
      <c r="HF82" s="54">
        <v>1</v>
      </c>
      <c r="HG82" s="64">
        <v>1</v>
      </c>
      <c r="HH82" s="69">
        <v>1</v>
      </c>
      <c r="HJ82" s="21"/>
      <c r="HK82" s="128"/>
      <c r="HL82" s="54">
        <v>1</v>
      </c>
      <c r="HM82" s="64">
        <v>1</v>
      </c>
      <c r="HN82" s="69">
        <v>1</v>
      </c>
      <c r="HP82" s="21"/>
      <c r="HQ82" s="128"/>
      <c r="HR82" s="54"/>
      <c r="HS82" s="64">
        <v>1</v>
      </c>
      <c r="HT82" s="69"/>
      <c r="HV82" s="21"/>
      <c r="HW82" s="128"/>
      <c r="HX82" s="54"/>
      <c r="HY82" s="64"/>
      <c r="HZ82" s="69"/>
      <c r="IB82" s="21"/>
      <c r="IC82" s="128"/>
      <c r="ID82" s="54"/>
      <c r="IE82" s="64"/>
      <c r="IF82" s="69"/>
      <c r="IH82" s="21"/>
      <c r="IJ82" s="21"/>
      <c r="IK82" s="128">
        <v>1</v>
      </c>
      <c r="IL82" s="54"/>
      <c r="IM82" s="64"/>
      <c r="IN82" s="69"/>
      <c r="IP82" s="21"/>
      <c r="IQ82" s="128"/>
      <c r="IR82" s="54"/>
      <c r="IS82" s="64"/>
      <c r="IT82" s="69"/>
      <c r="IV82" s="21"/>
      <c r="IW82" s="128"/>
      <c r="IX82" s="54"/>
      <c r="IY82" s="64"/>
      <c r="IZ82" s="69">
        <v>1</v>
      </c>
      <c r="JB82" s="21"/>
      <c r="JC82" s="128"/>
      <c r="JD82" s="54"/>
      <c r="JE82" s="64"/>
      <c r="JF82" s="69"/>
      <c r="JH82" s="21"/>
      <c r="JI82" s="128"/>
      <c r="JJ82" s="54"/>
      <c r="JK82" s="64"/>
      <c r="JL82" s="69">
        <v>1</v>
      </c>
      <c r="JN82" s="21"/>
      <c r="JO82" s="128">
        <v>1</v>
      </c>
      <c r="JP82" s="54">
        <v>2</v>
      </c>
      <c r="JQ82" s="64">
        <v>1</v>
      </c>
      <c r="JR82" s="69">
        <v>1</v>
      </c>
      <c r="JT82" s="21"/>
      <c r="JU82" s="128">
        <v>1</v>
      </c>
      <c r="JV82" s="54"/>
      <c r="JW82" s="64"/>
      <c r="JX82" s="69"/>
      <c r="JZ82" s="21"/>
      <c r="KA82" s="128">
        <v>1</v>
      </c>
      <c r="KB82" s="54">
        <v>1</v>
      </c>
      <c r="KC82" s="64"/>
      <c r="KD82" s="69"/>
      <c r="KF82" s="38"/>
      <c r="KG82" s="35"/>
      <c r="KI82" s="54"/>
      <c r="KJ82" s="64"/>
      <c r="KK82" s="69"/>
      <c r="KL82" s="126"/>
      <c r="KM82" s="127"/>
      <c r="KO82" s="38"/>
      <c r="KP82" s="83"/>
      <c r="KQ82" s="158"/>
      <c r="KR82" s="174"/>
      <c r="KS82" s="38"/>
      <c r="KT82" s="35">
        <v>1</v>
      </c>
      <c r="KV82" s="54">
        <v>1</v>
      </c>
      <c r="KW82" s="64">
        <v>1</v>
      </c>
      <c r="KX82" s="69">
        <v>1</v>
      </c>
      <c r="KY82" s="126">
        <v>1</v>
      </c>
      <c r="KZ82" s="127">
        <v>2</v>
      </c>
      <c r="LA82" s="4">
        <v>2</v>
      </c>
      <c r="LB82" s="38">
        <v>1</v>
      </c>
      <c r="LC82" s="83">
        <v>1</v>
      </c>
      <c r="LD82" s="158">
        <v>1</v>
      </c>
      <c r="LE82" s="174">
        <v>1</v>
      </c>
      <c r="LF82" s="38"/>
      <c r="LG82" s="35">
        <v>1</v>
      </c>
      <c r="LI82" s="54">
        <v>1</v>
      </c>
      <c r="LJ82" s="64">
        <v>1</v>
      </c>
      <c r="LK82" s="69">
        <v>1</v>
      </c>
      <c r="LL82" s="126">
        <v>1</v>
      </c>
      <c r="LM82" s="127">
        <v>1</v>
      </c>
      <c r="LN82" s="4">
        <v>1</v>
      </c>
      <c r="LO82" s="38">
        <v>1</v>
      </c>
      <c r="LP82" s="83">
        <v>1</v>
      </c>
      <c r="LQ82" s="158">
        <v>1</v>
      </c>
      <c r="LR82" s="174">
        <v>1</v>
      </c>
      <c r="LS82" s="38"/>
      <c r="LT82" s="35"/>
      <c r="LV82" s="54"/>
      <c r="LW82" s="64"/>
      <c r="LX82" s="69"/>
      <c r="LY82" s="126"/>
      <c r="LZ82" s="127"/>
      <c r="MB82" s="38"/>
      <c r="MC82" s="83"/>
      <c r="MD82" s="158"/>
      <c r="ME82" s="174"/>
      <c r="MF82" s="38"/>
      <c r="MG82" s="35"/>
      <c r="MI82" s="54"/>
      <c r="MJ82" s="64"/>
      <c r="MK82" s="69"/>
      <c r="ML82" s="126"/>
      <c r="MM82" s="127"/>
      <c r="MO82" s="38"/>
      <c r="MP82" s="83"/>
      <c r="MQ82" s="158"/>
      <c r="MR82" s="174"/>
      <c r="MT82" s="4">
        <f t="shared" si="11"/>
        <v>134</v>
      </c>
      <c r="NC82" s="21"/>
      <c r="ND82" s="128"/>
      <c r="NE82" s="54"/>
    </row>
    <row r="83" spans="1:369" ht="12.95" customHeight="1" x14ac:dyDescent="0.15">
      <c r="A83" s="5" t="s">
        <v>202</v>
      </c>
      <c r="C83" s="21"/>
      <c r="D83" s="128"/>
      <c r="E83" s="54"/>
      <c r="F83" s="64"/>
      <c r="G83" s="69"/>
      <c r="H83" s="127"/>
      <c r="J83" s="21"/>
      <c r="K83" s="128"/>
      <c r="L83" s="54"/>
      <c r="M83" s="64"/>
      <c r="N83" s="69"/>
      <c r="O83" s="127"/>
      <c r="Q83" s="21"/>
      <c r="R83" s="128"/>
      <c r="S83" s="54"/>
      <c r="T83" s="64"/>
      <c r="U83" s="69"/>
      <c r="V83" s="127"/>
      <c r="X83" s="21"/>
      <c r="Y83" s="128"/>
      <c r="Z83" s="54"/>
      <c r="AA83" s="64"/>
      <c r="AB83" s="69"/>
      <c r="AC83" s="127"/>
      <c r="AE83" s="21"/>
      <c r="AF83" s="128"/>
      <c r="AG83" s="54"/>
      <c r="AH83" s="64"/>
      <c r="AI83" s="69"/>
      <c r="AJ83" s="127"/>
      <c r="AL83" s="21"/>
      <c r="AM83" s="128"/>
      <c r="AN83" s="54"/>
      <c r="AO83" s="64"/>
      <c r="AP83" s="69"/>
      <c r="AQ83" s="127"/>
      <c r="AS83" s="21"/>
      <c r="AT83" s="128"/>
      <c r="AU83" s="54"/>
      <c r="AV83" s="64"/>
      <c r="AW83" s="69"/>
      <c r="AX83" s="127"/>
      <c r="AZ83" s="21"/>
      <c r="BA83" s="128"/>
      <c r="BB83" s="54"/>
      <c r="BC83" s="64"/>
      <c r="BD83" s="69"/>
      <c r="BE83" s="127"/>
      <c r="BG83" s="21"/>
      <c r="BH83" s="128"/>
      <c r="BI83" s="54"/>
      <c r="BJ83" s="64"/>
      <c r="BK83" s="69"/>
      <c r="BL83" s="127"/>
      <c r="BN83" s="21"/>
      <c r="BO83" s="128"/>
      <c r="BP83" s="54"/>
      <c r="BQ83" s="64"/>
      <c r="BR83" s="69"/>
      <c r="BS83" s="127"/>
      <c r="BU83" s="21"/>
      <c r="BV83" s="128"/>
      <c r="BW83" s="54"/>
      <c r="BX83" s="64"/>
      <c r="BY83" s="69"/>
      <c r="BZ83" s="127"/>
      <c r="CB83" s="21"/>
      <c r="CC83" s="128"/>
      <c r="CD83" s="54"/>
      <c r="CE83" s="64"/>
      <c r="CF83" s="69"/>
      <c r="CG83" s="127"/>
      <c r="CI83" s="21"/>
      <c r="CJ83" s="128"/>
      <c r="CK83" s="54"/>
      <c r="CL83" s="64"/>
      <c r="CM83" s="69"/>
      <c r="CN83" s="127"/>
      <c r="CP83" s="21"/>
      <c r="CQ83" s="128"/>
      <c r="CR83" s="54"/>
      <c r="CS83" s="64"/>
      <c r="CT83" s="69"/>
      <c r="CU83" s="124"/>
      <c r="CV83" s="21"/>
      <c r="CW83" s="128"/>
      <c r="CX83" s="54"/>
      <c r="CY83" s="64"/>
      <c r="CZ83" s="69"/>
      <c r="DB83" s="21"/>
      <c r="DC83" s="128"/>
      <c r="DD83" s="54"/>
      <c r="DE83" s="64"/>
      <c r="DF83" s="69"/>
      <c r="DH83" s="21"/>
      <c r="DI83" s="128"/>
      <c r="DJ83" s="54"/>
      <c r="DK83" s="64"/>
      <c r="DL83" s="69"/>
      <c r="DM83" s="124"/>
      <c r="DN83" s="21"/>
      <c r="DO83" s="128"/>
      <c r="DP83" s="54"/>
      <c r="DQ83" s="64"/>
      <c r="DR83" s="69"/>
      <c r="DT83" s="21"/>
      <c r="DU83" s="128"/>
      <c r="DV83" s="54"/>
      <c r="DW83" s="64"/>
      <c r="DX83" s="69"/>
      <c r="DZ83" s="21"/>
      <c r="EA83" s="128"/>
      <c r="EB83" s="54"/>
      <c r="EC83" s="64"/>
      <c r="ED83" s="69"/>
      <c r="EE83" s="124"/>
      <c r="EF83" s="21"/>
      <c r="EG83" s="128"/>
      <c r="EH83" s="54"/>
      <c r="EI83" s="64"/>
      <c r="EJ83" s="69"/>
      <c r="EL83" s="21"/>
      <c r="EM83" s="128"/>
      <c r="EN83" s="54"/>
      <c r="EO83" s="64"/>
      <c r="EP83" s="69"/>
      <c r="ER83" s="21"/>
      <c r="ES83" s="128"/>
      <c r="ET83" s="54"/>
      <c r="EU83" s="64"/>
      <c r="EV83" s="69"/>
      <c r="EY83" s="128"/>
      <c r="EZ83" s="54"/>
      <c r="FA83" s="64"/>
      <c r="FB83" s="69"/>
      <c r="FE83" s="128"/>
      <c r="FF83" s="54"/>
      <c r="FG83" s="64"/>
      <c r="FH83" s="69"/>
      <c r="FJ83" s="21"/>
      <c r="FK83" s="128"/>
      <c r="FL83" s="54"/>
      <c r="FM83" s="64"/>
      <c r="FN83" s="69"/>
      <c r="FO83" s="128"/>
      <c r="FP83" s="54"/>
      <c r="FQ83" s="64"/>
      <c r="FR83" s="69"/>
      <c r="FT83" s="21"/>
      <c r="FU83" s="128"/>
      <c r="FV83" s="54"/>
      <c r="FW83" s="64"/>
      <c r="FX83" s="144"/>
      <c r="FZ83" s="21"/>
      <c r="GA83" s="128"/>
      <c r="GB83" s="54"/>
      <c r="GC83" s="64"/>
      <c r="GD83" s="69"/>
      <c r="GF83" s="21"/>
      <c r="GG83" s="128"/>
      <c r="GH83" s="54"/>
      <c r="GI83" s="64"/>
      <c r="GJ83" s="69"/>
      <c r="GK83" s="124"/>
      <c r="GL83" s="21"/>
      <c r="GM83" s="128"/>
      <c r="GN83" s="54"/>
      <c r="GO83" s="64"/>
      <c r="GP83" s="69"/>
      <c r="GR83" s="21"/>
      <c r="GS83" s="128"/>
      <c r="GT83" s="54"/>
      <c r="GU83" s="64"/>
      <c r="GV83" s="69"/>
      <c r="GX83" s="21"/>
      <c r="GY83" s="128"/>
      <c r="GZ83" s="54"/>
      <c r="HA83" s="64"/>
      <c r="HB83" s="69"/>
      <c r="HC83" s="124"/>
      <c r="HD83" s="21"/>
      <c r="HE83" s="128"/>
      <c r="HF83" s="54"/>
      <c r="HG83" s="64"/>
      <c r="HH83" s="69"/>
      <c r="HJ83" s="21"/>
      <c r="HK83" s="128"/>
      <c r="HL83" s="54"/>
      <c r="HM83" s="64"/>
      <c r="HN83" s="69"/>
      <c r="HP83" s="21"/>
      <c r="HQ83" s="128"/>
      <c r="HR83" s="54"/>
      <c r="HS83" s="64"/>
      <c r="HT83" s="69"/>
      <c r="HU83" s="124"/>
      <c r="HV83" s="21"/>
      <c r="HW83" s="128"/>
      <c r="HX83" s="54"/>
      <c r="HY83" s="64"/>
      <c r="HZ83" s="69"/>
      <c r="IB83" s="21"/>
      <c r="IC83" s="128"/>
      <c r="ID83" s="54"/>
      <c r="IE83" s="64"/>
      <c r="IF83" s="69"/>
      <c r="IH83" s="21"/>
      <c r="II83" s="124"/>
      <c r="IJ83" s="21"/>
      <c r="IK83" s="128"/>
      <c r="IL83" s="54"/>
      <c r="IM83" s="64"/>
      <c r="IN83" s="69"/>
      <c r="IP83" s="21"/>
      <c r="IQ83" s="128"/>
      <c r="IR83" s="54"/>
      <c r="IS83" s="64">
        <v>1</v>
      </c>
      <c r="IT83" s="69"/>
      <c r="IV83" s="21"/>
      <c r="IW83" s="128"/>
      <c r="IX83" s="54"/>
      <c r="IY83" s="64"/>
      <c r="IZ83" s="69"/>
      <c r="JB83" s="21"/>
      <c r="JC83" s="128"/>
      <c r="JD83" s="54"/>
      <c r="JE83" s="64"/>
      <c r="JF83" s="69"/>
      <c r="JH83" s="21"/>
      <c r="JI83" s="128"/>
      <c r="JJ83" s="54"/>
      <c r="JK83" s="64"/>
      <c r="JL83" s="69"/>
      <c r="JM83" s="124"/>
      <c r="JN83" s="21"/>
      <c r="JO83" s="128"/>
      <c r="JP83" s="54"/>
      <c r="JQ83" s="64"/>
      <c r="JR83" s="69"/>
      <c r="JT83" s="21"/>
      <c r="JU83" s="128"/>
      <c r="JV83" s="54"/>
      <c r="JW83" s="64"/>
      <c r="JX83" s="69"/>
      <c r="JZ83" s="21"/>
      <c r="KA83" s="128"/>
      <c r="KB83" s="54"/>
      <c r="KC83" s="64"/>
      <c r="KD83" s="69"/>
      <c r="KF83" s="38"/>
      <c r="KG83" s="35"/>
      <c r="KI83" s="54"/>
      <c r="KJ83" s="64"/>
      <c r="KK83" s="69"/>
      <c r="KL83" s="126"/>
      <c r="KM83" s="127"/>
      <c r="KO83" s="38"/>
      <c r="KP83" s="83"/>
      <c r="KQ83" s="158"/>
      <c r="KR83" s="174"/>
      <c r="KS83" s="38"/>
      <c r="KT83" s="35"/>
      <c r="KV83" s="54"/>
      <c r="KW83" s="64"/>
      <c r="KX83" s="69"/>
      <c r="KY83" s="126"/>
      <c r="KZ83" s="127"/>
      <c r="LB83" s="38"/>
      <c r="LC83" s="83"/>
      <c r="LD83" s="158"/>
      <c r="LE83" s="174"/>
      <c r="LF83" s="38"/>
      <c r="LG83" s="35"/>
      <c r="LI83" s="54"/>
      <c r="LJ83" s="64"/>
      <c r="LK83" s="69"/>
      <c r="LL83" s="126"/>
      <c r="LM83" s="127"/>
      <c r="LO83" s="38"/>
      <c r="LP83" s="83"/>
      <c r="LQ83" s="158"/>
      <c r="LR83" s="174"/>
      <c r="LS83" s="38"/>
      <c r="LT83" s="35"/>
      <c r="LV83" s="54"/>
      <c r="LW83" s="64"/>
      <c r="LX83" s="69"/>
      <c r="LY83" s="126"/>
      <c r="LZ83" s="127"/>
      <c r="MB83" s="38"/>
      <c r="MC83" s="83"/>
      <c r="MD83" s="158"/>
      <c r="ME83" s="174"/>
      <c r="MF83" s="38"/>
      <c r="MG83" s="35"/>
      <c r="MI83" s="54"/>
      <c r="MJ83" s="64"/>
      <c r="MK83" s="69"/>
      <c r="ML83" s="126"/>
      <c r="MM83" s="127"/>
      <c r="MO83" s="38"/>
      <c r="MP83" s="83"/>
      <c r="MQ83" s="158"/>
      <c r="MR83" s="174"/>
      <c r="MT83" s="4">
        <f t="shared" si="11"/>
        <v>1</v>
      </c>
    </row>
    <row r="84" spans="1:369" ht="87" customHeight="1" x14ac:dyDescent="0.15">
      <c r="A84" t="s">
        <v>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BA84" s="1"/>
      <c r="BB84" s="1"/>
      <c r="BC84" s="1"/>
      <c r="BD84" s="1"/>
      <c r="BE84" s="1"/>
      <c r="BF84" s="1"/>
      <c r="BG84" s="1"/>
      <c r="BO84" s="1"/>
      <c r="BP84" s="1"/>
      <c r="BT84" s="1"/>
      <c r="BU84" s="1"/>
      <c r="BW84" s="139" t="s">
        <v>107</v>
      </c>
      <c r="BX84" s="139"/>
      <c r="BY84" s="139"/>
      <c r="BZ84" s="139"/>
      <c r="CP84" s="140" t="s">
        <v>176</v>
      </c>
      <c r="DH84" s="140" t="s">
        <v>177</v>
      </c>
      <c r="DZ84" s="140" t="s">
        <v>178</v>
      </c>
      <c r="GG84" s="4"/>
      <c r="HP84" s="124" t="s">
        <v>179</v>
      </c>
      <c r="HQ84" s="124"/>
      <c r="HR84" s="124"/>
      <c r="HS84" s="124"/>
      <c r="HT84" s="124"/>
      <c r="IH84" s="124" t="s">
        <v>180</v>
      </c>
      <c r="IJ84" s="4"/>
      <c r="JH84" s="124" t="s">
        <v>181</v>
      </c>
      <c r="JI84" s="124"/>
      <c r="JJ84" s="124"/>
      <c r="JK84" s="124"/>
      <c r="JL84" s="124"/>
      <c r="MT84" s="4"/>
    </row>
    <row r="85" spans="1:369" x14ac:dyDescent="0.15">
      <c r="BQ85" s="1"/>
      <c r="BR85" s="1"/>
      <c r="BS85" s="1"/>
    </row>
    <row r="86" spans="1:369" x14ac:dyDescent="0.15">
      <c r="A86">
        <f>COUNTA(A6:A83)</f>
        <v>78</v>
      </c>
      <c r="AP86" t="s">
        <v>193</v>
      </c>
      <c r="CP86" t="s">
        <v>182</v>
      </c>
    </row>
    <row r="87" spans="1:369" x14ac:dyDescent="0.15">
      <c r="CP87" t="s">
        <v>183</v>
      </c>
    </row>
    <row r="88" spans="1:369" x14ac:dyDescent="0.15">
      <c r="CP88" t="s">
        <v>184</v>
      </c>
    </row>
    <row r="95" spans="1:369" x14ac:dyDescent="0.15">
      <c r="A95" s="3" t="s">
        <v>56</v>
      </c>
      <c r="B95" s="17"/>
      <c r="C95" s="21"/>
      <c r="D95" s="13"/>
      <c r="E95" s="54"/>
      <c r="F95" s="64"/>
      <c r="G95" s="69"/>
      <c r="H95" s="69"/>
      <c r="J95" s="21"/>
      <c r="K95" s="13"/>
      <c r="L95" s="54"/>
      <c r="M95" s="64">
        <v>1</v>
      </c>
      <c r="N95" s="69"/>
      <c r="O95" s="69"/>
      <c r="Q95" s="21"/>
      <c r="R95" s="13"/>
      <c r="S95" s="54"/>
      <c r="T95" s="64"/>
      <c r="U95" s="69"/>
      <c r="V95" s="69"/>
      <c r="X95" s="21"/>
      <c r="Y95" s="13"/>
      <c r="Z95" s="54"/>
      <c r="AA95" s="64"/>
      <c r="AB95" s="69"/>
      <c r="AC95" s="69"/>
      <c r="AE95" s="21"/>
      <c r="AF95" s="13"/>
      <c r="AG95" s="54"/>
      <c r="AH95" s="64">
        <v>1</v>
      </c>
      <c r="AI95" s="69"/>
      <c r="AJ95" s="69"/>
      <c r="AL95" s="21"/>
      <c r="AM95" s="13"/>
      <c r="AN95" s="54"/>
      <c r="AO95" s="64"/>
      <c r="AP95" s="69"/>
      <c r="AQ95" s="69"/>
      <c r="AS95" s="21"/>
      <c r="AT95" s="13"/>
      <c r="AU95" s="54"/>
      <c r="AV95" s="64"/>
      <c r="AW95" s="69"/>
      <c r="AX95" s="69"/>
      <c r="AZ95" s="21"/>
      <c r="BA95" s="13"/>
      <c r="BB95" s="54"/>
      <c r="BC95" s="64"/>
      <c r="BD95" s="69"/>
      <c r="BE95" s="69"/>
      <c r="BG95" s="21"/>
      <c r="BH95" s="13"/>
      <c r="BI95" s="54"/>
      <c r="BJ95" s="64"/>
      <c r="BK95" s="69"/>
      <c r="BL95" s="69"/>
      <c r="BN95" s="21"/>
      <c r="BO95" s="13"/>
      <c r="BP95" s="54"/>
      <c r="BQ95" s="64">
        <v>1</v>
      </c>
      <c r="BR95" s="69"/>
      <c r="BS95" s="69"/>
      <c r="BU95" s="21"/>
      <c r="BV95" s="13"/>
      <c r="BW95" s="54"/>
      <c r="BX95" s="64"/>
      <c r="BY95" s="69"/>
      <c r="BZ95" s="69"/>
      <c r="CB95" s="21"/>
      <c r="CC95" s="13"/>
      <c r="CD95" s="54"/>
      <c r="CE95" s="64"/>
      <c r="CF95" s="69"/>
      <c r="CG95" s="69"/>
      <c r="CI95" s="21"/>
      <c r="CJ95" s="13"/>
      <c r="CK95" s="54"/>
      <c r="CL95" s="64"/>
      <c r="CM95" s="69"/>
      <c r="CN95" s="69"/>
      <c r="CP95" s="21"/>
      <c r="CQ95" s="128"/>
      <c r="CR95" s="54"/>
      <c r="CS95" s="64"/>
      <c r="CT95" s="69"/>
      <c r="CV95" s="21"/>
      <c r="CW95" s="128"/>
      <c r="CX95" s="54"/>
      <c r="CY95" s="64"/>
      <c r="CZ95" s="69"/>
      <c r="DB95" s="21"/>
      <c r="DC95" s="128"/>
      <c r="DD95" s="54"/>
      <c r="DE95" s="64"/>
      <c r="DF95" s="69"/>
      <c r="DH95" s="21"/>
      <c r="DI95" s="128"/>
      <c r="DJ95" s="54"/>
      <c r="DK95" s="64"/>
      <c r="DL95" s="69"/>
      <c r="DN95" s="21"/>
      <c r="DO95" s="128"/>
      <c r="DP95" s="54"/>
      <c r="DQ95" s="64"/>
      <c r="DR95" s="69"/>
      <c r="DT95" s="21"/>
      <c r="DU95" s="128"/>
      <c r="DV95" s="54"/>
      <c r="DW95" s="64"/>
      <c r="DX95" s="69"/>
      <c r="DZ95" s="21"/>
      <c r="EA95" s="128"/>
      <c r="EB95" s="54"/>
      <c r="EC95" s="64"/>
      <c r="ED95" s="69"/>
      <c r="EF95" s="21"/>
      <c r="EG95" s="128"/>
      <c r="EH95" s="54"/>
      <c r="EI95" s="64"/>
      <c r="EJ95" s="69"/>
      <c r="EL95" s="21"/>
      <c r="EM95" s="128"/>
      <c r="EN95" s="54"/>
      <c r="EO95" s="64"/>
      <c r="EP95" s="69"/>
      <c r="ER95" s="21"/>
      <c r="ES95" s="128"/>
      <c r="ET95" s="54"/>
      <c r="EU95" s="64"/>
      <c r="EV95" s="69"/>
      <c r="EX95" s="21"/>
      <c r="EY95" s="128"/>
      <c r="EZ95" s="54"/>
      <c r="FA95" s="64"/>
      <c r="FB95" s="69"/>
      <c r="FD95" s="21"/>
      <c r="FE95" s="128"/>
      <c r="FF95" s="54"/>
      <c r="FG95" s="64"/>
      <c r="FH95" s="69"/>
      <c r="FJ95" s="21"/>
      <c r="FK95" s="128"/>
      <c r="FL95" s="54"/>
      <c r="FM95" s="64"/>
      <c r="FN95" s="69"/>
      <c r="FO95" s="128"/>
      <c r="FP95" s="54"/>
      <c r="FQ95" s="64"/>
      <c r="FR95" s="69"/>
      <c r="FT95" s="21"/>
      <c r="FU95" s="128"/>
      <c r="FV95" s="54"/>
      <c r="FW95" s="64"/>
      <c r="FX95" s="69"/>
      <c r="FZ95" s="21"/>
      <c r="GA95" s="128"/>
      <c r="GB95" s="54"/>
      <c r="GC95" s="64"/>
      <c r="GD95" s="69"/>
      <c r="GF95" s="21"/>
      <c r="GG95" s="38"/>
      <c r="GH95" s="54"/>
      <c r="GI95" s="64"/>
      <c r="GJ95" s="64"/>
      <c r="GL95" s="21"/>
      <c r="GM95" s="38"/>
      <c r="GN95" s="54"/>
      <c r="GO95" s="64"/>
      <c r="GP95" s="64"/>
      <c r="GR95" s="21"/>
      <c r="GS95" s="38"/>
      <c r="GT95" s="54"/>
      <c r="GU95" s="64"/>
      <c r="GV95" s="64"/>
      <c r="GX95" s="21"/>
      <c r="GY95" s="38"/>
      <c r="GZ95" s="54"/>
      <c r="HA95" s="64"/>
      <c r="HB95" s="64"/>
      <c r="HD95" s="21"/>
      <c r="HE95" s="38"/>
      <c r="HF95" s="54"/>
      <c r="HG95" s="64"/>
      <c r="HH95" s="64"/>
      <c r="HJ95" s="21"/>
      <c r="HK95" s="38"/>
      <c r="HL95" s="54"/>
      <c r="HM95" s="64"/>
      <c r="HN95" s="64"/>
      <c r="HP95" s="21"/>
      <c r="HQ95" s="38"/>
      <c r="HR95" s="54"/>
      <c r="HS95" s="64"/>
      <c r="HT95" s="64"/>
      <c r="HV95" s="21"/>
      <c r="HW95" s="38"/>
      <c r="HX95" s="54"/>
      <c r="HY95" s="64"/>
      <c r="HZ95" s="64"/>
      <c r="IB95" s="21"/>
      <c r="IC95" s="38"/>
      <c r="ID95" s="54"/>
      <c r="IE95" s="64"/>
      <c r="IF95" s="64"/>
      <c r="IH95" s="21"/>
      <c r="IJ95" s="21"/>
      <c r="IK95" s="38"/>
      <c r="IL95" s="54"/>
      <c r="IM95" s="64"/>
      <c r="IN95" s="64"/>
      <c r="IP95" s="21"/>
      <c r="IQ95" s="38"/>
      <c r="IR95" s="54"/>
      <c r="IS95" s="64"/>
      <c r="IT95" s="64"/>
      <c r="IV95" s="21"/>
      <c r="IW95" s="38"/>
      <c r="IX95" s="54"/>
      <c r="IY95" s="64"/>
      <c r="IZ95" s="64"/>
      <c r="JB95" s="21"/>
      <c r="JC95" s="38"/>
      <c r="JD95" s="54"/>
      <c r="JE95" s="64"/>
      <c r="JF95" s="64"/>
      <c r="JH95" s="21"/>
      <c r="JI95" s="38"/>
      <c r="JJ95" s="54"/>
      <c r="JK95" s="64"/>
      <c r="JL95" s="64"/>
      <c r="JN95" s="21"/>
      <c r="JO95" s="38"/>
      <c r="JP95" s="54"/>
      <c r="JQ95" s="64"/>
      <c r="JR95" s="64"/>
      <c r="JT95" s="21"/>
      <c r="JU95" s="38"/>
      <c r="JV95" s="54"/>
      <c r="JW95" s="64"/>
      <c r="JX95" s="64"/>
      <c r="JZ95" s="21"/>
      <c r="KA95" s="38"/>
      <c r="KB95" s="54"/>
      <c r="KC95" s="64"/>
      <c r="KD95" s="64"/>
      <c r="KF95" s="38"/>
      <c r="KG95" s="35"/>
      <c r="KI95" s="54"/>
      <c r="KJ95" s="64"/>
      <c r="KK95" s="69"/>
      <c r="KL95" s="72"/>
      <c r="KM95" s="127"/>
      <c r="KO95" s="38"/>
      <c r="KP95" s="83"/>
      <c r="KQ95" s="83"/>
      <c r="KR95" s="83"/>
      <c r="KS95" s="38"/>
      <c r="KT95" s="35"/>
      <c r="KV95" s="54"/>
      <c r="KW95" s="64"/>
      <c r="KX95" s="69"/>
      <c r="KY95" s="126"/>
      <c r="KZ95" s="127"/>
      <c r="LB95" s="38"/>
      <c r="LC95" s="83"/>
      <c r="LD95" s="83"/>
      <c r="LE95" s="83"/>
      <c r="LF95" s="38"/>
      <c r="LG95" s="35"/>
      <c r="LI95" s="54"/>
      <c r="LJ95" s="64"/>
      <c r="LK95" s="69"/>
      <c r="LL95" s="126"/>
      <c r="LM95" s="127"/>
      <c r="LO95" s="38"/>
      <c r="LP95" s="83"/>
      <c r="LQ95" s="83"/>
      <c r="LR95" s="83"/>
      <c r="LS95" s="38"/>
      <c r="LT95" s="35"/>
      <c r="LV95" s="54"/>
      <c r="LW95" s="64"/>
      <c r="LX95" s="69"/>
      <c r="LY95" s="126"/>
      <c r="LZ95" s="127"/>
      <c r="MB95" s="38"/>
      <c r="MC95" s="83"/>
      <c r="MD95" s="83"/>
      <c r="ME95" s="83"/>
      <c r="MF95" s="38"/>
      <c r="MG95" s="35"/>
      <c r="MI95" s="54"/>
      <c r="MJ95" s="64"/>
      <c r="MK95" s="69"/>
      <c r="ML95" s="126"/>
      <c r="MM95" s="127"/>
      <c r="MO95" s="38"/>
      <c r="MP95" s="83"/>
      <c r="MQ95" s="83"/>
      <c r="MR95" s="83"/>
      <c r="MT95" s="4">
        <f>COUNTA(B95:MI95)</f>
        <v>3</v>
      </c>
      <c r="NC95" s="21"/>
      <c r="ND95" s="128"/>
      <c r="NE95" s="54"/>
    </row>
    <row r="96" spans="1:369" x14ac:dyDescent="0.15">
      <c r="A96" s="5" t="s">
        <v>185</v>
      </c>
      <c r="B96" s="17"/>
      <c r="C96" s="21"/>
      <c r="D96" s="13"/>
      <c r="E96" s="54"/>
      <c r="F96" s="64"/>
      <c r="G96" s="69"/>
      <c r="H96" s="69"/>
      <c r="J96" s="21"/>
      <c r="K96" s="13"/>
      <c r="L96" s="54"/>
      <c r="M96" s="64"/>
      <c r="N96" s="69"/>
      <c r="O96" s="69"/>
      <c r="Q96" s="21"/>
      <c r="R96" s="13"/>
      <c r="S96" s="54"/>
      <c r="T96" s="64"/>
      <c r="U96" s="69"/>
      <c r="V96" s="69"/>
      <c r="X96" s="21"/>
      <c r="Y96" s="13"/>
      <c r="Z96" s="54"/>
      <c r="AA96" s="64"/>
      <c r="AB96" s="69"/>
      <c r="AC96" s="69"/>
      <c r="AE96" s="21"/>
      <c r="AF96" s="13"/>
      <c r="AG96" s="54"/>
      <c r="AH96" s="64"/>
      <c r="AI96" s="69"/>
      <c r="AJ96" s="69"/>
      <c r="AL96" s="21"/>
      <c r="AM96" s="13"/>
      <c r="AN96" s="54"/>
      <c r="AO96" s="64"/>
      <c r="AP96" s="69"/>
      <c r="AQ96" s="69"/>
      <c r="AS96" s="21"/>
      <c r="AT96" s="13"/>
      <c r="AU96" s="54"/>
      <c r="AV96" s="64"/>
      <c r="AW96" s="69"/>
      <c r="AX96" s="69"/>
      <c r="AZ96" s="21"/>
      <c r="BA96" s="13"/>
      <c r="BB96" s="54"/>
      <c r="BC96" s="64"/>
      <c r="BD96" s="69"/>
      <c r="BE96" s="69"/>
      <c r="BG96" s="21"/>
      <c r="BH96" s="13"/>
      <c r="BI96" s="54"/>
      <c r="BJ96" s="64"/>
      <c r="BK96" s="69"/>
      <c r="BL96" s="69"/>
      <c r="BN96" s="21"/>
      <c r="BO96" s="13"/>
      <c r="BP96" s="54"/>
      <c r="BQ96" s="64"/>
      <c r="BR96" s="69"/>
      <c r="BS96" s="69"/>
      <c r="BU96" s="21"/>
      <c r="BV96" s="13"/>
      <c r="BW96" s="54"/>
      <c r="BX96" s="64"/>
      <c r="BY96" s="69"/>
      <c r="BZ96" s="69"/>
      <c r="CB96" s="21"/>
      <c r="CC96" s="13"/>
      <c r="CD96" s="54"/>
      <c r="CE96" s="64"/>
      <c r="CF96" s="69"/>
      <c r="CG96" s="69"/>
      <c r="CI96" s="21"/>
      <c r="CJ96" s="13"/>
      <c r="CK96" s="54"/>
      <c r="CL96" s="64"/>
      <c r="CM96" s="69"/>
      <c r="CN96" s="69"/>
      <c r="CP96" s="21"/>
      <c r="CQ96" s="128"/>
      <c r="CR96" s="54"/>
      <c r="CS96" s="64"/>
      <c r="CT96" s="69"/>
      <c r="CV96" s="21"/>
      <c r="CW96" s="128"/>
      <c r="CX96" s="54"/>
      <c r="CY96" s="64"/>
      <c r="CZ96" s="69"/>
      <c r="DB96" s="21"/>
      <c r="DC96" s="128"/>
      <c r="DD96" s="54"/>
      <c r="DE96" s="64"/>
      <c r="DF96" s="69"/>
      <c r="DH96" s="21"/>
      <c r="DI96" s="128"/>
      <c r="DJ96" s="54"/>
      <c r="DK96" s="64"/>
      <c r="DL96" s="69"/>
      <c r="DN96" s="21"/>
      <c r="DO96" s="128"/>
      <c r="DP96" s="54"/>
      <c r="DQ96" s="64"/>
      <c r="DR96" s="69"/>
      <c r="DT96" s="21"/>
      <c r="DU96" s="128"/>
      <c r="DV96" s="54"/>
      <c r="DW96" s="64"/>
      <c r="DX96" s="69"/>
      <c r="DZ96" s="21"/>
      <c r="EA96" s="128"/>
      <c r="EB96" s="54"/>
      <c r="EC96" s="64"/>
      <c r="ED96" s="69"/>
      <c r="EF96" s="21"/>
      <c r="EG96" s="128"/>
      <c r="EH96" s="54"/>
      <c r="EI96" s="64"/>
      <c r="EJ96" s="69"/>
      <c r="EL96" s="21"/>
      <c r="EM96" s="128"/>
      <c r="EN96" s="54"/>
      <c r="EO96" s="64"/>
      <c r="EP96" s="69"/>
      <c r="ER96" s="21"/>
      <c r="ES96" s="128"/>
      <c r="ET96" s="54"/>
      <c r="EU96" s="64"/>
      <c r="EV96" s="69"/>
      <c r="EX96" s="21"/>
      <c r="EY96" s="128"/>
      <c r="EZ96" s="54"/>
      <c r="FA96" s="64"/>
      <c r="FB96" s="69"/>
      <c r="FD96" s="21"/>
      <c r="FE96" s="128"/>
      <c r="FF96" s="54"/>
      <c r="FG96" s="64"/>
      <c r="FH96" s="69"/>
      <c r="FJ96" s="21"/>
      <c r="FK96" s="128"/>
      <c r="FL96" s="54"/>
      <c r="FM96" s="64"/>
      <c r="FN96" s="69"/>
      <c r="FO96" s="128"/>
      <c r="FP96" s="54"/>
      <c r="FQ96" s="64"/>
      <c r="FR96" s="69"/>
      <c r="FT96" s="21"/>
      <c r="FU96" s="128"/>
      <c r="FV96" s="54"/>
      <c r="FW96" s="64"/>
      <c r="FX96" s="69"/>
      <c r="FZ96" s="21"/>
      <c r="GA96" s="128"/>
      <c r="GB96" s="54"/>
      <c r="GC96" s="64"/>
      <c r="GD96" s="69"/>
      <c r="GF96" s="21"/>
      <c r="GG96" s="38"/>
      <c r="GH96" s="54"/>
      <c r="GI96" s="64"/>
      <c r="GJ96" s="64"/>
      <c r="GL96" s="21"/>
      <c r="GM96" s="38"/>
      <c r="GN96" s="54"/>
      <c r="GO96" s="64"/>
      <c r="GP96" s="64"/>
      <c r="GR96" s="21"/>
      <c r="GS96" s="38"/>
      <c r="GT96" s="54"/>
      <c r="GU96" s="64"/>
      <c r="GV96" s="64"/>
      <c r="GX96" s="21"/>
      <c r="GY96" s="38"/>
      <c r="GZ96" s="54"/>
      <c r="HA96" s="64"/>
      <c r="HB96" s="64"/>
      <c r="HD96" s="21"/>
      <c r="HE96" s="38"/>
      <c r="HF96" s="54"/>
      <c r="HG96" s="64"/>
      <c r="HH96" s="64"/>
      <c r="HJ96" s="21"/>
      <c r="HK96" s="38"/>
      <c r="HL96" s="54"/>
      <c r="HM96" s="64"/>
      <c r="HN96" s="64"/>
      <c r="HP96" s="21"/>
      <c r="HQ96" s="38"/>
      <c r="HR96" s="54"/>
      <c r="HS96" s="64"/>
      <c r="HT96" s="64"/>
      <c r="HV96" s="21"/>
      <c r="HW96" s="38"/>
      <c r="HX96" s="54"/>
      <c r="HY96" s="64"/>
      <c r="HZ96" s="64"/>
      <c r="IB96" s="21"/>
      <c r="IC96" s="38"/>
      <c r="ID96" s="54"/>
      <c r="IE96" s="64"/>
      <c r="IF96" s="64"/>
      <c r="IH96" s="21"/>
      <c r="IJ96" s="21"/>
      <c r="IK96" s="38"/>
      <c r="IL96" s="54"/>
      <c r="IM96" s="64"/>
      <c r="IN96" s="64"/>
      <c r="IP96" s="21"/>
      <c r="IQ96" s="38"/>
      <c r="IR96" s="54"/>
      <c r="IS96" s="64"/>
      <c r="IT96" s="64"/>
      <c r="IV96" s="21"/>
      <c r="IW96" s="38"/>
      <c r="IX96" s="54"/>
      <c r="IY96" s="64"/>
      <c r="IZ96" s="64"/>
      <c r="JB96" s="21"/>
      <c r="JC96" s="38"/>
      <c r="JD96" s="54"/>
      <c r="JE96" s="64"/>
      <c r="JF96" s="64"/>
      <c r="JH96" s="21"/>
      <c r="JI96" s="38"/>
      <c r="JJ96" s="54"/>
      <c r="JK96" s="64"/>
      <c r="JL96" s="64"/>
      <c r="JN96" s="21"/>
      <c r="JO96" s="38"/>
      <c r="JP96" s="54"/>
      <c r="JQ96" s="64"/>
      <c r="JR96" s="64"/>
      <c r="JT96" s="21"/>
      <c r="JU96" s="38"/>
      <c r="JV96" s="54"/>
      <c r="JW96" s="64"/>
      <c r="JX96" s="64"/>
      <c r="JZ96" s="21"/>
      <c r="KA96" s="38"/>
      <c r="KB96" s="54"/>
      <c r="KC96" s="64"/>
      <c r="KD96" s="64"/>
      <c r="KE96" s="4"/>
      <c r="KF96" s="38"/>
      <c r="KG96" s="35"/>
      <c r="KI96" s="54"/>
      <c r="KJ96" s="64"/>
      <c r="KK96" s="69"/>
      <c r="KL96" s="72"/>
      <c r="KM96" s="127"/>
      <c r="KO96" s="38"/>
      <c r="KP96" s="83"/>
      <c r="KQ96" s="83"/>
      <c r="KR96" s="83"/>
      <c r="KS96" s="38"/>
      <c r="KT96" s="35"/>
      <c r="KV96" s="54"/>
      <c r="KW96" s="64"/>
      <c r="KX96" s="69"/>
      <c r="KY96" s="126"/>
      <c r="KZ96" s="127"/>
      <c r="LB96" s="38"/>
      <c r="LC96" s="83"/>
      <c r="LD96" s="83"/>
      <c r="LE96" s="83"/>
      <c r="LF96" s="38"/>
      <c r="LG96" s="35"/>
      <c r="LI96" s="54"/>
      <c r="LJ96" s="64"/>
      <c r="LK96" s="69"/>
      <c r="LL96" s="126"/>
      <c r="LM96" s="127"/>
      <c r="LO96" s="38"/>
      <c r="LP96" s="83"/>
      <c r="LQ96" s="83"/>
      <c r="LR96" s="83"/>
      <c r="LS96" s="38"/>
      <c r="LT96" s="35"/>
      <c r="LV96" s="54"/>
      <c r="LW96" s="64"/>
      <c r="LX96" s="69"/>
      <c r="LY96" s="126"/>
      <c r="LZ96" s="127"/>
      <c r="MB96" s="38"/>
      <c r="MC96" s="83"/>
      <c r="MD96" s="83"/>
      <c r="ME96" s="83"/>
      <c r="MF96" s="38"/>
      <c r="MG96" s="35"/>
      <c r="MI96" s="54"/>
      <c r="MJ96" s="64"/>
      <c r="MK96" s="69"/>
      <c r="ML96" s="126"/>
      <c r="MM96" s="127"/>
      <c r="MO96" s="38"/>
      <c r="MP96" s="83"/>
      <c r="MQ96" s="83"/>
      <c r="MR96" s="83"/>
      <c r="MS96" s="4"/>
      <c r="MT96">
        <f>COUNTA(KE96:MF96)</f>
        <v>0</v>
      </c>
      <c r="NC96" s="21"/>
      <c r="ND96" s="128"/>
      <c r="NE96" s="54"/>
    </row>
    <row r="97" spans="1:369" s="4" customFormat="1" x14ac:dyDescent="0.15">
      <c r="A97" s="7" t="s">
        <v>47</v>
      </c>
      <c r="B97" s="114"/>
      <c r="C97" s="115"/>
      <c r="D97" s="141"/>
      <c r="E97" s="112"/>
      <c r="F97" s="113"/>
      <c r="G97" s="145"/>
      <c r="H97" s="145"/>
      <c r="I97" s="114"/>
      <c r="J97" s="115"/>
      <c r="K97" s="141"/>
      <c r="L97" s="112"/>
      <c r="M97" s="113"/>
      <c r="N97" s="145"/>
      <c r="O97" s="145"/>
      <c r="P97" s="114"/>
      <c r="Q97" s="115"/>
      <c r="R97" s="141"/>
      <c r="S97" s="112"/>
      <c r="T97" s="113"/>
      <c r="U97" s="145"/>
      <c r="V97" s="145"/>
      <c r="W97" s="114"/>
      <c r="X97" s="115"/>
      <c r="Y97" s="141"/>
      <c r="Z97" s="112"/>
      <c r="AA97" s="113"/>
      <c r="AB97" s="145"/>
      <c r="AC97" s="145"/>
      <c r="AD97" s="114"/>
      <c r="AE97" s="115"/>
      <c r="AF97" s="141"/>
      <c r="AG97" s="112"/>
      <c r="AH97" s="113"/>
      <c r="AI97" s="145"/>
      <c r="AJ97" s="145"/>
      <c r="AK97" s="114"/>
      <c r="AL97" s="115"/>
      <c r="AM97" s="141"/>
      <c r="AN97" s="112"/>
      <c r="AO97" s="113"/>
      <c r="AP97" s="145"/>
      <c r="AQ97" s="145"/>
      <c r="AR97" s="114"/>
      <c r="AS97" s="115"/>
      <c r="AT97" s="141"/>
      <c r="AU97" s="112"/>
      <c r="AV97" s="113"/>
      <c r="AW97" s="145"/>
      <c r="AX97" s="145"/>
      <c r="AY97" s="114"/>
      <c r="AZ97" s="115"/>
      <c r="BA97" s="141"/>
      <c r="BB97" s="112"/>
      <c r="BC97" s="113"/>
      <c r="BD97" s="145"/>
      <c r="BE97" s="145"/>
      <c r="BF97" s="114"/>
      <c r="BG97" s="115"/>
      <c r="BH97" s="141"/>
      <c r="BI97" s="112"/>
      <c r="BJ97" s="113"/>
      <c r="BK97" s="145"/>
      <c r="BL97" s="145"/>
      <c r="BM97" s="114"/>
      <c r="BN97" s="115"/>
      <c r="BO97" s="141"/>
      <c r="BP97" s="112"/>
      <c r="BQ97" s="64"/>
      <c r="BR97" s="69"/>
      <c r="BS97" s="69"/>
      <c r="BT97" s="114"/>
      <c r="BU97" s="115"/>
      <c r="BV97" s="141"/>
      <c r="BW97" s="112"/>
      <c r="BX97" s="113"/>
      <c r="BY97" s="145"/>
      <c r="BZ97" s="145"/>
      <c r="CA97" s="114"/>
      <c r="CB97" s="115"/>
      <c r="CC97" s="141"/>
      <c r="CD97" s="112"/>
      <c r="CE97" s="113"/>
      <c r="CF97" s="145"/>
      <c r="CG97" s="145"/>
      <c r="CH97" s="114"/>
      <c r="CI97" s="115"/>
      <c r="CJ97" s="141"/>
      <c r="CK97" s="112"/>
      <c r="CL97" s="113"/>
      <c r="CM97" s="145"/>
      <c r="CN97" s="145"/>
      <c r="CO97"/>
      <c r="CP97" s="21"/>
      <c r="CQ97" s="128"/>
      <c r="CR97" s="54"/>
      <c r="CS97" s="64"/>
      <c r="CT97" s="69"/>
      <c r="CU97"/>
      <c r="CV97" s="21"/>
      <c r="CW97" s="128"/>
      <c r="CX97" s="54"/>
      <c r="CY97" s="64"/>
      <c r="CZ97" s="69"/>
      <c r="DA97"/>
      <c r="DB97" s="21"/>
      <c r="DC97" s="128"/>
      <c r="DD97" s="54"/>
      <c r="DE97" s="64"/>
      <c r="DF97" s="69"/>
      <c r="DG97"/>
      <c r="DH97" s="21"/>
      <c r="DI97" s="128"/>
      <c r="DJ97" s="54"/>
      <c r="DK97" s="64"/>
      <c r="DL97" s="69"/>
      <c r="DM97"/>
      <c r="DN97" s="21"/>
      <c r="DO97" s="128"/>
      <c r="DP97" s="54"/>
      <c r="DQ97" s="64"/>
      <c r="DR97" s="69"/>
      <c r="DS97"/>
      <c r="DT97" s="21"/>
      <c r="DU97" s="128"/>
      <c r="DV97" s="54"/>
      <c r="DW97" s="64"/>
      <c r="DX97" s="69"/>
      <c r="DY97"/>
      <c r="DZ97" s="21"/>
      <c r="EA97" s="128"/>
      <c r="EB97" s="54"/>
      <c r="EC97" s="64"/>
      <c r="ED97" s="69"/>
      <c r="EE97"/>
      <c r="EF97" s="21"/>
      <c r="EG97" s="128"/>
      <c r="EH97" s="54"/>
      <c r="EI97" s="64"/>
      <c r="EJ97" s="69"/>
      <c r="EK97"/>
      <c r="EL97" s="21"/>
      <c r="EM97" s="128"/>
      <c r="EN97" s="54"/>
      <c r="EO97" s="64"/>
      <c r="EP97" s="69"/>
      <c r="EQ97"/>
      <c r="ER97" s="21"/>
      <c r="ES97" s="128"/>
      <c r="ET97" s="54"/>
      <c r="EU97" s="64"/>
      <c r="EV97" s="69"/>
      <c r="EW97"/>
      <c r="EX97" s="21"/>
      <c r="EY97" s="128"/>
      <c r="EZ97" s="54"/>
      <c r="FA97" s="64"/>
      <c r="FB97" s="69"/>
      <c r="FC97"/>
      <c r="FD97" s="21"/>
      <c r="FE97" s="128"/>
      <c r="FF97" s="54"/>
      <c r="FG97" s="64"/>
      <c r="FH97" s="69"/>
      <c r="FI97"/>
      <c r="FJ97" s="21"/>
      <c r="FK97" s="128"/>
      <c r="FL97" s="54"/>
      <c r="FM97" s="64"/>
      <c r="FN97" s="69"/>
      <c r="FO97" s="128"/>
      <c r="FP97" s="54"/>
      <c r="FQ97" s="64"/>
      <c r="FR97" s="69"/>
      <c r="FS97"/>
      <c r="FT97" s="21"/>
      <c r="FU97" s="128"/>
      <c r="FV97" s="54"/>
      <c r="FW97" s="64"/>
      <c r="FX97" s="69"/>
      <c r="FY97"/>
      <c r="FZ97" s="21"/>
      <c r="GA97" s="128"/>
      <c r="GB97" s="54"/>
      <c r="GC97" s="64"/>
      <c r="GD97" s="69"/>
      <c r="GE97"/>
      <c r="GF97" s="21"/>
      <c r="GG97" s="38"/>
      <c r="GH97" s="54"/>
      <c r="GI97" s="64"/>
      <c r="GJ97" s="64"/>
      <c r="GK97"/>
      <c r="GL97" s="21"/>
      <c r="GM97" s="38"/>
      <c r="GN97" s="54"/>
      <c r="GO97" s="64"/>
      <c r="GP97" s="64"/>
      <c r="GQ97"/>
      <c r="GR97" s="21"/>
      <c r="GS97" s="38"/>
      <c r="GT97" s="54"/>
      <c r="GU97" s="64"/>
      <c r="GV97" s="64"/>
      <c r="GW97"/>
      <c r="GX97" s="21"/>
      <c r="GY97" s="38"/>
      <c r="GZ97" s="54"/>
      <c r="HA97" s="64"/>
      <c r="HB97" s="64"/>
      <c r="HC97"/>
      <c r="HD97" s="21"/>
      <c r="HE97" s="38"/>
      <c r="HF97" s="54"/>
      <c r="HG97" s="64"/>
      <c r="HH97" s="64"/>
      <c r="HI97"/>
      <c r="HJ97" s="21"/>
      <c r="HK97" s="38"/>
      <c r="HL97" s="54"/>
      <c r="HM97" s="64"/>
      <c r="HN97" s="64"/>
      <c r="HO97"/>
      <c r="HP97" s="21"/>
      <c r="HQ97" s="38"/>
      <c r="HR97" s="54"/>
      <c r="HS97" s="64"/>
      <c r="HT97" s="64"/>
      <c r="HU97"/>
      <c r="HV97" s="21"/>
      <c r="HW97" s="38"/>
      <c r="HX97" s="54"/>
      <c r="HY97" s="64"/>
      <c r="HZ97" s="64"/>
      <c r="IA97"/>
      <c r="IB97" s="21"/>
      <c r="IC97" s="38"/>
      <c r="ID97" s="54"/>
      <c r="IE97" s="64"/>
      <c r="IF97" s="64"/>
      <c r="IG97"/>
      <c r="IH97" s="21"/>
      <c r="II97"/>
      <c r="IJ97" s="21"/>
      <c r="IK97" s="38"/>
      <c r="IL97" s="54"/>
      <c r="IM97" s="64"/>
      <c r="IN97" s="64"/>
      <c r="IO97"/>
      <c r="IP97" s="21"/>
      <c r="IQ97" s="38"/>
      <c r="IR97" s="54"/>
      <c r="IS97" s="64"/>
      <c r="IT97" s="64"/>
      <c r="IU97"/>
      <c r="IV97" s="21"/>
      <c r="IW97" s="38"/>
      <c r="IX97" s="54"/>
      <c r="IY97" s="64"/>
      <c r="IZ97" s="64"/>
      <c r="JA97"/>
      <c r="JB97" s="21"/>
      <c r="JC97" s="38"/>
      <c r="JD97" s="54"/>
      <c r="JE97" s="64"/>
      <c r="JF97" s="64"/>
      <c r="JG97"/>
      <c r="JH97" s="21"/>
      <c r="JI97" s="38"/>
      <c r="JJ97" s="54"/>
      <c r="JK97" s="64"/>
      <c r="JL97" s="64"/>
      <c r="JM97"/>
      <c r="JN97" s="21"/>
      <c r="JO97" s="38"/>
      <c r="JP97" s="54"/>
      <c r="JQ97" s="64"/>
      <c r="JR97" s="64"/>
      <c r="JS97"/>
      <c r="JT97" s="21"/>
      <c r="JU97" s="38"/>
      <c r="JV97" s="54"/>
      <c r="JW97" s="64"/>
      <c r="JX97" s="64"/>
      <c r="JY97"/>
      <c r="JZ97" s="21"/>
      <c r="KA97" s="38"/>
      <c r="KB97" s="54"/>
      <c r="KC97" s="64"/>
      <c r="KD97" s="64"/>
      <c r="KF97" s="38"/>
      <c r="KG97" s="35"/>
      <c r="KI97" s="54"/>
      <c r="KJ97" s="64"/>
      <c r="KK97" s="69"/>
      <c r="KL97" s="72"/>
      <c r="KM97" s="127"/>
      <c r="KO97" s="38"/>
      <c r="KP97" s="83"/>
      <c r="KQ97" s="83"/>
      <c r="KR97" s="83"/>
      <c r="KS97" s="38"/>
      <c r="KT97" s="35"/>
      <c r="KV97" s="54"/>
      <c r="KW97" s="64"/>
      <c r="KX97" s="69"/>
      <c r="KY97" s="126"/>
      <c r="KZ97" s="127"/>
      <c r="LB97" s="38"/>
      <c r="LC97" s="83"/>
      <c r="LD97" s="83"/>
      <c r="LE97" s="83"/>
      <c r="LF97" s="38"/>
      <c r="LG97" s="35"/>
      <c r="LI97" s="54"/>
      <c r="LJ97" s="64"/>
      <c r="LK97" s="69"/>
      <c r="LL97" s="126"/>
      <c r="LM97" s="127"/>
      <c r="LO97" s="38"/>
      <c r="LP97" s="83"/>
      <c r="LQ97" s="83"/>
      <c r="LR97" s="83"/>
      <c r="LS97" s="38"/>
      <c r="LT97" s="35"/>
      <c r="LV97" s="54"/>
      <c r="LW97" s="64"/>
      <c r="LX97" s="69"/>
      <c r="LY97" s="126"/>
      <c r="LZ97" s="127"/>
      <c r="MB97" s="38"/>
      <c r="MC97" s="83"/>
      <c r="MD97" s="83"/>
      <c r="ME97" s="83"/>
      <c r="MF97" s="38"/>
      <c r="MG97" s="35"/>
      <c r="MI97" s="54"/>
      <c r="MJ97" s="64"/>
      <c r="MK97" s="69"/>
      <c r="ML97" s="126"/>
      <c r="MM97" s="127"/>
      <c r="MO97" s="38"/>
      <c r="MP97" s="83"/>
      <c r="MQ97" s="83"/>
      <c r="MR97" s="83"/>
      <c r="MT97" s="4">
        <f>COUNTA(KE97:MF97)</f>
        <v>0</v>
      </c>
      <c r="NB97"/>
      <c r="NC97" s="21"/>
      <c r="ND97" s="128"/>
      <c r="NE97" s="54"/>
    </row>
    <row r="98" spans="1:369" x14ac:dyDescent="0.15">
      <c r="A98" s="39" t="s">
        <v>29</v>
      </c>
      <c r="C98" s="21"/>
      <c r="D98" s="13"/>
      <c r="E98" s="54"/>
      <c r="F98" s="64"/>
      <c r="G98" s="69"/>
      <c r="H98" s="69"/>
      <c r="J98" s="21"/>
      <c r="K98" s="13"/>
      <c r="L98" s="54"/>
      <c r="M98" s="64"/>
      <c r="N98" s="69"/>
      <c r="O98" s="69"/>
      <c r="Q98" s="21"/>
      <c r="R98" s="13"/>
      <c r="S98" s="54"/>
      <c r="T98" s="64"/>
      <c r="U98" s="69"/>
      <c r="V98" s="69"/>
      <c r="X98" s="21"/>
      <c r="Y98" s="13"/>
      <c r="Z98" s="54"/>
      <c r="AA98" s="64"/>
      <c r="AB98" s="69"/>
      <c r="AC98" s="69"/>
      <c r="AE98" s="21"/>
      <c r="AF98" s="13"/>
      <c r="AG98" s="54"/>
      <c r="AH98" s="64"/>
      <c r="AI98" s="69"/>
      <c r="AJ98" s="69"/>
      <c r="AK98">
        <v>1</v>
      </c>
      <c r="AL98" s="21">
        <v>1</v>
      </c>
      <c r="AM98" s="13"/>
      <c r="AN98" s="54"/>
      <c r="AO98" s="64"/>
      <c r="AP98" s="69"/>
      <c r="AQ98" s="69"/>
      <c r="AS98" s="21"/>
      <c r="AT98" s="13"/>
      <c r="AU98" s="54"/>
      <c r="AV98" s="64"/>
      <c r="AW98" s="69"/>
      <c r="AX98" s="69"/>
      <c r="AZ98" s="21"/>
      <c r="BA98" s="13"/>
      <c r="BB98" s="54"/>
      <c r="BC98" s="64"/>
      <c r="BD98" s="69"/>
      <c r="BE98" s="69"/>
      <c r="BG98" s="21"/>
      <c r="BH98" s="13"/>
      <c r="BI98" s="54"/>
      <c r="BJ98" s="64"/>
      <c r="BK98" s="69"/>
      <c r="BL98" s="69"/>
      <c r="BN98" s="21"/>
      <c r="BO98" s="13"/>
      <c r="BP98" s="54"/>
      <c r="BQ98" s="64"/>
      <c r="BR98" s="69"/>
      <c r="BS98" s="69"/>
      <c r="BU98" s="21"/>
      <c r="BV98" s="13"/>
      <c r="BW98" s="54"/>
      <c r="BX98" s="64"/>
      <c r="BY98" s="69"/>
      <c r="BZ98" s="69"/>
      <c r="CB98" s="21"/>
      <c r="CC98" s="13"/>
      <c r="CD98" s="54"/>
      <c r="CE98" s="64"/>
      <c r="CF98" s="69"/>
      <c r="CG98" s="69"/>
      <c r="CI98" s="21"/>
      <c r="CJ98" s="13"/>
      <c r="CK98" s="54"/>
      <c r="CL98" s="64"/>
      <c r="CM98" s="69"/>
      <c r="CN98" s="69"/>
      <c r="CP98" s="21"/>
      <c r="CQ98" s="128"/>
      <c r="CR98" s="54"/>
      <c r="CS98" s="64"/>
      <c r="CT98" s="69"/>
      <c r="CV98" s="21"/>
      <c r="CW98" s="128"/>
      <c r="CX98" s="54"/>
      <c r="CY98" s="64"/>
      <c r="CZ98" s="69"/>
      <c r="DB98" s="21"/>
      <c r="DC98" s="128"/>
      <c r="DD98" s="54"/>
      <c r="DE98" s="64"/>
      <c r="DF98" s="69"/>
      <c r="DH98" s="21"/>
      <c r="DI98" s="128"/>
      <c r="DJ98" s="54"/>
      <c r="DK98" s="64"/>
      <c r="DL98" s="69"/>
      <c r="DN98" s="21"/>
      <c r="DO98" s="128"/>
      <c r="DP98" s="54"/>
      <c r="DQ98" s="64"/>
      <c r="DR98" s="69"/>
      <c r="DT98" s="21"/>
      <c r="DU98" s="128"/>
      <c r="DV98" s="54"/>
      <c r="DW98" s="64"/>
      <c r="DX98" s="69"/>
      <c r="DZ98" s="21"/>
      <c r="EA98" s="128"/>
      <c r="EB98" s="54"/>
      <c r="EC98" s="64"/>
      <c r="ED98" s="69"/>
      <c r="EF98" s="21"/>
      <c r="EG98" s="128"/>
      <c r="EH98" s="54"/>
      <c r="EI98" s="64"/>
      <c r="EJ98" s="69"/>
      <c r="EL98" s="21"/>
      <c r="EM98" s="128"/>
      <c r="EN98" s="54"/>
      <c r="EO98" s="64"/>
      <c r="EP98" s="69"/>
      <c r="ER98" s="21"/>
      <c r="ES98" s="128"/>
      <c r="ET98" s="54"/>
      <c r="EU98" s="64"/>
      <c r="EV98" s="69"/>
      <c r="EX98" s="21"/>
      <c r="EY98" s="128"/>
      <c r="EZ98" s="54"/>
      <c r="FA98" s="64"/>
      <c r="FB98" s="69"/>
      <c r="FD98" s="21"/>
      <c r="FE98" s="128"/>
      <c r="FF98" s="54"/>
      <c r="FG98" s="64"/>
      <c r="FH98" s="69"/>
      <c r="FJ98" s="21"/>
      <c r="FK98" s="128"/>
      <c r="FL98" s="54"/>
      <c r="FM98" s="64"/>
      <c r="FN98" s="69"/>
      <c r="FO98" s="128"/>
      <c r="FP98" s="54"/>
      <c r="FQ98" s="64"/>
      <c r="FR98" s="69"/>
      <c r="FT98" s="21"/>
      <c r="FU98" s="128"/>
      <c r="FV98" s="54"/>
      <c r="FW98" s="64"/>
      <c r="FX98" s="69"/>
      <c r="FZ98" s="21"/>
      <c r="GA98" s="128"/>
      <c r="GB98" s="54"/>
      <c r="GC98" s="64"/>
      <c r="GD98" s="69"/>
      <c r="GF98" s="21"/>
      <c r="GG98" s="38"/>
      <c r="GH98" s="54"/>
      <c r="GI98" s="64"/>
      <c r="GJ98" s="64"/>
      <c r="GL98" s="21"/>
      <c r="GM98" s="38"/>
      <c r="GN98" s="54"/>
      <c r="GO98" s="64"/>
      <c r="GP98" s="64"/>
      <c r="GR98" s="21"/>
      <c r="GS98" s="38"/>
      <c r="GT98" s="54"/>
      <c r="GU98" s="64"/>
      <c r="GV98" s="64"/>
      <c r="GX98" s="21"/>
      <c r="GY98" s="38"/>
      <c r="GZ98" s="54"/>
      <c r="HA98" s="64"/>
      <c r="HB98" s="64"/>
      <c r="HD98" s="21"/>
      <c r="HE98" s="38"/>
      <c r="HF98" s="54"/>
      <c r="HG98" s="64"/>
      <c r="HH98" s="64"/>
      <c r="HJ98" s="21"/>
      <c r="HK98" s="38"/>
      <c r="HL98" s="54"/>
      <c r="HM98" s="64"/>
      <c r="HN98" s="64"/>
      <c r="HP98" s="21"/>
      <c r="HQ98" s="38"/>
      <c r="HR98" s="54"/>
      <c r="HS98" s="64"/>
      <c r="HT98" s="64"/>
      <c r="HV98" s="21"/>
      <c r="HW98" s="38"/>
      <c r="HX98" s="54"/>
      <c r="HY98" s="64"/>
      <c r="HZ98" s="64"/>
      <c r="IB98" s="21"/>
      <c r="IC98" s="38"/>
      <c r="ID98" s="54"/>
      <c r="IE98" s="64"/>
      <c r="IF98" s="64"/>
      <c r="IH98" s="21"/>
      <c r="IJ98" s="21"/>
      <c r="IK98" s="38"/>
      <c r="IL98" s="54"/>
      <c r="IM98" s="64"/>
      <c r="IN98" s="64"/>
      <c r="IP98" s="21"/>
      <c r="IQ98" s="38"/>
      <c r="IR98" s="54"/>
      <c r="IS98" s="64"/>
      <c r="IT98" s="64"/>
      <c r="IV98" s="21"/>
      <c r="IW98" s="38"/>
      <c r="IX98" s="54"/>
      <c r="IY98" s="64"/>
      <c r="IZ98" s="64"/>
      <c r="JB98" s="21"/>
      <c r="JC98" s="38"/>
      <c r="JD98" s="54"/>
      <c r="JE98" s="64"/>
      <c r="JF98" s="64"/>
      <c r="JH98" s="21"/>
      <c r="JI98" s="38"/>
      <c r="JJ98" s="54"/>
      <c r="JK98" s="64"/>
      <c r="JL98" s="64"/>
      <c r="JN98" s="21"/>
      <c r="JO98" s="38"/>
      <c r="JP98" s="54"/>
      <c r="JQ98" s="64"/>
      <c r="JR98" s="64"/>
      <c r="JT98" s="21"/>
      <c r="JU98" s="38"/>
      <c r="JV98" s="54"/>
      <c r="JW98" s="64"/>
      <c r="JX98" s="64"/>
      <c r="JZ98" s="21"/>
      <c r="KA98" s="38"/>
      <c r="KB98" s="54"/>
      <c r="KC98" s="64"/>
      <c r="KD98" s="64"/>
      <c r="KF98" s="38"/>
      <c r="KG98" s="35"/>
      <c r="KI98" s="54"/>
      <c r="KJ98" s="64"/>
      <c r="KK98" s="69"/>
      <c r="KL98" s="72"/>
      <c r="KM98" s="127"/>
      <c r="KO98" s="38"/>
      <c r="KP98" s="83"/>
      <c r="KQ98" s="83"/>
      <c r="KR98" s="83"/>
      <c r="KS98" s="38"/>
      <c r="KT98" s="35"/>
      <c r="KV98" s="54"/>
      <c r="KW98" s="64"/>
      <c r="KX98" s="69"/>
      <c r="KY98" s="126"/>
      <c r="KZ98" s="127"/>
      <c r="LB98" s="38"/>
      <c r="LC98" s="83"/>
      <c r="LD98" s="83"/>
      <c r="LE98" s="83"/>
      <c r="LF98" s="38"/>
      <c r="LG98" s="35"/>
      <c r="LI98" s="54"/>
      <c r="LJ98" s="64"/>
      <c r="LK98" s="69"/>
      <c r="LL98" s="126"/>
      <c r="LM98" s="127"/>
      <c r="LO98" s="38"/>
      <c r="LP98" s="83"/>
      <c r="LQ98" s="83"/>
      <c r="LR98" s="83"/>
      <c r="LS98" s="38"/>
      <c r="LT98" s="35"/>
      <c r="LV98" s="54"/>
      <c r="LW98" s="64"/>
      <c r="LX98" s="69"/>
      <c r="LY98" s="126"/>
      <c r="LZ98" s="127"/>
      <c r="MB98" s="38"/>
      <c r="MC98" s="83"/>
      <c r="MD98" s="83"/>
      <c r="ME98" s="83"/>
      <c r="MF98" s="38"/>
      <c r="MG98" s="35"/>
      <c r="MI98" s="54"/>
      <c r="MJ98" s="64"/>
      <c r="MK98" s="69"/>
      <c r="ML98" s="126"/>
      <c r="MM98" s="127"/>
      <c r="MO98" s="38"/>
      <c r="MP98" s="83"/>
      <c r="MQ98" s="83"/>
      <c r="MR98" s="83"/>
      <c r="MT98" s="4">
        <f>COUNTA(B98:MI98)</f>
        <v>2</v>
      </c>
      <c r="NC98" s="21"/>
      <c r="ND98" s="128"/>
      <c r="NE98" s="54"/>
    </row>
    <row r="99" spans="1:369" x14ac:dyDescent="0.15">
      <c r="A99" s="5" t="s">
        <v>106</v>
      </c>
      <c r="C99" s="21"/>
      <c r="D99" s="13"/>
      <c r="E99" s="54"/>
      <c r="F99" s="64"/>
      <c r="G99" s="69"/>
      <c r="H99" s="69"/>
      <c r="J99" s="21"/>
      <c r="K99" s="13"/>
      <c r="L99" s="54"/>
      <c r="M99" s="64"/>
      <c r="N99" s="69"/>
      <c r="O99" s="69"/>
      <c r="Q99" s="21"/>
      <c r="R99" s="13"/>
      <c r="S99" s="54"/>
      <c r="T99" s="64"/>
      <c r="U99" s="69"/>
      <c r="V99" s="69"/>
      <c r="X99" s="21"/>
      <c r="Y99" s="13"/>
      <c r="Z99" s="54"/>
      <c r="AA99" s="64"/>
      <c r="AB99" s="69"/>
      <c r="AC99" s="69"/>
      <c r="AE99" s="21"/>
      <c r="AF99" s="13"/>
      <c r="AG99" s="54"/>
      <c r="AH99" s="64"/>
      <c r="AI99" s="69"/>
      <c r="AJ99" s="69"/>
      <c r="AL99" s="21"/>
      <c r="AM99" s="13"/>
      <c r="AN99" s="54"/>
      <c r="AO99" s="64"/>
      <c r="AP99" s="69"/>
      <c r="AQ99" s="69"/>
      <c r="AS99" s="21"/>
      <c r="AT99" s="13"/>
      <c r="AU99" s="54"/>
      <c r="AV99" s="64"/>
      <c r="AW99" s="69"/>
      <c r="AX99" s="69"/>
      <c r="AZ99" s="21"/>
      <c r="BA99" s="13"/>
      <c r="BB99" s="54"/>
      <c r="BC99" s="64"/>
      <c r="BD99" s="69"/>
      <c r="BE99" s="69"/>
      <c r="BG99" s="21"/>
      <c r="BH99" s="13"/>
      <c r="BI99" s="54"/>
      <c r="BJ99" s="64"/>
      <c r="BK99" s="69"/>
      <c r="BL99" s="69"/>
      <c r="BN99" s="21"/>
      <c r="BO99" s="13"/>
      <c r="BP99" s="54"/>
      <c r="BQ99" s="64"/>
      <c r="BR99" s="69"/>
      <c r="BS99" s="69"/>
      <c r="BU99" s="21"/>
      <c r="BV99" s="13"/>
      <c r="BW99" s="54"/>
      <c r="BX99" s="64"/>
      <c r="BY99" s="69"/>
      <c r="BZ99" s="69"/>
      <c r="CB99" s="21"/>
      <c r="CC99" s="13"/>
      <c r="CD99" s="54"/>
      <c r="CE99" s="64"/>
      <c r="CF99" s="69"/>
      <c r="CG99" s="69"/>
      <c r="CI99" s="21"/>
      <c r="CJ99" s="13"/>
      <c r="CK99" s="54"/>
      <c r="CL99" s="64"/>
      <c r="CM99" s="69"/>
      <c r="CN99" s="69"/>
      <c r="CP99" s="21">
        <v>1</v>
      </c>
      <c r="CQ99" s="128">
        <v>1</v>
      </c>
      <c r="CR99" s="54">
        <v>1</v>
      </c>
      <c r="CS99" s="64"/>
      <c r="CT99" s="69"/>
      <c r="CV99" s="21">
        <v>2</v>
      </c>
      <c r="CW99" s="128"/>
      <c r="CX99" s="54">
        <v>2</v>
      </c>
      <c r="CY99" s="64"/>
      <c r="CZ99" s="69"/>
      <c r="DB99" s="21">
        <v>1</v>
      </c>
      <c r="DC99" s="128">
        <v>1</v>
      </c>
      <c r="DD99" s="54">
        <v>1</v>
      </c>
      <c r="DE99" s="64"/>
      <c r="DF99" s="69"/>
      <c r="DH99" s="21"/>
      <c r="DI99" s="128">
        <v>1</v>
      </c>
      <c r="DJ99" s="54">
        <v>2</v>
      </c>
      <c r="DK99" s="64"/>
      <c r="DL99" s="69"/>
      <c r="DN99" s="21">
        <v>1</v>
      </c>
      <c r="DO99" s="128">
        <v>1</v>
      </c>
      <c r="DP99" s="54">
        <v>1</v>
      </c>
      <c r="DQ99" s="64"/>
      <c r="DR99" s="69"/>
      <c r="DT99" s="21"/>
      <c r="DU99" s="128"/>
      <c r="DV99" s="54"/>
      <c r="DW99" s="64"/>
      <c r="DX99" s="69"/>
      <c r="DZ99" s="21"/>
      <c r="EA99" s="128">
        <v>1</v>
      </c>
      <c r="EB99" s="54"/>
      <c r="EC99" s="64"/>
      <c r="ED99" s="69"/>
      <c r="EF99" s="21"/>
      <c r="EG99" s="128"/>
      <c r="EH99" s="54"/>
      <c r="EI99" s="64"/>
      <c r="EJ99" s="69"/>
      <c r="EL99" s="21"/>
      <c r="EM99" s="128"/>
      <c r="EN99" s="54"/>
      <c r="EO99" s="64"/>
      <c r="EP99" s="69"/>
      <c r="ER99" s="21"/>
      <c r="ES99" s="128"/>
      <c r="ET99" s="54"/>
      <c r="EU99" s="64"/>
      <c r="EV99" s="69"/>
      <c r="EX99" s="21"/>
      <c r="EY99" s="128"/>
      <c r="EZ99" s="54"/>
      <c r="FA99" s="64"/>
      <c r="FB99" s="69"/>
      <c r="FD99" s="21"/>
      <c r="FE99" s="128">
        <v>1</v>
      </c>
      <c r="FF99" s="54"/>
      <c r="FG99" s="64"/>
      <c r="FH99" s="69"/>
      <c r="FJ99" s="21"/>
      <c r="FK99" s="128"/>
      <c r="FL99" s="54"/>
      <c r="FM99" s="64"/>
      <c r="FN99" s="69"/>
      <c r="FO99" s="128"/>
      <c r="FP99" s="54"/>
      <c r="FQ99" s="64"/>
      <c r="FR99" s="69"/>
      <c r="FT99" s="21"/>
      <c r="FU99" s="128"/>
      <c r="FV99" s="54"/>
      <c r="FW99" s="64"/>
      <c r="FX99" s="69"/>
      <c r="FZ99" s="21"/>
      <c r="GA99" s="128"/>
      <c r="GB99" s="54"/>
      <c r="GC99" s="64"/>
      <c r="GD99" s="69"/>
      <c r="GF99" s="120"/>
      <c r="GG99" s="38"/>
      <c r="GH99" s="54"/>
      <c r="GI99" s="64"/>
      <c r="GJ99" s="64"/>
      <c r="GK99" s="123"/>
      <c r="GL99" s="115"/>
      <c r="GM99" s="142"/>
      <c r="GN99" s="117"/>
      <c r="GO99" s="118"/>
      <c r="GP99" s="118"/>
      <c r="GQ99" s="114"/>
      <c r="GR99" s="115"/>
      <c r="GS99" s="142"/>
      <c r="GT99" s="117"/>
      <c r="GU99" s="118"/>
      <c r="GV99" s="118"/>
      <c r="GW99" s="114"/>
      <c r="GX99" s="115"/>
      <c r="GY99" s="143"/>
      <c r="GZ99" s="112"/>
      <c r="HA99" s="113"/>
      <c r="HB99" s="113"/>
      <c r="HC99" s="114"/>
      <c r="HD99" s="115"/>
      <c r="HE99" s="143"/>
      <c r="HF99" s="112"/>
      <c r="HG99" s="113"/>
      <c r="HH99" s="113"/>
      <c r="HI99" s="114"/>
      <c r="HJ99" s="115"/>
      <c r="HK99" s="143"/>
      <c r="HL99" s="112"/>
      <c r="HM99" s="113"/>
      <c r="HN99" s="113"/>
      <c r="HO99" s="114"/>
      <c r="HP99" s="115"/>
      <c r="HQ99" s="142">
        <v>1</v>
      </c>
      <c r="HR99" s="117"/>
      <c r="HS99" s="118"/>
      <c r="HT99" s="118"/>
      <c r="HU99" s="114"/>
      <c r="HV99" s="115"/>
      <c r="HW99" s="143"/>
      <c r="HX99" s="112"/>
      <c r="HY99" s="113"/>
      <c r="HZ99" s="113"/>
      <c r="IA99" s="114"/>
      <c r="IB99" s="115"/>
      <c r="IC99" s="143"/>
      <c r="ID99" s="112"/>
      <c r="IE99" s="113"/>
      <c r="IF99" s="113"/>
      <c r="IG99" s="114"/>
      <c r="IH99" s="115"/>
      <c r="II99" s="114"/>
      <c r="IJ99" s="115"/>
      <c r="IK99" s="143"/>
      <c r="IL99" s="112"/>
      <c r="IM99" s="113"/>
      <c r="IN99" s="113"/>
      <c r="IO99" s="114"/>
      <c r="IP99" s="115"/>
      <c r="IQ99" s="143"/>
      <c r="IR99" s="112"/>
      <c r="IS99" s="113"/>
      <c r="IT99" s="113"/>
      <c r="IU99" s="114"/>
      <c r="IV99" s="115"/>
      <c r="IW99" s="143"/>
      <c r="IX99" s="112"/>
      <c r="IY99" s="113"/>
      <c r="IZ99" s="113"/>
      <c r="JA99" s="114"/>
      <c r="JB99" s="115"/>
      <c r="JC99" s="143"/>
      <c r="JD99" s="112"/>
      <c r="JE99" s="113"/>
      <c r="JF99" s="113"/>
      <c r="JG99" s="114"/>
      <c r="JH99" s="115"/>
      <c r="JI99" s="143"/>
      <c r="JJ99" s="112"/>
      <c r="JK99" s="113"/>
      <c r="JL99" s="113"/>
      <c r="JM99" s="114"/>
      <c r="JN99" s="115"/>
      <c r="JO99" s="143"/>
      <c r="JP99" s="112"/>
      <c r="JQ99" s="113"/>
      <c r="JR99" s="113"/>
      <c r="JS99" s="114"/>
      <c r="JT99" s="115"/>
      <c r="JU99" s="143"/>
      <c r="JV99" s="112"/>
      <c r="JW99" s="113"/>
      <c r="JX99" s="113"/>
      <c r="JY99" s="114"/>
      <c r="JZ99" s="115"/>
      <c r="KA99" s="143"/>
      <c r="KB99" s="112"/>
      <c r="KC99" s="113"/>
      <c r="KD99" s="113"/>
      <c r="KE99" s="4"/>
      <c r="KF99" s="38"/>
      <c r="KG99" s="35"/>
      <c r="KI99" s="54"/>
      <c r="KJ99" s="64"/>
      <c r="KK99" s="69"/>
      <c r="KL99" s="72"/>
      <c r="KM99" s="127"/>
      <c r="KO99" s="38"/>
      <c r="KP99" s="83"/>
      <c r="KQ99" s="83"/>
      <c r="KR99" s="83"/>
      <c r="KS99" s="38"/>
      <c r="KT99" s="35"/>
      <c r="KV99" s="54"/>
      <c r="KW99" s="64"/>
      <c r="KX99" s="69"/>
      <c r="KY99" s="126"/>
      <c r="KZ99" s="127"/>
      <c r="LB99" s="38"/>
      <c r="LC99" s="83"/>
      <c r="LD99" s="83"/>
      <c r="LE99" s="83"/>
      <c r="LF99" s="38"/>
      <c r="LG99" s="35"/>
      <c r="LI99" s="54"/>
      <c r="LJ99" s="64"/>
      <c r="LK99" s="69"/>
      <c r="LL99" s="126"/>
      <c r="LM99" s="127"/>
      <c r="LO99" s="38"/>
      <c r="LP99" s="83"/>
      <c r="LQ99" s="83"/>
      <c r="LR99" s="83"/>
      <c r="LS99" s="38"/>
      <c r="LT99" s="35"/>
      <c r="LV99" s="54"/>
      <c r="LW99" s="64"/>
      <c r="LX99" s="69"/>
      <c r="LY99" s="126"/>
      <c r="LZ99" s="127"/>
      <c r="MB99" s="38"/>
      <c r="MC99" s="83"/>
      <c r="MD99" s="83"/>
      <c r="ME99" s="83"/>
      <c r="MF99" s="38"/>
      <c r="MG99" s="35"/>
      <c r="MI99" s="54"/>
      <c r="MJ99" s="64"/>
      <c r="MK99" s="69"/>
      <c r="ML99" s="126"/>
      <c r="MM99" s="127"/>
      <c r="MO99" s="38"/>
      <c r="MP99" s="83"/>
      <c r="MQ99" s="83"/>
      <c r="MR99" s="83"/>
      <c r="MS99" s="4"/>
      <c r="MT99" s="4">
        <f t="shared" ref="MT99:MT102" si="12">COUNTA(KE99:MI99)</f>
        <v>0</v>
      </c>
      <c r="NC99" s="21"/>
      <c r="ND99" s="128"/>
      <c r="NE99" s="54"/>
    </row>
    <row r="100" spans="1:369" x14ac:dyDescent="0.15">
      <c r="A100" s="7" t="s">
        <v>186</v>
      </c>
      <c r="B100" s="17"/>
      <c r="C100" s="21"/>
      <c r="D100" s="13"/>
      <c r="E100" s="54"/>
      <c r="F100" s="64"/>
      <c r="G100" s="69"/>
      <c r="H100" s="69"/>
      <c r="J100" s="21"/>
      <c r="K100" s="13">
        <v>1</v>
      </c>
      <c r="L100" s="54"/>
      <c r="M100" s="64"/>
      <c r="N100" s="69"/>
      <c r="O100" s="69"/>
      <c r="Q100" s="21"/>
      <c r="R100" s="13"/>
      <c r="S100" s="54"/>
      <c r="T100" s="64"/>
      <c r="U100" s="69"/>
      <c r="V100" s="69"/>
      <c r="X100" s="21"/>
      <c r="Y100" s="13">
        <v>1</v>
      </c>
      <c r="Z100" s="54"/>
      <c r="AA100" s="64"/>
      <c r="AB100" s="69"/>
      <c r="AC100" s="69"/>
      <c r="AE100" s="21"/>
      <c r="AF100" s="13">
        <v>1</v>
      </c>
      <c r="AG100" s="54"/>
      <c r="AH100" s="64"/>
      <c r="AI100" s="69"/>
      <c r="AJ100" s="69"/>
      <c r="AL100" s="21"/>
      <c r="AM100" s="13"/>
      <c r="AN100" s="54"/>
      <c r="AO100" s="64"/>
      <c r="AP100" s="69"/>
      <c r="AQ100" s="69"/>
      <c r="AS100" s="21"/>
      <c r="AT100" s="13"/>
      <c r="AU100" s="54"/>
      <c r="AV100" s="64"/>
      <c r="AW100" s="69"/>
      <c r="AX100" s="69"/>
      <c r="AZ100" s="21"/>
      <c r="BA100" s="13"/>
      <c r="BB100" s="54"/>
      <c r="BC100" s="64"/>
      <c r="BD100" s="69"/>
      <c r="BE100" s="69"/>
      <c r="BG100" s="21"/>
      <c r="BH100" s="13"/>
      <c r="BI100" s="54"/>
      <c r="BJ100" s="64"/>
      <c r="BK100" s="69"/>
      <c r="BL100" s="69"/>
      <c r="BN100" s="21"/>
      <c r="BO100" s="13"/>
      <c r="BP100" s="54"/>
      <c r="BQ100" s="64"/>
      <c r="BR100" s="69"/>
      <c r="BS100" s="69"/>
      <c r="BU100" s="21"/>
      <c r="BV100" s="13"/>
      <c r="BW100" s="54"/>
      <c r="BX100" s="64"/>
      <c r="BY100" s="69"/>
      <c r="BZ100" s="69"/>
      <c r="CB100" s="21"/>
      <c r="CC100" s="13"/>
      <c r="CD100" s="54"/>
      <c r="CE100" s="64"/>
      <c r="CF100" s="69"/>
      <c r="CG100" s="69"/>
      <c r="CI100" s="21"/>
      <c r="CJ100" s="13"/>
      <c r="CK100" s="54"/>
      <c r="CL100" s="64"/>
      <c r="CM100" s="69"/>
      <c r="CN100" s="69"/>
      <c r="CP100" s="21"/>
      <c r="CQ100" s="128"/>
      <c r="CR100" s="54"/>
      <c r="CS100" s="64"/>
      <c r="CT100" s="69"/>
      <c r="CV100" s="21"/>
      <c r="CW100" s="128"/>
      <c r="CX100" s="54"/>
      <c r="CY100" s="64"/>
      <c r="CZ100" s="69"/>
      <c r="DB100" s="21"/>
      <c r="DC100" s="128"/>
      <c r="DD100" s="54"/>
      <c r="DE100" s="64"/>
      <c r="DF100" s="69"/>
      <c r="DH100" s="21"/>
      <c r="DI100" s="128"/>
      <c r="DJ100" s="54"/>
      <c r="DK100" s="64"/>
      <c r="DL100" s="69"/>
      <c r="DN100" s="21"/>
      <c r="DO100" s="128"/>
      <c r="DP100" s="54"/>
      <c r="DQ100" s="64"/>
      <c r="DR100" s="69"/>
      <c r="DT100" s="21"/>
      <c r="DU100" s="128"/>
      <c r="DV100" s="54"/>
      <c r="DW100" s="64"/>
      <c r="DX100" s="69"/>
      <c r="DZ100" s="21"/>
      <c r="EA100" s="128"/>
      <c r="EB100" s="54"/>
      <c r="EC100" s="64"/>
      <c r="ED100" s="69"/>
      <c r="EF100" s="21"/>
      <c r="EG100" s="128"/>
      <c r="EH100" s="54"/>
      <c r="EI100" s="64"/>
      <c r="EJ100" s="69"/>
      <c r="EL100" s="21"/>
      <c r="EM100" s="128"/>
      <c r="EN100" s="54"/>
      <c r="EO100" s="64"/>
      <c r="EP100" s="69"/>
      <c r="ER100" s="21"/>
      <c r="ES100" s="128"/>
      <c r="ET100" s="54"/>
      <c r="EU100" s="64"/>
      <c r="EV100" s="69"/>
      <c r="EX100" s="21"/>
      <c r="EY100" s="128"/>
      <c r="EZ100" s="54"/>
      <c r="FA100" s="64"/>
      <c r="FB100" s="69"/>
      <c r="FD100" s="21"/>
      <c r="FE100" s="128"/>
      <c r="FF100" s="54"/>
      <c r="FG100" s="64"/>
      <c r="FH100" s="69"/>
      <c r="FJ100" s="21"/>
      <c r="FK100" s="128"/>
      <c r="FL100" s="54"/>
      <c r="FM100" s="64"/>
      <c r="FN100" s="69"/>
      <c r="FO100" s="128"/>
      <c r="FP100" s="54"/>
      <c r="FQ100" s="64"/>
      <c r="FR100" s="69"/>
      <c r="FT100" s="21"/>
      <c r="FU100" s="128"/>
      <c r="FV100" s="54"/>
      <c r="FW100" s="64"/>
      <c r="FX100" s="69"/>
      <c r="FZ100" s="21"/>
      <c r="GA100" s="128"/>
      <c r="GB100" s="54"/>
      <c r="GC100" s="64"/>
      <c r="GD100" s="69"/>
      <c r="GF100" s="21"/>
      <c r="GG100" s="38"/>
      <c r="GH100" s="54"/>
      <c r="GI100" s="64"/>
      <c r="GJ100" s="64"/>
      <c r="GL100" s="21"/>
      <c r="GM100" s="38"/>
      <c r="GN100" s="54"/>
      <c r="GO100" s="64"/>
      <c r="GP100" s="64"/>
      <c r="GR100" s="21"/>
      <c r="GS100" s="38"/>
      <c r="GT100" s="54"/>
      <c r="GU100" s="64"/>
      <c r="GV100" s="64"/>
      <c r="GX100" s="21"/>
      <c r="GY100" s="38"/>
      <c r="GZ100" s="54"/>
      <c r="HA100" s="64"/>
      <c r="HB100" s="64"/>
      <c r="HD100" s="21"/>
      <c r="HE100" s="38"/>
      <c r="HF100" s="54"/>
      <c r="HG100" s="64"/>
      <c r="HH100" s="64"/>
      <c r="HJ100" s="21"/>
      <c r="HK100" s="38"/>
      <c r="HL100" s="54"/>
      <c r="HM100" s="64"/>
      <c r="HN100" s="64"/>
      <c r="HP100" s="21"/>
      <c r="HQ100" s="38"/>
      <c r="HR100" s="54"/>
      <c r="HS100" s="64"/>
      <c r="HT100" s="64"/>
      <c r="HU100">
        <v>1</v>
      </c>
      <c r="HV100" s="21"/>
      <c r="HW100" s="38"/>
      <c r="HX100" s="54"/>
      <c r="HY100" s="64"/>
      <c r="HZ100" s="64"/>
      <c r="IB100" s="21"/>
      <c r="IC100" s="38"/>
      <c r="ID100" s="54"/>
      <c r="IE100" s="64"/>
      <c r="IF100" s="64"/>
      <c r="IH100" s="21"/>
      <c r="IJ100" s="21"/>
      <c r="IK100" s="38"/>
      <c r="IL100" s="54"/>
      <c r="IM100" s="64"/>
      <c r="IN100" s="64"/>
      <c r="IP100" s="21"/>
      <c r="IQ100" s="38"/>
      <c r="IR100" s="54"/>
      <c r="IS100" s="64"/>
      <c r="IT100" s="64"/>
      <c r="IV100" s="21"/>
      <c r="IW100" s="38"/>
      <c r="IX100" s="54"/>
      <c r="IY100" s="64"/>
      <c r="IZ100" s="64"/>
      <c r="JB100" s="21"/>
      <c r="JC100" s="38"/>
      <c r="JD100" s="54"/>
      <c r="JE100" s="64"/>
      <c r="JF100" s="64"/>
      <c r="JH100" s="21"/>
      <c r="JI100" s="38"/>
      <c r="JJ100" s="54"/>
      <c r="JK100" s="64"/>
      <c r="JL100" s="64"/>
      <c r="JN100" s="21"/>
      <c r="JO100" s="38"/>
      <c r="JP100" s="54"/>
      <c r="JQ100" s="64"/>
      <c r="JR100" s="64"/>
      <c r="JT100" s="21"/>
      <c r="JU100" s="38"/>
      <c r="JV100" s="54"/>
      <c r="JW100" s="64"/>
      <c r="JX100" s="64"/>
      <c r="JZ100" s="21"/>
      <c r="KA100" s="38"/>
      <c r="KB100" s="54"/>
      <c r="KC100" s="64"/>
      <c r="KD100" s="64"/>
      <c r="KE100" s="4"/>
      <c r="KF100" s="38"/>
      <c r="KG100" s="35"/>
      <c r="KI100" s="54"/>
      <c r="KJ100" s="64"/>
      <c r="KK100" s="69"/>
      <c r="KL100" s="72"/>
      <c r="KM100" s="127"/>
      <c r="KO100" s="38"/>
      <c r="KP100" s="83"/>
      <c r="KQ100" s="83"/>
      <c r="KR100" s="83"/>
      <c r="KS100" s="38"/>
      <c r="KT100" s="35"/>
      <c r="KV100" s="54"/>
      <c r="KW100" s="64"/>
      <c r="KX100" s="69"/>
      <c r="KY100" s="126"/>
      <c r="KZ100" s="127"/>
      <c r="LB100" s="38"/>
      <c r="LC100" s="83"/>
      <c r="LD100" s="83"/>
      <c r="LE100" s="83"/>
      <c r="LF100" s="38"/>
      <c r="LG100" s="35"/>
      <c r="LI100" s="54"/>
      <c r="LJ100" s="64"/>
      <c r="LK100" s="69"/>
      <c r="LL100" s="126"/>
      <c r="LM100" s="127"/>
      <c r="LO100" s="38"/>
      <c r="LP100" s="83"/>
      <c r="LQ100" s="83"/>
      <c r="LR100" s="83"/>
      <c r="LS100" s="38"/>
      <c r="LT100" s="35"/>
      <c r="LV100" s="54"/>
      <c r="LW100" s="64"/>
      <c r="LX100" s="69"/>
      <c r="LY100" s="126"/>
      <c r="LZ100" s="127"/>
      <c r="MB100" s="38"/>
      <c r="MC100" s="83"/>
      <c r="MD100" s="83"/>
      <c r="ME100" s="83"/>
      <c r="MF100" s="38"/>
      <c r="MG100" s="35"/>
      <c r="MI100" s="54"/>
      <c r="MJ100" s="64"/>
      <c r="MK100" s="69"/>
      <c r="ML100" s="126"/>
      <c r="MM100" s="127"/>
      <c r="MO100" s="38"/>
      <c r="MP100" s="83"/>
      <c r="MQ100" s="83"/>
      <c r="MR100" s="83"/>
      <c r="MS100" s="4"/>
      <c r="MT100" s="4">
        <f t="shared" si="12"/>
        <v>0</v>
      </c>
      <c r="NC100" s="21"/>
      <c r="ND100" s="128"/>
      <c r="NE100" s="54"/>
    </row>
    <row r="101" spans="1:369" x14ac:dyDescent="0.15">
      <c r="A101" s="36" t="s">
        <v>94</v>
      </c>
      <c r="C101" s="21"/>
      <c r="D101" s="13"/>
      <c r="E101" s="54"/>
      <c r="F101" s="64"/>
      <c r="G101" s="69"/>
      <c r="H101" s="69"/>
      <c r="J101" s="21"/>
      <c r="K101" s="13"/>
      <c r="L101" s="54"/>
      <c r="M101" s="64"/>
      <c r="N101" s="69"/>
      <c r="O101" s="69"/>
      <c r="Q101" s="21"/>
      <c r="R101" s="13"/>
      <c r="S101" s="54"/>
      <c r="T101" s="64"/>
      <c r="U101" s="69"/>
      <c r="V101" s="69"/>
      <c r="X101" s="21"/>
      <c r="Y101" s="13"/>
      <c r="Z101" s="54"/>
      <c r="AA101" s="64"/>
      <c r="AB101" s="69"/>
      <c r="AC101" s="69"/>
      <c r="AE101" s="21"/>
      <c r="AF101" s="13"/>
      <c r="AG101" s="54"/>
      <c r="AH101" s="64"/>
      <c r="AI101" s="69"/>
      <c r="AJ101" s="69"/>
      <c r="AL101" s="21"/>
      <c r="AM101" s="13"/>
      <c r="AN101" s="54"/>
      <c r="AO101" s="64"/>
      <c r="AP101" s="69"/>
      <c r="AQ101" s="69"/>
      <c r="AS101" s="21"/>
      <c r="AT101" s="13"/>
      <c r="AU101" s="54"/>
      <c r="AV101" s="64"/>
      <c r="AW101" s="69"/>
      <c r="AX101" s="69"/>
      <c r="AZ101" s="21"/>
      <c r="BA101" s="13"/>
      <c r="BB101" s="54"/>
      <c r="BC101" s="64"/>
      <c r="BD101" s="69"/>
      <c r="BE101" s="69"/>
      <c r="BG101" s="21"/>
      <c r="BH101" s="13"/>
      <c r="BI101" s="54"/>
      <c r="BJ101" s="64"/>
      <c r="BK101" s="69"/>
      <c r="BL101" s="69"/>
      <c r="BN101" s="21"/>
      <c r="BO101" s="13"/>
      <c r="BP101" s="54"/>
      <c r="BQ101" s="64"/>
      <c r="BR101" s="69"/>
      <c r="BS101" s="69"/>
      <c r="BU101" s="21"/>
      <c r="BV101" s="13"/>
      <c r="BW101" s="54"/>
      <c r="BX101" s="64"/>
      <c r="BY101" s="69"/>
      <c r="BZ101" s="69"/>
      <c r="CB101" s="21"/>
      <c r="CC101" s="13"/>
      <c r="CD101" s="54"/>
      <c r="CE101" s="64"/>
      <c r="CF101" s="69"/>
      <c r="CG101" s="69"/>
      <c r="CI101" s="21"/>
      <c r="CJ101" s="13"/>
      <c r="CK101" s="54"/>
      <c r="CL101" s="64"/>
      <c r="CM101" s="69"/>
      <c r="CN101" s="69"/>
      <c r="CP101" s="21"/>
      <c r="CQ101" s="128"/>
      <c r="CR101" s="54"/>
      <c r="CS101" s="64"/>
      <c r="CT101" s="69"/>
      <c r="CV101" s="21"/>
      <c r="CW101" s="128"/>
      <c r="CX101" s="54"/>
      <c r="CY101" s="64"/>
      <c r="CZ101" s="69"/>
      <c r="DB101" s="21"/>
      <c r="DC101" s="128"/>
      <c r="DD101" s="54"/>
      <c r="DE101" s="64"/>
      <c r="DF101" s="69"/>
      <c r="DH101" s="21"/>
      <c r="DI101" s="128"/>
      <c r="DJ101" s="54"/>
      <c r="DK101" s="64"/>
      <c r="DL101" s="69"/>
      <c r="DN101" s="21"/>
      <c r="DO101" s="128"/>
      <c r="DP101" s="54"/>
      <c r="DQ101" s="64"/>
      <c r="DR101" s="69"/>
      <c r="DT101" s="21"/>
      <c r="DU101" s="128"/>
      <c r="DV101" s="54"/>
      <c r="DW101" s="64"/>
      <c r="DX101" s="69"/>
      <c r="DZ101" s="21"/>
      <c r="EA101" s="128"/>
      <c r="EB101" s="54"/>
      <c r="EC101" s="64"/>
      <c r="ED101" s="69"/>
      <c r="EF101" s="21"/>
      <c r="EG101" s="128"/>
      <c r="EH101" s="54"/>
      <c r="EI101" s="64"/>
      <c r="EJ101" s="69"/>
      <c r="EL101" s="21"/>
      <c r="EM101" s="128"/>
      <c r="EN101" s="54"/>
      <c r="EO101" s="64"/>
      <c r="EP101" s="69"/>
      <c r="ER101" s="21"/>
      <c r="ES101" s="128"/>
      <c r="ET101" s="54"/>
      <c r="EU101" s="64"/>
      <c r="EV101" s="69"/>
      <c r="EX101" s="21"/>
      <c r="EY101" s="128"/>
      <c r="EZ101" s="54"/>
      <c r="FA101" s="64"/>
      <c r="FB101" s="69"/>
      <c r="FD101" s="21"/>
      <c r="FE101" s="128"/>
      <c r="FF101" s="54"/>
      <c r="FG101" s="64"/>
      <c r="FH101" s="69"/>
      <c r="FJ101" s="21"/>
      <c r="FK101" s="128"/>
      <c r="FL101" s="54"/>
      <c r="FM101" s="64"/>
      <c r="FN101" s="69"/>
      <c r="FO101" s="128"/>
      <c r="FP101" s="54"/>
      <c r="FQ101" s="64"/>
      <c r="FR101" s="69"/>
      <c r="FT101" s="21"/>
      <c r="FU101" s="128"/>
      <c r="FV101" s="54"/>
      <c r="FW101" s="64"/>
      <c r="FX101" s="69"/>
      <c r="FZ101" s="21"/>
      <c r="GA101" s="128"/>
      <c r="GB101" s="54"/>
      <c r="GC101" s="64"/>
      <c r="GD101" s="69"/>
      <c r="GF101" s="21">
        <v>1</v>
      </c>
      <c r="GG101" s="38"/>
      <c r="GH101" s="54">
        <v>1</v>
      </c>
      <c r="GI101" s="64"/>
      <c r="GJ101" s="64"/>
      <c r="GL101" s="21"/>
      <c r="GM101" s="38"/>
      <c r="GN101" s="54">
        <v>1</v>
      </c>
      <c r="GO101" s="64"/>
      <c r="GP101" s="64"/>
      <c r="GR101" s="21"/>
      <c r="GS101" s="38">
        <v>1</v>
      </c>
      <c r="GT101" s="54">
        <v>1</v>
      </c>
      <c r="GU101" s="64"/>
      <c r="GV101" s="64"/>
      <c r="GX101" s="21"/>
      <c r="GY101" s="38">
        <v>1</v>
      </c>
      <c r="GZ101" s="54">
        <v>1</v>
      </c>
      <c r="HA101" s="64"/>
      <c r="HB101" s="64"/>
      <c r="HD101" s="21"/>
      <c r="HE101" s="38">
        <v>1</v>
      </c>
      <c r="HF101" s="54">
        <v>2</v>
      </c>
      <c r="HG101" s="64"/>
      <c r="HH101" s="64"/>
      <c r="HJ101" s="21"/>
      <c r="HK101" s="38">
        <v>1</v>
      </c>
      <c r="HL101" s="54">
        <v>1</v>
      </c>
      <c r="HM101" s="64"/>
      <c r="HN101" s="64"/>
      <c r="HP101" s="21"/>
      <c r="HQ101" s="38"/>
      <c r="HR101" s="54"/>
      <c r="HS101" s="64"/>
      <c r="HT101" s="64"/>
      <c r="HV101" s="21"/>
      <c r="HW101" s="38">
        <v>1</v>
      </c>
      <c r="HX101" s="54">
        <v>1</v>
      </c>
      <c r="HY101" s="64"/>
      <c r="HZ101" s="64"/>
      <c r="IB101" s="21"/>
      <c r="IC101" s="38"/>
      <c r="ID101" s="54"/>
      <c r="IE101" s="64"/>
      <c r="IF101" s="64"/>
      <c r="IH101" s="21"/>
      <c r="IJ101" s="21"/>
      <c r="IK101" s="38"/>
      <c r="IL101" s="54"/>
      <c r="IM101" s="64"/>
      <c r="IN101" s="64"/>
      <c r="IP101" s="21"/>
      <c r="IQ101" s="38"/>
      <c r="IR101" s="54"/>
      <c r="IS101" s="64"/>
      <c r="IT101" s="64"/>
      <c r="IV101" s="21"/>
      <c r="IW101" s="38">
        <v>1</v>
      </c>
      <c r="IX101" s="54"/>
      <c r="IY101" s="64"/>
      <c r="IZ101" s="64"/>
      <c r="JB101" s="21"/>
      <c r="JC101" s="38"/>
      <c r="JD101" s="54"/>
      <c r="JE101" s="64"/>
      <c r="JF101" s="64"/>
      <c r="JH101" s="21"/>
      <c r="JI101" s="38"/>
      <c r="JJ101" s="54"/>
      <c r="JK101" s="64"/>
      <c r="JL101" s="64"/>
      <c r="JN101" s="21"/>
      <c r="JO101" s="38"/>
      <c r="JP101" s="54"/>
      <c r="JQ101" s="64"/>
      <c r="JR101" s="64"/>
      <c r="JT101" s="21"/>
      <c r="JU101" s="38"/>
      <c r="JV101" s="54"/>
      <c r="JW101" s="64"/>
      <c r="JX101" s="64"/>
      <c r="JZ101" s="21"/>
      <c r="KA101" s="38"/>
      <c r="KB101" s="54"/>
      <c r="KC101" s="64"/>
      <c r="KD101" s="64"/>
      <c r="KF101" s="38"/>
      <c r="KG101" s="35"/>
      <c r="KI101" s="54"/>
      <c r="KJ101" s="64"/>
      <c r="KK101" s="69"/>
      <c r="KL101" s="72"/>
      <c r="KM101" s="127"/>
      <c r="KO101" s="38"/>
      <c r="KP101" s="83"/>
      <c r="KQ101" s="83"/>
      <c r="KR101" s="83"/>
      <c r="KS101" s="38"/>
      <c r="KT101" s="35">
        <v>1</v>
      </c>
      <c r="KV101" s="54"/>
      <c r="KW101" s="64"/>
      <c r="KX101" s="69"/>
      <c r="KY101" s="126"/>
      <c r="KZ101" s="127"/>
      <c r="LB101" s="38"/>
      <c r="LC101" s="83"/>
      <c r="LD101" s="83"/>
      <c r="LE101" s="83"/>
      <c r="LF101" s="38"/>
      <c r="LG101" s="35"/>
      <c r="LI101" s="54"/>
      <c r="LJ101" s="64"/>
      <c r="LK101" s="69"/>
      <c r="LL101" s="126"/>
      <c r="LM101" s="127"/>
      <c r="LO101" s="38"/>
      <c r="LP101" s="83"/>
      <c r="LQ101" s="83"/>
      <c r="LR101" s="83"/>
      <c r="LS101" s="38"/>
      <c r="LT101" s="35"/>
      <c r="LV101" s="54"/>
      <c r="LW101" s="64"/>
      <c r="LX101" s="69"/>
      <c r="LY101" s="126"/>
      <c r="LZ101" s="127"/>
      <c r="MB101" s="38"/>
      <c r="MC101" s="83"/>
      <c r="MD101" s="83"/>
      <c r="ME101" s="83"/>
      <c r="MF101" s="38"/>
      <c r="MG101" s="35"/>
      <c r="MI101" s="54"/>
      <c r="MJ101" s="64"/>
      <c r="MK101" s="69"/>
      <c r="ML101" s="126"/>
      <c r="MM101" s="127"/>
      <c r="MO101" s="38"/>
      <c r="MP101" s="83"/>
      <c r="MQ101" s="83"/>
      <c r="MR101" s="83"/>
      <c r="MT101" s="4">
        <f t="shared" si="12"/>
        <v>1</v>
      </c>
      <c r="NC101" s="21"/>
      <c r="ND101" s="128"/>
      <c r="NE101" s="54"/>
    </row>
    <row r="102" spans="1:369" x14ac:dyDescent="0.15">
      <c r="A102" s="40" t="s">
        <v>91</v>
      </c>
      <c r="C102" s="21"/>
      <c r="D102" s="13"/>
      <c r="E102" s="54"/>
      <c r="F102" s="64"/>
      <c r="G102" s="69"/>
      <c r="H102" s="69"/>
      <c r="J102" s="21"/>
      <c r="K102" s="13"/>
      <c r="L102" s="54"/>
      <c r="M102" s="64"/>
      <c r="N102" s="69"/>
      <c r="O102" s="69"/>
      <c r="Q102" s="21"/>
      <c r="R102" s="13"/>
      <c r="S102" s="54"/>
      <c r="T102" s="64"/>
      <c r="U102" s="69"/>
      <c r="V102" s="69"/>
      <c r="X102" s="21"/>
      <c r="Y102" s="13"/>
      <c r="Z102" s="54"/>
      <c r="AA102" s="64"/>
      <c r="AB102" s="69"/>
      <c r="AC102" s="69"/>
      <c r="AE102" s="21"/>
      <c r="AF102" s="13"/>
      <c r="AG102" s="54"/>
      <c r="AH102" s="64"/>
      <c r="AI102" s="69"/>
      <c r="AJ102" s="69"/>
      <c r="AL102" s="21"/>
      <c r="AM102" s="13"/>
      <c r="AN102" s="54"/>
      <c r="AO102" s="64"/>
      <c r="AP102" s="69"/>
      <c r="AQ102" s="69"/>
      <c r="AS102" s="21"/>
      <c r="AT102" s="13"/>
      <c r="AU102" s="54"/>
      <c r="AV102" s="64"/>
      <c r="AW102" s="69"/>
      <c r="AX102" s="69"/>
      <c r="AZ102" s="21"/>
      <c r="BA102" s="13"/>
      <c r="BB102" s="54"/>
      <c r="BC102" s="64"/>
      <c r="BD102" s="69"/>
      <c r="BE102" s="69"/>
      <c r="BG102" s="21"/>
      <c r="BH102" s="13"/>
      <c r="BI102" s="54"/>
      <c r="BJ102" s="64"/>
      <c r="BK102" s="69"/>
      <c r="BL102" s="69"/>
      <c r="BN102" s="21"/>
      <c r="BO102" s="13"/>
      <c r="BP102" s="54"/>
      <c r="BQ102" s="64"/>
      <c r="BR102" s="69"/>
      <c r="BS102" s="69"/>
      <c r="BU102" s="21"/>
      <c r="BV102" s="13"/>
      <c r="BW102" s="54"/>
      <c r="BX102" s="64"/>
      <c r="BY102" s="69"/>
      <c r="BZ102" s="69"/>
      <c r="CB102" s="21"/>
      <c r="CC102" s="13"/>
      <c r="CD102" s="54"/>
      <c r="CE102" s="64"/>
      <c r="CF102" s="69"/>
      <c r="CG102" s="69"/>
      <c r="CI102" s="21"/>
      <c r="CJ102" s="13"/>
      <c r="CK102" s="54"/>
      <c r="CL102" s="64"/>
      <c r="CM102" s="69"/>
      <c r="CN102" s="69"/>
      <c r="CP102" s="21"/>
      <c r="CQ102" s="128"/>
      <c r="CR102" s="54"/>
      <c r="CS102" s="64"/>
      <c r="CT102" s="69"/>
      <c r="CV102" s="21"/>
      <c r="CW102" s="128">
        <v>1</v>
      </c>
      <c r="CX102" s="54">
        <v>1</v>
      </c>
      <c r="CY102" s="64"/>
      <c r="CZ102" s="69"/>
      <c r="DB102" s="21"/>
      <c r="DC102" s="128"/>
      <c r="DD102" s="54"/>
      <c r="DE102" s="64"/>
      <c r="DF102" s="69"/>
      <c r="DH102" s="21"/>
      <c r="DI102" s="128"/>
      <c r="DJ102" s="54"/>
      <c r="DK102" s="64"/>
      <c r="DL102" s="69"/>
      <c r="DN102" s="21"/>
      <c r="DO102" s="128"/>
      <c r="DP102" s="54"/>
      <c r="DQ102" s="64"/>
      <c r="DR102" s="69"/>
      <c r="DT102" s="21"/>
      <c r="DU102" s="128"/>
      <c r="DV102" s="54"/>
      <c r="DW102" s="64"/>
      <c r="DX102" s="69"/>
      <c r="DZ102" s="21"/>
      <c r="EA102" s="128"/>
      <c r="EB102" s="54"/>
      <c r="EC102" s="64"/>
      <c r="ED102" s="69"/>
      <c r="EF102" s="21"/>
      <c r="EG102" s="128"/>
      <c r="EH102" s="54"/>
      <c r="EI102" s="64"/>
      <c r="EJ102" s="69"/>
      <c r="EL102" s="21"/>
      <c r="EM102" s="128"/>
      <c r="EN102" s="54"/>
      <c r="EO102" s="64"/>
      <c r="EP102" s="69"/>
      <c r="ER102" s="21"/>
      <c r="ES102" s="128"/>
      <c r="ET102" s="54"/>
      <c r="EU102" s="64"/>
      <c r="EV102" s="69"/>
      <c r="EX102" s="21"/>
      <c r="EY102" s="128"/>
      <c r="EZ102" s="54"/>
      <c r="FA102" s="64"/>
      <c r="FB102" s="69"/>
      <c r="FD102" s="21"/>
      <c r="FE102" s="128">
        <v>1</v>
      </c>
      <c r="FF102" s="54">
        <v>1</v>
      </c>
      <c r="FG102" s="64"/>
      <c r="FH102" s="69"/>
      <c r="FJ102" s="21"/>
      <c r="FK102" s="128"/>
      <c r="FL102" s="54"/>
      <c r="FM102" s="64"/>
      <c r="FN102" s="69"/>
      <c r="FO102" s="128"/>
      <c r="FP102" s="54"/>
      <c r="FQ102" s="64"/>
      <c r="FR102" s="69"/>
      <c r="FS102">
        <v>1</v>
      </c>
      <c r="FT102" s="21"/>
      <c r="FU102" s="128"/>
      <c r="FV102" s="54"/>
      <c r="FW102" s="64"/>
      <c r="FX102" s="69"/>
      <c r="FZ102" s="21"/>
      <c r="GA102" s="128"/>
      <c r="GB102" s="54"/>
      <c r="GC102" s="64"/>
      <c r="GD102" s="69"/>
      <c r="GF102" s="21"/>
      <c r="GG102" s="38"/>
      <c r="GH102" s="54"/>
      <c r="GI102" s="64"/>
      <c r="GJ102" s="64"/>
      <c r="GL102" s="21"/>
      <c r="GM102" s="38"/>
      <c r="GN102" s="54"/>
      <c r="GO102" s="64"/>
      <c r="GP102" s="64"/>
      <c r="GR102" s="21"/>
      <c r="GS102" s="38"/>
      <c r="GT102" s="54"/>
      <c r="GU102" s="64"/>
      <c r="GV102" s="64"/>
      <c r="GX102" s="21"/>
      <c r="GY102" s="38"/>
      <c r="GZ102" s="54"/>
      <c r="HA102" s="64"/>
      <c r="HB102" s="64"/>
      <c r="HD102" s="21"/>
      <c r="HE102" s="38"/>
      <c r="HF102" s="54"/>
      <c r="HG102" s="64"/>
      <c r="HH102" s="64"/>
      <c r="HJ102" s="21">
        <v>1</v>
      </c>
      <c r="HK102" s="38">
        <v>1</v>
      </c>
      <c r="HL102" s="54"/>
      <c r="HM102" s="64"/>
      <c r="HN102" s="64"/>
      <c r="HP102" s="21"/>
      <c r="HQ102" s="38"/>
      <c r="HR102" s="54"/>
      <c r="HS102" s="64"/>
      <c r="HT102" s="64"/>
      <c r="HV102" s="21"/>
      <c r="HW102" s="38">
        <v>1</v>
      </c>
      <c r="HX102" s="54"/>
      <c r="HY102" s="64"/>
      <c r="HZ102" s="64"/>
      <c r="IB102" s="21"/>
      <c r="IC102" s="38"/>
      <c r="ID102" s="54"/>
      <c r="IE102" s="64"/>
      <c r="IF102" s="64"/>
      <c r="IH102" s="21"/>
      <c r="IJ102" s="21"/>
      <c r="IK102" s="38">
        <v>1</v>
      </c>
      <c r="IL102" s="54"/>
      <c r="IM102" s="64"/>
      <c r="IN102" s="64"/>
      <c r="IP102" s="21"/>
      <c r="IQ102" s="38"/>
      <c r="IR102" s="54"/>
      <c r="IS102" s="64"/>
      <c r="IT102" s="64"/>
      <c r="IV102" s="21"/>
      <c r="IW102" s="38"/>
      <c r="IX102" s="54"/>
      <c r="IY102" s="64"/>
      <c r="IZ102" s="64"/>
      <c r="JB102" s="21"/>
      <c r="JC102" s="38"/>
      <c r="JD102" s="54"/>
      <c r="JE102" s="64"/>
      <c r="JF102" s="64"/>
      <c r="JH102" s="21"/>
      <c r="JI102" s="38"/>
      <c r="JJ102" s="54"/>
      <c r="JK102" s="64"/>
      <c r="JL102" s="64"/>
      <c r="JN102" s="21"/>
      <c r="JO102" s="38"/>
      <c r="JP102" s="54"/>
      <c r="JQ102" s="64"/>
      <c r="JR102" s="64"/>
      <c r="JT102" s="21"/>
      <c r="JU102" s="38"/>
      <c r="JV102" s="54"/>
      <c r="JW102" s="64"/>
      <c r="JX102" s="64"/>
      <c r="JZ102" s="21"/>
      <c r="KA102" s="38"/>
      <c r="KB102" s="54"/>
      <c r="KC102" s="64"/>
      <c r="KD102" s="64"/>
      <c r="KF102" s="38"/>
      <c r="KG102" s="35"/>
      <c r="KI102" s="54"/>
      <c r="KJ102" s="64"/>
      <c r="KK102" s="69"/>
      <c r="KL102" s="72"/>
      <c r="KM102" s="127"/>
      <c r="KO102" s="38"/>
      <c r="KP102" s="83"/>
      <c r="KQ102" s="83"/>
      <c r="KR102" s="83"/>
      <c r="KS102" s="38"/>
      <c r="KT102" s="35"/>
      <c r="KV102" s="54"/>
      <c r="KW102" s="64"/>
      <c r="KX102" s="69"/>
      <c r="KY102" s="126"/>
      <c r="KZ102" s="127"/>
      <c r="LB102" s="38"/>
      <c r="LC102" s="83"/>
      <c r="LD102" s="83"/>
      <c r="LE102" s="83"/>
      <c r="LF102" s="38"/>
      <c r="LG102" s="35"/>
      <c r="LI102" s="54"/>
      <c r="LJ102" s="64"/>
      <c r="LK102" s="69"/>
      <c r="LL102" s="126"/>
      <c r="LM102" s="127"/>
      <c r="LO102" s="38"/>
      <c r="LP102" s="83"/>
      <c r="LQ102" s="83"/>
      <c r="LR102" s="83"/>
      <c r="LS102" s="38"/>
      <c r="LT102" s="35"/>
      <c r="LV102" s="54"/>
      <c r="LW102" s="64"/>
      <c r="LX102" s="69"/>
      <c r="LY102" s="126"/>
      <c r="LZ102" s="127"/>
      <c r="MB102" s="38"/>
      <c r="MC102" s="83"/>
      <c r="MD102" s="83"/>
      <c r="ME102" s="83"/>
      <c r="MF102" s="38"/>
      <c r="MG102" s="35"/>
      <c r="MI102" s="54"/>
      <c r="MJ102" s="64"/>
      <c r="MK102" s="69"/>
      <c r="ML102" s="126"/>
      <c r="MM102" s="127"/>
      <c r="MO102" s="38"/>
      <c r="MP102" s="83"/>
      <c r="MQ102" s="83"/>
      <c r="MR102" s="83"/>
      <c r="MT102" s="4">
        <f t="shared" si="12"/>
        <v>0</v>
      </c>
      <c r="NC102" s="21">
        <v>2</v>
      </c>
      <c r="ND102" s="128">
        <v>1</v>
      </c>
      <c r="NE102" s="54"/>
    </row>
    <row r="103" spans="1:369" x14ac:dyDescent="0.15">
      <c r="A103" s="39" t="s">
        <v>69</v>
      </c>
      <c r="C103" s="21"/>
      <c r="D103" s="13"/>
      <c r="E103" s="54"/>
      <c r="F103" s="64"/>
      <c r="G103" s="69"/>
      <c r="H103" s="69"/>
      <c r="J103" s="21"/>
      <c r="K103" s="13"/>
      <c r="L103" s="54"/>
      <c r="M103" s="64"/>
      <c r="N103" s="69"/>
      <c r="O103" s="69"/>
      <c r="Q103" s="21"/>
      <c r="R103" s="13"/>
      <c r="S103" s="54"/>
      <c r="T103" s="64"/>
      <c r="U103" s="69"/>
      <c r="V103" s="69"/>
      <c r="X103" s="21"/>
      <c r="Y103" s="13"/>
      <c r="Z103" s="54"/>
      <c r="AA103" s="64"/>
      <c r="AB103" s="69"/>
      <c r="AC103" s="69"/>
      <c r="AE103" s="21"/>
      <c r="AF103" s="13"/>
      <c r="AG103" s="54"/>
      <c r="AH103" s="64"/>
      <c r="AI103" s="69"/>
      <c r="AJ103" s="69"/>
      <c r="AL103" s="21"/>
      <c r="AM103" s="13"/>
      <c r="AN103" s="54"/>
      <c r="AO103" s="64"/>
      <c r="AP103" s="69"/>
      <c r="AQ103" s="69"/>
      <c r="AS103" s="21"/>
      <c r="AT103" s="13"/>
      <c r="AU103" s="54"/>
      <c r="AV103" s="64"/>
      <c r="AW103" s="69"/>
      <c r="AX103" s="69"/>
      <c r="AZ103" s="21"/>
      <c r="BA103" s="13"/>
      <c r="BB103" s="54"/>
      <c r="BC103" s="64"/>
      <c r="BD103" s="69"/>
      <c r="BE103" s="69"/>
      <c r="BG103" s="21"/>
      <c r="BH103" s="13"/>
      <c r="BI103" s="54"/>
      <c r="BJ103" s="64"/>
      <c r="BK103" s="69"/>
      <c r="BL103" s="69"/>
      <c r="BN103" s="21"/>
      <c r="BO103" s="13"/>
      <c r="BP103" s="54"/>
      <c r="BQ103" s="64"/>
      <c r="BR103" s="69"/>
      <c r="BS103" s="69"/>
      <c r="BU103" s="21"/>
      <c r="BV103" s="13"/>
      <c r="BW103" s="54"/>
      <c r="BX103" s="64"/>
      <c r="BY103" s="69"/>
      <c r="BZ103" s="69"/>
      <c r="CB103" s="21"/>
      <c r="CC103" s="13"/>
      <c r="CD103" s="54"/>
      <c r="CE103" s="64"/>
      <c r="CF103" s="69"/>
      <c r="CG103" s="69"/>
      <c r="CI103" s="21"/>
      <c r="CJ103" s="13"/>
      <c r="CK103" s="54"/>
      <c r="CL103" s="64"/>
      <c r="CM103" s="69"/>
      <c r="CN103" s="69"/>
      <c r="CP103" s="21"/>
      <c r="CQ103" s="128"/>
      <c r="CR103" s="54"/>
      <c r="CS103" s="64"/>
      <c r="CT103" s="69"/>
      <c r="CV103" s="21"/>
      <c r="CW103" s="128"/>
      <c r="CX103" s="54"/>
      <c r="CY103" s="64"/>
      <c r="CZ103" s="69"/>
      <c r="DB103" s="21"/>
      <c r="DC103" s="128"/>
      <c r="DD103" s="54"/>
      <c r="DE103" s="64"/>
      <c r="DF103" s="69"/>
      <c r="DH103" s="21"/>
      <c r="DI103" s="128"/>
      <c r="DJ103" s="54"/>
      <c r="DK103" s="64"/>
      <c r="DL103" s="69"/>
      <c r="DN103" s="21"/>
      <c r="DO103" s="128"/>
      <c r="DP103" s="54"/>
      <c r="DQ103" s="64"/>
      <c r="DR103" s="69"/>
      <c r="DT103" s="21"/>
      <c r="DU103" s="128"/>
      <c r="DV103" s="54"/>
      <c r="DW103" s="64"/>
      <c r="DX103" s="69"/>
      <c r="DZ103" s="21"/>
      <c r="EA103" s="128"/>
      <c r="EB103" s="54"/>
      <c r="EC103" s="64"/>
      <c r="ED103" s="69"/>
      <c r="EF103" s="21"/>
      <c r="EG103" s="128"/>
      <c r="EH103" s="54"/>
      <c r="EI103" s="64"/>
      <c r="EJ103" s="69"/>
      <c r="EL103" s="21"/>
      <c r="EM103" s="128"/>
      <c r="EN103" s="54"/>
      <c r="EO103" s="64"/>
      <c r="EP103" s="69"/>
      <c r="ER103" s="21"/>
      <c r="ES103" s="128"/>
      <c r="ET103" s="54"/>
      <c r="EU103" s="64"/>
      <c r="EV103" s="69"/>
      <c r="EX103" s="21"/>
      <c r="EY103" s="128"/>
      <c r="EZ103" s="54"/>
      <c r="FA103" s="64"/>
      <c r="FB103" s="69"/>
      <c r="FD103" s="21"/>
      <c r="FE103" s="128"/>
      <c r="FF103" s="54"/>
      <c r="FG103" s="64"/>
      <c r="FH103" s="69"/>
      <c r="FJ103" s="21"/>
      <c r="FK103" s="128"/>
      <c r="FL103" s="54"/>
      <c r="FM103" s="64"/>
      <c r="FN103" s="69"/>
      <c r="FO103" s="128"/>
      <c r="FP103" s="54"/>
      <c r="FQ103" s="64"/>
      <c r="FR103" s="69"/>
      <c r="FT103" s="21"/>
      <c r="FU103" s="128"/>
      <c r="FV103" s="54"/>
      <c r="FW103" s="64"/>
      <c r="FX103" s="69"/>
      <c r="FZ103" s="21"/>
      <c r="GA103" s="128"/>
      <c r="GB103" s="54"/>
      <c r="GC103" s="64"/>
      <c r="GD103" s="69"/>
      <c r="GF103" s="21"/>
      <c r="GG103" s="38"/>
      <c r="GH103" s="54"/>
      <c r="GI103" s="64"/>
      <c r="GJ103" s="64"/>
      <c r="GL103" s="21"/>
      <c r="GM103" s="38"/>
      <c r="GN103" s="54"/>
      <c r="GO103" s="64"/>
      <c r="GP103" s="64"/>
      <c r="GR103" s="21"/>
      <c r="GS103" s="38"/>
      <c r="GT103" s="54"/>
      <c r="GU103" s="64"/>
      <c r="GV103" s="64"/>
      <c r="GX103" s="21"/>
      <c r="GY103" s="38"/>
      <c r="GZ103" s="54"/>
      <c r="HA103" s="64"/>
      <c r="HB103" s="64"/>
      <c r="HD103" s="21"/>
      <c r="HE103" s="38"/>
      <c r="HF103" s="54"/>
      <c r="HG103" s="64"/>
      <c r="HH103" s="64"/>
      <c r="HJ103" s="21"/>
      <c r="HK103" s="38"/>
      <c r="HL103" s="54"/>
      <c r="HM103" s="64"/>
      <c r="HN103" s="64"/>
      <c r="HP103" s="21"/>
      <c r="HQ103" s="38"/>
      <c r="HR103" s="54"/>
      <c r="HS103" s="64"/>
      <c r="HT103" s="64"/>
      <c r="HV103" s="21"/>
      <c r="HW103" s="38"/>
      <c r="HX103" s="54"/>
      <c r="HY103" s="64"/>
      <c r="HZ103" s="64"/>
      <c r="IB103" s="21"/>
      <c r="IC103" s="38"/>
      <c r="ID103" s="54"/>
      <c r="IE103" s="64"/>
      <c r="IF103" s="64"/>
      <c r="IH103" s="21"/>
      <c r="IJ103" s="21"/>
      <c r="IK103" s="38"/>
      <c r="IL103" s="54"/>
      <c r="IM103" s="64"/>
      <c r="IN103" s="64"/>
      <c r="IO103">
        <v>1</v>
      </c>
      <c r="IP103" s="21"/>
      <c r="IQ103" s="38"/>
      <c r="IR103" s="54"/>
      <c r="IS103" s="64"/>
      <c r="IT103" s="64"/>
      <c r="IV103" s="21"/>
      <c r="IW103" s="38"/>
      <c r="IX103" s="54"/>
      <c r="IY103" s="64"/>
      <c r="IZ103" s="64"/>
      <c r="JB103" s="21"/>
      <c r="JC103" s="38"/>
      <c r="JD103" s="54"/>
      <c r="JE103" s="64"/>
      <c r="JF103" s="64"/>
      <c r="JH103" s="21"/>
      <c r="JI103" s="38"/>
      <c r="JJ103" s="54"/>
      <c r="JK103" s="64"/>
      <c r="JL103" s="64"/>
      <c r="JN103" s="21"/>
      <c r="JO103" s="38"/>
      <c r="JP103" s="54"/>
      <c r="JQ103" s="64"/>
      <c r="JR103" s="64"/>
      <c r="JS103">
        <v>1</v>
      </c>
      <c r="JT103" s="21"/>
      <c r="JU103" s="38"/>
      <c r="JV103" s="54"/>
      <c r="JW103" s="64"/>
      <c r="JX103" s="64"/>
      <c r="JZ103" s="21"/>
      <c r="KA103" s="38"/>
      <c r="KB103" s="54"/>
      <c r="KC103" s="64"/>
      <c r="KD103" s="64"/>
      <c r="KF103" s="38"/>
      <c r="KG103" s="35"/>
      <c r="KI103" s="54"/>
      <c r="KJ103" s="64"/>
      <c r="KK103" s="69"/>
      <c r="KL103" s="72"/>
      <c r="KM103" s="127"/>
      <c r="KO103" s="38"/>
      <c r="KP103" s="83"/>
      <c r="KQ103" s="83"/>
      <c r="KR103" s="83"/>
      <c r="KS103" s="38"/>
      <c r="KT103" s="35"/>
      <c r="KV103" s="54"/>
      <c r="KW103" s="64"/>
      <c r="KX103" s="69"/>
      <c r="KY103" s="126"/>
      <c r="KZ103" s="127"/>
      <c r="LB103" s="38"/>
      <c r="LC103" s="83"/>
      <c r="LD103" s="83"/>
      <c r="LE103" s="83"/>
      <c r="LF103" s="38"/>
      <c r="LG103" s="35"/>
      <c r="LI103" s="54"/>
      <c r="LJ103" s="64"/>
      <c r="LK103" s="69"/>
      <c r="LL103" s="126"/>
      <c r="LM103" s="127"/>
      <c r="LO103" s="38"/>
      <c r="LP103" s="83"/>
      <c r="LQ103" s="83"/>
      <c r="LR103" s="83"/>
      <c r="LS103" s="38"/>
      <c r="LT103" s="35"/>
      <c r="LV103" s="54"/>
      <c r="LW103" s="64"/>
      <c r="LX103" s="69"/>
      <c r="LY103" s="126"/>
      <c r="LZ103" s="127"/>
      <c r="MB103" s="38"/>
      <c r="MC103" s="83"/>
      <c r="MD103" s="83"/>
      <c r="ME103" s="83"/>
      <c r="MF103" s="38"/>
      <c r="MG103" s="35"/>
      <c r="MI103" s="54"/>
      <c r="MJ103" s="64"/>
      <c r="MK103" s="69"/>
      <c r="ML103" s="126"/>
      <c r="MM103" s="127"/>
      <c r="MO103" s="38"/>
      <c r="MP103" s="83"/>
      <c r="MQ103" s="83"/>
      <c r="MR103" s="83"/>
      <c r="MT103" s="4">
        <f>COUNTA(B103:MI103)</f>
        <v>2</v>
      </c>
      <c r="NC103" s="21"/>
      <c r="ND103" s="128"/>
      <c r="NE103" s="54"/>
    </row>
    <row r="104" spans="1:369" x14ac:dyDescent="0.15">
      <c r="A104" s="39" t="s">
        <v>67</v>
      </c>
      <c r="C104" s="21"/>
      <c r="D104" s="13"/>
      <c r="E104" s="54"/>
      <c r="F104" s="64"/>
      <c r="G104" s="69"/>
      <c r="H104" s="69"/>
      <c r="J104" s="21"/>
      <c r="K104" s="13"/>
      <c r="L104" s="54"/>
      <c r="M104" s="64"/>
      <c r="N104" s="69"/>
      <c r="O104" s="69"/>
      <c r="Q104" s="21"/>
      <c r="R104" s="13"/>
      <c r="S104" s="54"/>
      <c r="T104" s="64"/>
      <c r="U104" s="69"/>
      <c r="V104" s="69"/>
      <c r="X104" s="21"/>
      <c r="Y104" s="13"/>
      <c r="Z104" s="54"/>
      <c r="AA104" s="64"/>
      <c r="AB104" s="69"/>
      <c r="AC104" s="69"/>
      <c r="AE104" s="21"/>
      <c r="AF104" s="13"/>
      <c r="AG104" s="54"/>
      <c r="AH104" s="64"/>
      <c r="AI104" s="69"/>
      <c r="AJ104" s="69"/>
      <c r="AL104" s="21"/>
      <c r="AM104" s="13"/>
      <c r="AN104" s="54"/>
      <c r="AO104" s="64"/>
      <c r="AP104" s="69"/>
      <c r="AQ104" s="69"/>
      <c r="AS104" s="21"/>
      <c r="AT104" s="13"/>
      <c r="AU104" s="54"/>
      <c r="AV104" s="64"/>
      <c r="AW104" s="69"/>
      <c r="AX104" s="69"/>
      <c r="AZ104" s="21"/>
      <c r="BA104" s="13"/>
      <c r="BB104" s="54"/>
      <c r="BC104" s="64"/>
      <c r="BD104" s="69"/>
      <c r="BE104" s="69"/>
      <c r="BF104">
        <v>1</v>
      </c>
      <c r="BG104" s="21"/>
      <c r="BH104" s="13"/>
      <c r="BI104" s="54"/>
      <c r="BJ104" s="64"/>
      <c r="BK104" s="69"/>
      <c r="BL104" s="69"/>
      <c r="BN104" s="21"/>
      <c r="BO104" s="13"/>
      <c r="BP104" s="54"/>
      <c r="BQ104" s="64"/>
      <c r="BR104" s="69"/>
      <c r="BS104" s="69"/>
      <c r="BU104" s="21"/>
      <c r="BV104" s="13"/>
      <c r="BW104" s="54"/>
      <c r="BX104" s="64"/>
      <c r="BY104" s="69"/>
      <c r="BZ104" s="69"/>
      <c r="CB104" s="21"/>
      <c r="CC104" s="13"/>
      <c r="CD104" s="54"/>
      <c r="CE104" s="64"/>
      <c r="CF104" s="69"/>
      <c r="CG104" s="69"/>
      <c r="CI104" s="21"/>
      <c r="CJ104" s="13"/>
      <c r="CK104" s="54"/>
      <c r="CL104" s="64"/>
      <c r="CM104" s="69"/>
      <c r="CN104" s="69"/>
      <c r="CP104" s="21"/>
      <c r="CQ104" s="128"/>
      <c r="CR104" s="54"/>
      <c r="CS104" s="64"/>
      <c r="CT104" s="69"/>
      <c r="CV104" s="21"/>
      <c r="CW104" s="128"/>
      <c r="CX104" s="54"/>
      <c r="CY104" s="64"/>
      <c r="CZ104" s="69"/>
      <c r="DB104" s="21"/>
      <c r="DC104" s="128"/>
      <c r="DD104" s="54"/>
      <c r="DE104" s="64"/>
      <c r="DF104" s="69"/>
      <c r="DH104" s="21"/>
      <c r="DI104" s="128"/>
      <c r="DJ104" s="54"/>
      <c r="DK104" s="64"/>
      <c r="DL104" s="69"/>
      <c r="DN104" s="21"/>
      <c r="DO104" s="128"/>
      <c r="DP104" s="54"/>
      <c r="DQ104" s="64"/>
      <c r="DR104" s="69"/>
      <c r="DT104" s="21"/>
      <c r="DU104" s="128"/>
      <c r="DV104" s="54"/>
      <c r="DW104" s="64"/>
      <c r="DX104" s="69"/>
      <c r="DZ104" s="21"/>
      <c r="EA104" s="128"/>
      <c r="EB104" s="54"/>
      <c r="EC104" s="64"/>
      <c r="ED104" s="69"/>
      <c r="EF104" s="21"/>
      <c r="EG104" s="128"/>
      <c r="EH104" s="54"/>
      <c r="EI104" s="64"/>
      <c r="EJ104" s="69"/>
      <c r="EL104" s="21"/>
      <c r="EM104" s="128"/>
      <c r="EN104" s="54"/>
      <c r="EO104" s="64"/>
      <c r="EP104" s="69"/>
      <c r="ER104" s="21"/>
      <c r="ES104" s="128"/>
      <c r="ET104" s="54"/>
      <c r="EU104" s="64"/>
      <c r="EV104" s="69"/>
      <c r="EX104" s="21"/>
      <c r="EY104" s="128"/>
      <c r="EZ104" s="54"/>
      <c r="FA104" s="64"/>
      <c r="FB104" s="69"/>
      <c r="FD104" s="21"/>
      <c r="FE104" s="128"/>
      <c r="FF104" s="54"/>
      <c r="FG104" s="64"/>
      <c r="FH104" s="69"/>
      <c r="FJ104" s="21"/>
      <c r="FK104" s="128"/>
      <c r="FL104" s="54"/>
      <c r="FM104" s="64"/>
      <c r="FN104" s="69"/>
      <c r="FO104" s="128"/>
      <c r="FP104" s="54"/>
      <c r="FQ104" s="64"/>
      <c r="FR104" s="69"/>
      <c r="FT104" s="21"/>
      <c r="FU104" s="128"/>
      <c r="FV104" s="54"/>
      <c r="FW104" s="64"/>
      <c r="FX104" s="69"/>
      <c r="FZ104" s="21"/>
      <c r="GA104" s="128"/>
      <c r="GB104" s="54"/>
      <c r="GC104" s="64"/>
      <c r="GD104" s="69"/>
      <c r="GF104" s="21"/>
      <c r="GG104" s="38"/>
      <c r="GH104" s="54"/>
      <c r="GI104" s="64"/>
      <c r="GJ104" s="64"/>
      <c r="GL104" s="21"/>
      <c r="GM104" s="38"/>
      <c r="GN104" s="54"/>
      <c r="GO104" s="64"/>
      <c r="GP104" s="64"/>
      <c r="GR104" s="21"/>
      <c r="GS104" s="38"/>
      <c r="GT104" s="54"/>
      <c r="GU104" s="64"/>
      <c r="GV104" s="64"/>
      <c r="GX104" s="21"/>
      <c r="GY104" s="38"/>
      <c r="GZ104" s="54"/>
      <c r="HA104" s="64"/>
      <c r="HB104" s="64"/>
      <c r="HD104" s="21"/>
      <c r="HE104" s="38"/>
      <c r="HF104" s="54"/>
      <c r="HG104" s="64"/>
      <c r="HH104" s="64"/>
      <c r="HJ104" s="21"/>
      <c r="HK104" s="38"/>
      <c r="HL104" s="54"/>
      <c r="HM104" s="64"/>
      <c r="HN104" s="64"/>
      <c r="HP104" s="21"/>
      <c r="HQ104" s="38"/>
      <c r="HR104" s="54"/>
      <c r="HS104" s="64"/>
      <c r="HT104" s="64"/>
      <c r="HV104" s="21"/>
      <c r="HW104" s="38"/>
      <c r="HX104" s="54"/>
      <c r="HY104" s="64"/>
      <c r="HZ104" s="64"/>
      <c r="IB104" s="21"/>
      <c r="IC104" s="38"/>
      <c r="ID104" s="54"/>
      <c r="IE104" s="64"/>
      <c r="IF104" s="64"/>
      <c r="IH104" s="21"/>
      <c r="IJ104" s="21"/>
      <c r="IK104" s="38"/>
      <c r="IL104" s="54"/>
      <c r="IM104" s="64"/>
      <c r="IN104" s="64"/>
      <c r="IP104" s="21"/>
      <c r="IQ104" s="38"/>
      <c r="IR104" s="54"/>
      <c r="IS104" s="64"/>
      <c r="IT104" s="64"/>
      <c r="IV104" s="21"/>
      <c r="IW104" s="38"/>
      <c r="IX104" s="54"/>
      <c r="IY104" s="64"/>
      <c r="IZ104" s="64"/>
      <c r="JB104" s="21"/>
      <c r="JC104" s="38"/>
      <c r="JD104" s="54"/>
      <c r="JE104" s="64"/>
      <c r="JF104" s="64"/>
      <c r="JH104" s="21"/>
      <c r="JI104" s="38"/>
      <c r="JJ104" s="54"/>
      <c r="JK104" s="64"/>
      <c r="JL104" s="64"/>
      <c r="JN104" s="21"/>
      <c r="JO104" s="38"/>
      <c r="JP104" s="54"/>
      <c r="JQ104" s="64"/>
      <c r="JR104" s="64"/>
      <c r="JT104" s="21"/>
      <c r="JU104" s="38"/>
      <c r="JV104" s="54"/>
      <c r="JW104" s="64"/>
      <c r="JX104" s="64"/>
      <c r="JZ104" s="21"/>
      <c r="KA104" s="38"/>
      <c r="KB104" s="54"/>
      <c r="KC104" s="64"/>
      <c r="KD104" s="64"/>
      <c r="KF104" s="38"/>
      <c r="KG104" s="35"/>
      <c r="KI104" s="54"/>
      <c r="KJ104" s="64"/>
      <c r="KK104" s="69"/>
      <c r="KL104" s="72"/>
      <c r="KM104" s="127"/>
      <c r="KO104" s="38"/>
      <c r="KP104" s="83"/>
      <c r="KQ104" s="83"/>
      <c r="KR104" s="83"/>
      <c r="KS104" s="38"/>
      <c r="KT104" s="35"/>
      <c r="KV104" s="54"/>
      <c r="KW104" s="64"/>
      <c r="KX104" s="69"/>
      <c r="KY104" s="126"/>
      <c r="KZ104" s="127"/>
      <c r="LB104" s="38"/>
      <c r="LC104" s="83"/>
      <c r="LD104" s="83"/>
      <c r="LE104" s="83"/>
      <c r="LF104" s="38"/>
      <c r="LG104" s="35"/>
      <c r="LI104" s="54"/>
      <c r="LJ104" s="64"/>
      <c r="LK104" s="69"/>
      <c r="LL104" s="126"/>
      <c r="LM104" s="127"/>
      <c r="LO104" s="38"/>
      <c r="LP104" s="83"/>
      <c r="LQ104" s="83"/>
      <c r="LR104" s="83"/>
      <c r="LS104" s="38"/>
      <c r="LT104" s="35"/>
      <c r="LV104" s="54"/>
      <c r="LW104" s="64"/>
      <c r="LX104" s="69"/>
      <c r="LY104" s="126"/>
      <c r="LZ104" s="127"/>
      <c r="MB104" s="38"/>
      <c r="MC104" s="83"/>
      <c r="MD104" s="83"/>
      <c r="ME104" s="83"/>
      <c r="MF104" s="38"/>
      <c r="MG104" s="35"/>
      <c r="MI104" s="54"/>
      <c r="MJ104" s="64"/>
      <c r="MK104" s="69"/>
      <c r="ML104" s="126"/>
      <c r="MM104" s="127"/>
      <c r="MO104" s="38"/>
      <c r="MP104" s="83"/>
      <c r="MQ104" s="83"/>
      <c r="MR104" s="83"/>
      <c r="MT104" s="4">
        <f>COUNTA(B104:MI104)</f>
        <v>1</v>
      </c>
      <c r="NC104" s="21"/>
      <c r="ND104" s="128"/>
      <c r="NE104" s="54"/>
    </row>
    <row r="105" spans="1:369" x14ac:dyDescent="0.15">
      <c r="A105" s="41" t="s">
        <v>66</v>
      </c>
      <c r="B105" s="17"/>
      <c r="C105" s="21"/>
      <c r="D105" s="13"/>
      <c r="E105" s="54"/>
      <c r="F105" s="64"/>
      <c r="G105" s="69"/>
      <c r="H105" s="69"/>
      <c r="J105" s="21"/>
      <c r="K105" s="13"/>
      <c r="L105" s="54"/>
      <c r="M105" s="64"/>
      <c r="N105" s="69"/>
      <c r="O105" s="69"/>
      <c r="Q105" s="21"/>
      <c r="R105" s="13"/>
      <c r="S105" s="54"/>
      <c r="T105" s="64"/>
      <c r="U105" s="69"/>
      <c r="V105" s="69"/>
      <c r="X105" s="21"/>
      <c r="Y105" s="13"/>
      <c r="Z105" s="54"/>
      <c r="AA105" s="64"/>
      <c r="AB105" s="69"/>
      <c r="AC105" s="69"/>
      <c r="AD105">
        <v>1</v>
      </c>
      <c r="AE105" s="21"/>
      <c r="AF105" s="13"/>
      <c r="AG105" s="54"/>
      <c r="AH105" s="64"/>
      <c r="AI105" s="69"/>
      <c r="AJ105" s="69"/>
      <c r="AL105" s="21"/>
      <c r="AM105" s="13"/>
      <c r="AN105" s="54"/>
      <c r="AO105" s="64"/>
      <c r="AP105" s="69"/>
      <c r="AQ105" s="69"/>
      <c r="AS105" s="21"/>
      <c r="AT105" s="13"/>
      <c r="AU105" s="54"/>
      <c r="AV105" s="64"/>
      <c r="AW105" s="69"/>
      <c r="AX105" s="69"/>
      <c r="AZ105" s="21"/>
      <c r="BA105" s="13"/>
      <c r="BB105" s="54"/>
      <c r="BC105" s="64"/>
      <c r="BD105" s="69"/>
      <c r="BE105" s="69"/>
      <c r="BG105" s="21"/>
      <c r="BH105" s="13"/>
      <c r="BI105" s="54"/>
      <c r="BJ105" s="64"/>
      <c r="BK105" s="69"/>
      <c r="BL105" s="69"/>
      <c r="BN105" s="21"/>
      <c r="BO105" s="13"/>
      <c r="BP105" s="54"/>
      <c r="BQ105" s="64"/>
      <c r="BR105" s="69"/>
      <c r="BS105" s="69"/>
      <c r="BU105" s="21"/>
      <c r="BV105" s="13"/>
      <c r="BW105" s="54"/>
      <c r="BX105" s="64"/>
      <c r="BY105" s="69"/>
      <c r="BZ105" s="69"/>
      <c r="CB105" s="21"/>
      <c r="CC105" s="13"/>
      <c r="CD105" s="54"/>
      <c r="CE105" s="64"/>
      <c r="CF105" s="69"/>
      <c r="CG105" s="69"/>
      <c r="CI105" s="21"/>
      <c r="CJ105" s="13"/>
      <c r="CK105" s="54"/>
      <c r="CL105" s="64"/>
      <c r="CM105" s="69"/>
      <c r="CN105" s="69"/>
      <c r="CP105" s="21"/>
      <c r="CQ105" s="128"/>
      <c r="CR105" s="54"/>
      <c r="CS105" s="64"/>
      <c r="CT105" s="69"/>
      <c r="CV105" s="21"/>
      <c r="CW105" s="128"/>
      <c r="CX105" s="54"/>
      <c r="CY105" s="64"/>
      <c r="CZ105" s="69"/>
      <c r="DB105" s="21"/>
      <c r="DC105" s="128"/>
      <c r="DD105" s="54"/>
      <c r="DE105" s="64"/>
      <c r="DF105" s="69"/>
      <c r="DH105" s="21"/>
      <c r="DI105" s="128"/>
      <c r="DJ105" s="54"/>
      <c r="DK105" s="64"/>
      <c r="DL105" s="69"/>
      <c r="DN105" s="21"/>
      <c r="DO105" s="128"/>
      <c r="DP105" s="54"/>
      <c r="DQ105" s="64"/>
      <c r="DR105" s="69"/>
      <c r="DT105" s="21"/>
      <c r="DU105" s="128"/>
      <c r="DV105" s="54"/>
      <c r="DW105" s="64"/>
      <c r="DX105" s="69"/>
      <c r="DZ105" s="21"/>
      <c r="EA105" s="128"/>
      <c r="EB105" s="54"/>
      <c r="EC105" s="64"/>
      <c r="ED105" s="69"/>
      <c r="EF105" s="21"/>
      <c r="EG105" s="128"/>
      <c r="EH105" s="54"/>
      <c r="EI105" s="64"/>
      <c r="EJ105" s="69"/>
      <c r="EL105" s="21"/>
      <c r="EM105" s="128"/>
      <c r="EN105" s="54"/>
      <c r="EO105" s="64"/>
      <c r="EP105" s="69"/>
      <c r="ER105" s="21"/>
      <c r="ES105" s="128"/>
      <c r="ET105" s="54"/>
      <c r="EU105" s="64"/>
      <c r="EV105" s="69"/>
      <c r="EX105" s="21"/>
      <c r="EY105" s="128"/>
      <c r="EZ105" s="54"/>
      <c r="FA105" s="64"/>
      <c r="FB105" s="69"/>
      <c r="FD105" s="21"/>
      <c r="FE105" s="128"/>
      <c r="FF105" s="54"/>
      <c r="FG105" s="64"/>
      <c r="FH105" s="69"/>
      <c r="FJ105" s="21"/>
      <c r="FK105" s="128"/>
      <c r="FL105" s="54"/>
      <c r="FM105" s="64"/>
      <c r="FN105" s="69"/>
      <c r="FO105" s="128"/>
      <c r="FP105" s="54"/>
      <c r="FQ105" s="64"/>
      <c r="FR105" s="69"/>
      <c r="FT105" s="21"/>
      <c r="FU105" s="128"/>
      <c r="FV105" s="54"/>
      <c r="FW105" s="64"/>
      <c r="FX105" s="69"/>
      <c r="FZ105" s="21"/>
      <c r="GA105" s="128"/>
      <c r="GB105" s="54"/>
      <c r="GC105" s="64"/>
      <c r="GD105" s="69"/>
      <c r="GF105" s="21"/>
      <c r="GG105" s="38"/>
      <c r="GH105" s="54"/>
      <c r="GI105" s="64"/>
      <c r="GJ105" s="64"/>
      <c r="GL105" s="21"/>
      <c r="GM105" s="38"/>
      <c r="GN105" s="54"/>
      <c r="GO105" s="64"/>
      <c r="GP105" s="64"/>
      <c r="GR105" s="21"/>
      <c r="GS105" s="38"/>
      <c r="GT105" s="54"/>
      <c r="GU105" s="64"/>
      <c r="GV105" s="64"/>
      <c r="GX105" s="21"/>
      <c r="GY105" s="38"/>
      <c r="GZ105" s="54"/>
      <c r="HA105" s="64"/>
      <c r="HB105" s="64"/>
      <c r="HD105" s="21"/>
      <c r="HE105" s="38"/>
      <c r="HF105" s="54"/>
      <c r="HG105" s="64"/>
      <c r="HH105" s="64"/>
      <c r="HJ105" s="21"/>
      <c r="HK105" s="38"/>
      <c r="HL105" s="54"/>
      <c r="HM105" s="64"/>
      <c r="HN105" s="64"/>
      <c r="HP105" s="21"/>
      <c r="HQ105" s="38"/>
      <c r="HR105" s="54"/>
      <c r="HS105" s="64"/>
      <c r="HT105" s="64"/>
      <c r="HV105" s="21"/>
      <c r="HW105" s="38"/>
      <c r="HX105" s="54"/>
      <c r="HY105" s="64"/>
      <c r="HZ105" s="64"/>
      <c r="IB105" s="21"/>
      <c r="IC105" s="38"/>
      <c r="ID105" s="54"/>
      <c r="IE105" s="64"/>
      <c r="IF105" s="64"/>
      <c r="IH105" s="21"/>
      <c r="IJ105" s="21"/>
      <c r="IK105" s="38"/>
      <c r="IL105" s="54"/>
      <c r="IM105" s="64"/>
      <c r="IN105" s="64"/>
      <c r="IP105" s="21"/>
      <c r="IQ105" s="38"/>
      <c r="IR105" s="54"/>
      <c r="IS105" s="64"/>
      <c r="IT105" s="64"/>
      <c r="IV105" s="21"/>
      <c r="IW105" s="38"/>
      <c r="IX105" s="54"/>
      <c r="IY105" s="64"/>
      <c r="IZ105" s="64"/>
      <c r="JB105" s="21"/>
      <c r="JC105" s="38"/>
      <c r="JD105" s="54"/>
      <c r="JE105" s="64"/>
      <c r="JF105" s="64"/>
      <c r="JH105" s="21"/>
      <c r="JI105" s="38"/>
      <c r="JJ105" s="54"/>
      <c r="JK105" s="64"/>
      <c r="JL105" s="64"/>
      <c r="JN105" s="21"/>
      <c r="JO105" s="38"/>
      <c r="JP105" s="54"/>
      <c r="JQ105" s="64"/>
      <c r="JR105" s="64"/>
      <c r="JT105" s="21"/>
      <c r="JU105" s="38"/>
      <c r="JV105" s="54"/>
      <c r="JW105" s="64"/>
      <c r="JX105" s="64"/>
      <c r="JZ105" s="21"/>
      <c r="KA105" s="38"/>
      <c r="KB105" s="54"/>
      <c r="KC105" s="64"/>
      <c r="KD105" s="64"/>
      <c r="KE105" s="4"/>
      <c r="KF105" s="38"/>
      <c r="KG105" s="35"/>
      <c r="KI105" s="54"/>
      <c r="KJ105" s="64"/>
      <c r="KK105" s="69"/>
      <c r="KL105" s="72"/>
      <c r="KM105" s="127"/>
      <c r="KO105" s="38"/>
      <c r="KP105" s="83"/>
      <c r="KQ105" s="83"/>
      <c r="KR105" s="83"/>
      <c r="KS105" s="38"/>
      <c r="KT105" s="35"/>
      <c r="KV105" s="54"/>
      <c r="KW105" s="64"/>
      <c r="KX105" s="69"/>
      <c r="KY105" s="126"/>
      <c r="KZ105" s="127"/>
      <c r="LB105" s="38"/>
      <c r="LC105" s="83"/>
      <c r="LD105" s="83"/>
      <c r="LE105" s="83"/>
      <c r="LF105" s="38"/>
      <c r="LG105" s="35"/>
      <c r="LI105" s="54"/>
      <c r="LJ105" s="64"/>
      <c r="LK105" s="69"/>
      <c r="LL105" s="126"/>
      <c r="LM105" s="127"/>
      <c r="LO105" s="38"/>
      <c r="LP105" s="83"/>
      <c r="LQ105" s="83"/>
      <c r="LR105" s="83"/>
      <c r="LS105" s="38"/>
      <c r="LT105" s="35"/>
      <c r="LV105" s="54"/>
      <c r="LW105" s="64"/>
      <c r="LX105" s="69"/>
      <c r="LY105" s="126"/>
      <c r="LZ105" s="127"/>
      <c r="MB105" s="38"/>
      <c r="MC105" s="83"/>
      <c r="MD105" s="83"/>
      <c r="ME105" s="83"/>
      <c r="MF105" s="38"/>
      <c r="MG105" s="35"/>
      <c r="MI105" s="54"/>
      <c r="MJ105" s="64"/>
      <c r="MK105" s="69"/>
      <c r="ML105" s="126"/>
      <c r="MM105" s="127"/>
      <c r="MO105" s="38"/>
      <c r="MP105" s="83"/>
      <c r="MQ105" s="83"/>
      <c r="MR105" s="83"/>
      <c r="MS105" s="4"/>
      <c r="MT105" s="4">
        <f>COUNTA(B105:MI105)</f>
        <v>1</v>
      </c>
      <c r="NC105" s="21"/>
      <c r="ND105" s="128"/>
      <c r="NE105" s="54"/>
    </row>
    <row r="106" spans="1:369" x14ac:dyDescent="0.15">
      <c r="A106" s="58" t="s">
        <v>104</v>
      </c>
      <c r="C106" s="21"/>
      <c r="D106" s="13"/>
      <c r="E106" s="54"/>
      <c r="F106" s="64"/>
      <c r="G106" s="69"/>
      <c r="H106" s="69"/>
      <c r="J106" s="21"/>
      <c r="K106" s="13"/>
      <c r="L106" s="54"/>
      <c r="M106" s="64"/>
      <c r="N106" s="69"/>
      <c r="O106" s="69"/>
      <c r="Q106" s="21"/>
      <c r="R106" s="13"/>
      <c r="S106" s="54"/>
      <c r="T106" s="64"/>
      <c r="U106" s="69"/>
      <c r="V106" s="69"/>
      <c r="X106" s="21"/>
      <c r="Y106" s="13"/>
      <c r="Z106" s="54"/>
      <c r="AA106" s="64"/>
      <c r="AB106" s="69"/>
      <c r="AC106" s="69"/>
      <c r="AE106" s="21"/>
      <c r="AF106" s="13"/>
      <c r="AG106" s="54"/>
      <c r="AH106" s="64"/>
      <c r="AI106" s="69"/>
      <c r="AJ106" s="69"/>
      <c r="AL106" s="21"/>
      <c r="AM106" s="13"/>
      <c r="AN106" s="54"/>
      <c r="AO106" s="64"/>
      <c r="AP106" s="69"/>
      <c r="AQ106" s="69"/>
      <c r="AS106" s="21"/>
      <c r="AT106" s="13"/>
      <c r="AU106" s="77"/>
      <c r="AV106" s="64"/>
      <c r="AW106" s="69"/>
      <c r="AX106" s="69"/>
      <c r="AZ106" s="21"/>
      <c r="BA106" s="13"/>
      <c r="BB106" s="54"/>
      <c r="BC106" s="64"/>
      <c r="BD106" s="69"/>
      <c r="BE106" s="69"/>
      <c r="BG106" s="21"/>
      <c r="BH106" s="13"/>
      <c r="BI106" s="54"/>
      <c r="BJ106" s="64"/>
      <c r="BK106" s="69"/>
      <c r="BL106" s="69"/>
      <c r="BN106" s="21"/>
      <c r="BO106" s="13"/>
      <c r="BP106" s="54"/>
      <c r="BQ106" s="64"/>
      <c r="BR106" s="69"/>
      <c r="BS106" s="69"/>
      <c r="BU106" s="21"/>
      <c r="BV106" s="13"/>
      <c r="BW106" s="54"/>
      <c r="BX106" s="64"/>
      <c r="BY106" s="69"/>
      <c r="BZ106" s="69"/>
      <c r="CB106" s="21"/>
      <c r="CC106" s="13"/>
      <c r="CD106" s="54"/>
      <c r="CE106" s="64"/>
      <c r="CF106" s="69"/>
      <c r="CG106" s="69"/>
      <c r="CI106" s="21"/>
      <c r="CJ106" s="13"/>
      <c r="CK106" s="54"/>
      <c r="CL106" s="64"/>
      <c r="CM106" s="69"/>
      <c r="CN106" s="69"/>
      <c r="GF106" s="21"/>
      <c r="GG106" s="38"/>
      <c r="GH106" s="54"/>
      <c r="GI106" s="64"/>
      <c r="GJ106" s="64"/>
      <c r="GL106" s="21"/>
      <c r="GM106" s="38"/>
      <c r="GN106" s="54"/>
      <c r="GO106" s="64"/>
      <c r="GP106" s="64"/>
      <c r="GR106" s="21"/>
      <c r="GS106" s="38"/>
      <c r="GT106" s="54"/>
      <c r="GU106" s="64"/>
      <c r="GV106" s="64"/>
      <c r="GX106" s="21"/>
      <c r="GY106" s="38"/>
      <c r="GZ106" s="54"/>
      <c r="HA106" s="64"/>
      <c r="HB106" s="64"/>
      <c r="HD106" s="21"/>
      <c r="HE106" s="38"/>
      <c r="HF106" s="54"/>
      <c r="HG106" s="64"/>
      <c r="HH106" s="64"/>
      <c r="HJ106" s="21"/>
      <c r="HK106" s="38"/>
      <c r="HL106" s="54"/>
      <c r="HM106" s="64"/>
      <c r="HN106" s="64"/>
      <c r="HP106" s="21"/>
      <c r="HQ106" s="38"/>
      <c r="HR106" s="54"/>
      <c r="HS106" s="64"/>
      <c r="HT106" s="64"/>
      <c r="HV106" s="21"/>
      <c r="HW106" s="38"/>
      <c r="HX106" s="54"/>
      <c r="HY106" s="64"/>
      <c r="HZ106" s="64"/>
      <c r="IB106" s="21"/>
      <c r="IC106" s="38"/>
      <c r="ID106" s="54"/>
      <c r="IE106" s="64"/>
      <c r="IF106" s="64"/>
      <c r="IH106" s="21"/>
      <c r="IJ106" s="21"/>
      <c r="IK106" s="38"/>
      <c r="IL106" s="54"/>
      <c r="IM106" s="64"/>
      <c r="IN106" s="64"/>
      <c r="IP106" s="21"/>
      <c r="IQ106" s="38"/>
      <c r="IR106" s="54"/>
      <c r="IS106" s="64"/>
      <c r="IT106" s="64"/>
      <c r="IV106" s="21"/>
      <c r="IW106" s="38"/>
      <c r="IX106" s="54"/>
      <c r="IY106" s="64"/>
      <c r="IZ106" s="64"/>
      <c r="JB106" s="21"/>
      <c r="JC106" s="38"/>
      <c r="JD106" s="54"/>
      <c r="JE106" s="64"/>
      <c r="JF106" s="64"/>
      <c r="JH106" s="21"/>
      <c r="JI106" s="38"/>
      <c r="JJ106" s="54"/>
      <c r="JK106" s="64"/>
      <c r="JL106" s="64"/>
      <c r="JN106" s="21"/>
      <c r="JO106" s="38"/>
      <c r="JP106" s="54"/>
      <c r="JQ106" s="64"/>
      <c r="JR106" s="64"/>
      <c r="JT106" s="21"/>
      <c r="JU106" s="38"/>
      <c r="JV106" s="54"/>
      <c r="JW106" s="64"/>
      <c r="JX106" s="64"/>
      <c r="JZ106" s="21"/>
      <c r="KA106" s="38"/>
      <c r="KB106" s="54"/>
      <c r="KC106" s="64"/>
      <c r="KD106" s="64"/>
      <c r="KF106" s="38"/>
      <c r="KG106" s="35"/>
      <c r="KI106" s="54"/>
      <c r="KJ106" s="64"/>
      <c r="KK106" s="69"/>
      <c r="KL106" s="72"/>
      <c r="KM106" s="127"/>
      <c r="KO106" s="38"/>
      <c r="KP106" s="83"/>
      <c r="KQ106" s="83"/>
      <c r="KR106" s="83"/>
      <c r="KS106" s="38"/>
      <c r="KT106" s="35"/>
      <c r="KV106" s="54"/>
      <c r="KW106" s="64"/>
      <c r="KX106" s="69"/>
      <c r="KY106" s="126"/>
      <c r="KZ106" s="127"/>
      <c r="LB106" s="38"/>
      <c r="LC106" s="83"/>
      <c r="LD106" s="83"/>
      <c r="LE106" s="83"/>
      <c r="LF106" s="38"/>
      <c r="LG106" s="35"/>
      <c r="LI106" s="54"/>
      <c r="LJ106" s="64"/>
      <c r="LK106" s="69"/>
      <c r="LL106" s="126"/>
      <c r="LM106" s="127"/>
      <c r="LO106" s="38"/>
      <c r="LP106" s="83"/>
      <c r="LQ106" s="83"/>
      <c r="LR106" s="83"/>
      <c r="LS106" s="38"/>
      <c r="LT106" s="35"/>
      <c r="LV106" s="54"/>
      <c r="LW106" s="64"/>
      <c r="LX106" s="69"/>
      <c r="LY106" s="126"/>
      <c r="LZ106" s="127"/>
      <c r="MB106" s="38"/>
      <c r="MC106" s="83"/>
      <c r="MD106" s="83"/>
      <c r="ME106" s="83"/>
      <c r="MF106" s="38"/>
      <c r="MG106" s="35"/>
      <c r="MI106" s="54"/>
      <c r="MJ106" s="64"/>
      <c r="MK106" s="69"/>
      <c r="ML106" s="126"/>
      <c r="MM106" s="127"/>
      <c r="MO106" s="38"/>
      <c r="MP106" s="83"/>
      <c r="MQ106" s="83"/>
      <c r="MR106" s="83"/>
      <c r="MT106" s="4">
        <f>COUNTA(KE106:MI106)</f>
        <v>0</v>
      </c>
    </row>
  </sheetData>
  <mergeCells count="106">
    <mergeCell ref="FS2:FX2"/>
    <mergeCell ref="FY2:GD2"/>
    <mergeCell ref="GE2:GJ2"/>
    <mergeCell ref="GK2:GP2"/>
    <mergeCell ref="B2:H2"/>
    <mergeCell ref="B3:H3"/>
    <mergeCell ref="I2:O2"/>
    <mergeCell ref="I3:O3"/>
    <mergeCell ref="P2:V2"/>
    <mergeCell ref="P3:V3"/>
    <mergeCell ref="W2:AC2"/>
    <mergeCell ref="W3:AC3"/>
    <mergeCell ref="AD2:AJ2"/>
    <mergeCell ref="AD3:AJ3"/>
    <mergeCell ref="AK3:AQ3"/>
    <mergeCell ref="AR2:AX2"/>
    <mergeCell ref="AR3:AX3"/>
    <mergeCell ref="AY2:BE2"/>
    <mergeCell ref="AY3:BE3"/>
    <mergeCell ref="BF2:BL2"/>
    <mergeCell ref="BF3:BL3"/>
    <mergeCell ref="BM2:BS2"/>
    <mergeCell ref="BM3:BS3"/>
    <mergeCell ref="AK2:AQ2"/>
    <mergeCell ref="EQ2:EV2"/>
    <mergeCell ref="FI2:FN2"/>
    <mergeCell ref="EW2:FB2"/>
    <mergeCell ref="FC2:FH2"/>
    <mergeCell ref="NB3:NE3"/>
    <mergeCell ref="CO3:CT3"/>
    <mergeCell ref="CU3:CZ3"/>
    <mergeCell ref="FS3:FX3"/>
    <mergeCell ref="FY3:GD3"/>
    <mergeCell ref="FO3:FR3"/>
    <mergeCell ref="IG3:IH3"/>
    <mergeCell ref="GE3:GJ3"/>
    <mergeCell ref="DS2:DX2"/>
    <mergeCell ref="EE2:EJ2"/>
    <mergeCell ref="EK2:EP2"/>
    <mergeCell ref="DA2:DF2"/>
    <mergeCell ref="DG2:DL2"/>
    <mergeCell ref="DM2:DR2"/>
    <mergeCell ref="CO2:CT2"/>
    <mergeCell ref="CU2:CZ2"/>
    <mergeCell ref="DY2:ED2"/>
    <mergeCell ref="NB2:NE2"/>
    <mergeCell ref="IG2:IH2"/>
    <mergeCell ref="FO2:FR2"/>
    <mergeCell ref="IU3:IZ3"/>
    <mergeCell ref="JA2:JF2"/>
    <mergeCell ref="JA3:JF3"/>
    <mergeCell ref="JG2:JL2"/>
    <mergeCell ref="JG3:JL3"/>
    <mergeCell ref="JM2:JR2"/>
    <mergeCell ref="JM3:JR3"/>
    <mergeCell ref="BT2:BZ2"/>
    <mergeCell ref="CA2:CG2"/>
    <mergeCell ref="CH2:CN2"/>
    <mergeCell ref="EW3:FB3"/>
    <mergeCell ref="FC3:FH3"/>
    <mergeCell ref="FI3:FN3"/>
    <mergeCell ref="DA3:DF3"/>
    <mergeCell ref="DG3:DL3"/>
    <mergeCell ref="DM3:DR3"/>
    <mergeCell ref="DS3:DX3"/>
    <mergeCell ref="DY3:ED3"/>
    <mergeCell ref="EQ3:EV3"/>
    <mergeCell ref="EE3:EJ3"/>
    <mergeCell ref="EK3:EP3"/>
    <mergeCell ref="BT3:BZ3"/>
    <mergeCell ref="CA3:CG3"/>
    <mergeCell ref="CH3:CN3"/>
    <mergeCell ref="LS2:ME2"/>
    <mergeCell ref="LS3:ME3"/>
    <mergeCell ref="MF2:MR2"/>
    <mergeCell ref="MF3:MR3"/>
    <mergeCell ref="GK3:GP3"/>
    <mergeCell ref="GQ2:GV2"/>
    <mergeCell ref="GQ3:GV3"/>
    <mergeCell ref="GW2:HB2"/>
    <mergeCell ref="GW3:HB3"/>
    <mergeCell ref="HC2:HH2"/>
    <mergeCell ref="HC3:HH3"/>
    <mergeCell ref="HI2:HN2"/>
    <mergeCell ref="HI3:HN3"/>
    <mergeCell ref="HO2:HT2"/>
    <mergeCell ref="IO2:IT2"/>
    <mergeCell ref="HO3:HT3"/>
    <mergeCell ref="HU2:HZ2"/>
    <mergeCell ref="HU3:HZ3"/>
    <mergeCell ref="IA2:IF2"/>
    <mergeCell ref="IA3:IF3"/>
    <mergeCell ref="II2:IN2"/>
    <mergeCell ref="II3:IN3"/>
    <mergeCell ref="IO3:IT3"/>
    <mergeCell ref="IU2:IZ2"/>
    <mergeCell ref="JS2:JX2"/>
    <mergeCell ref="JS3:JX3"/>
    <mergeCell ref="JY2:KD2"/>
    <mergeCell ref="JY3:KD3"/>
    <mergeCell ref="KF2:KR2"/>
    <mergeCell ref="KF3:KR3"/>
    <mergeCell ref="KS2:LE2"/>
    <mergeCell ref="KS3:LE3"/>
    <mergeCell ref="LF2:LR2"/>
    <mergeCell ref="LF3:LR3"/>
  </mergeCells>
  <phoneticPr fontId="1"/>
  <conditionalFormatting sqref="KJ83:KM8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W83:KZ8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J83:LM8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W83:LZ8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G74:MH82 MG6:MO8 MJ74:MO82 MI75:MI80 MG9:MI9 MG10:MO73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I96:MI103 MI105 MG98:MH106 MG95:MH95 MJ98:MO106 MJ95:MO9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J83:MM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P6:MR8 MP10:MR82"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Q83:MR8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P98:MR106 MP95:MR95"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gridLines="1"/>
  <pageMargins left="0.25" right="0.25" top="0.75" bottom="0.75" header="0.3" footer="0.3"/>
  <pageSetup paperSize="8" scale="72" orientation="landscape" horizont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D210-9D66-4C82-8E90-F6E79E4F900A}">
  <dimension ref="A1:BS517"/>
  <sheetViews>
    <sheetView zoomScale="84" zoomScaleNormal="84" workbookViewId="0">
      <selection activeCell="A513" sqref="A513:BA513"/>
    </sheetView>
  </sheetViews>
  <sheetFormatPr defaultRowHeight="13.5" x14ac:dyDescent="0.15"/>
  <cols>
    <col min="1" max="1" width="29" customWidth="1"/>
    <col min="2" max="43" width="3.125" customWidth="1"/>
    <col min="44" max="45" width="5" customWidth="1"/>
    <col min="46" max="71" width="3.125" customWidth="1"/>
  </cols>
  <sheetData>
    <row r="1" spans="1:71" x14ac:dyDescent="0.15">
      <c r="A1" s="195" t="s">
        <v>255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</row>
    <row r="2" spans="1:71" x14ac:dyDescent="0.15">
      <c r="A2" t="s">
        <v>0</v>
      </c>
      <c r="B2" s="242">
        <v>1</v>
      </c>
      <c r="C2" s="242"/>
      <c r="D2" s="242"/>
      <c r="E2" s="242"/>
      <c r="F2" s="242"/>
      <c r="G2" s="242"/>
      <c r="H2" s="242"/>
      <c r="I2" s="242">
        <v>2</v>
      </c>
      <c r="J2" s="242"/>
      <c r="K2" s="242"/>
      <c r="L2" s="242"/>
      <c r="M2" s="242"/>
      <c r="N2" s="242"/>
      <c r="O2" s="242"/>
      <c r="P2" s="242">
        <v>3</v>
      </c>
      <c r="Q2" s="242"/>
      <c r="R2" s="242"/>
      <c r="S2" s="242"/>
      <c r="T2" s="242"/>
      <c r="U2" s="242"/>
      <c r="V2" s="242"/>
      <c r="W2" s="242">
        <v>4</v>
      </c>
      <c r="X2" s="242"/>
      <c r="Y2" s="242"/>
      <c r="Z2" s="242"/>
      <c r="AA2" s="242"/>
      <c r="AB2" s="242"/>
      <c r="AC2" s="242"/>
      <c r="AD2" s="242">
        <v>5</v>
      </c>
      <c r="AE2" s="242"/>
      <c r="AF2" s="242"/>
      <c r="AG2" s="242"/>
      <c r="AH2" s="242"/>
      <c r="AI2" s="242"/>
      <c r="AJ2" s="242"/>
      <c r="AK2" s="242">
        <v>6</v>
      </c>
      <c r="AL2" s="242"/>
      <c r="AM2" s="242"/>
      <c r="AN2" s="242"/>
      <c r="AO2" s="242"/>
      <c r="AP2" s="242"/>
      <c r="AQ2" s="242"/>
      <c r="AR2" s="242">
        <v>7</v>
      </c>
      <c r="AS2" s="242"/>
      <c r="AT2" s="242"/>
      <c r="AU2" s="242"/>
      <c r="AV2" s="242"/>
      <c r="AW2" s="242"/>
      <c r="AX2" s="242"/>
      <c r="AY2" s="242">
        <v>8</v>
      </c>
      <c r="AZ2" s="242"/>
      <c r="BA2" s="242"/>
      <c r="BB2" s="242"/>
      <c r="BC2" s="242"/>
      <c r="BD2" s="242"/>
      <c r="BE2" s="242"/>
      <c r="BF2" s="242">
        <v>9</v>
      </c>
      <c r="BG2" s="242"/>
      <c r="BH2" s="242"/>
      <c r="BI2" s="242"/>
      <c r="BJ2" s="242"/>
      <c r="BK2" s="242"/>
      <c r="BL2" s="242"/>
      <c r="BM2" s="242">
        <v>10</v>
      </c>
      <c r="BN2" s="242"/>
      <c r="BO2" s="242"/>
      <c r="BP2" s="242"/>
      <c r="BQ2" s="242"/>
      <c r="BR2" s="242"/>
      <c r="BS2" s="242"/>
    </row>
    <row r="3" spans="1:71" x14ac:dyDescent="0.15">
      <c r="A3" s="6" t="s">
        <v>1</v>
      </c>
      <c r="B3" s="243" t="s">
        <v>188</v>
      </c>
      <c r="C3" s="243"/>
      <c r="D3" s="243"/>
      <c r="E3" s="243"/>
      <c r="F3" s="243"/>
      <c r="G3" s="243"/>
      <c r="H3" s="243"/>
      <c r="I3" s="243" t="s">
        <v>223</v>
      </c>
      <c r="J3" s="243"/>
      <c r="K3" s="243"/>
      <c r="L3" s="243"/>
      <c r="M3" s="243"/>
      <c r="N3" s="243"/>
      <c r="O3" s="243"/>
      <c r="P3" s="243" t="s">
        <v>224</v>
      </c>
      <c r="Q3" s="243"/>
      <c r="R3" s="243"/>
      <c r="S3" s="243"/>
      <c r="T3" s="243"/>
      <c r="U3" s="243"/>
      <c r="V3" s="243"/>
      <c r="W3" s="243" t="s">
        <v>225</v>
      </c>
      <c r="X3" s="243"/>
      <c r="Y3" s="243"/>
      <c r="Z3" s="243"/>
      <c r="AA3" s="243"/>
      <c r="AB3" s="243"/>
      <c r="AC3" s="243"/>
      <c r="AD3" s="243" t="s">
        <v>226</v>
      </c>
      <c r="AE3" s="243"/>
      <c r="AF3" s="243"/>
      <c r="AG3" s="243"/>
      <c r="AH3" s="243"/>
      <c r="AI3" s="243"/>
      <c r="AJ3" s="243"/>
      <c r="AK3" s="243" t="s">
        <v>227</v>
      </c>
      <c r="AL3" s="243"/>
      <c r="AM3" s="243"/>
      <c r="AN3" s="243"/>
      <c r="AO3" s="243"/>
      <c r="AP3" s="243"/>
      <c r="AQ3" s="243"/>
      <c r="AR3" s="243" t="s">
        <v>230</v>
      </c>
      <c r="AS3" s="243"/>
      <c r="AT3" s="243"/>
      <c r="AU3" s="243"/>
      <c r="AV3" s="243"/>
      <c r="AW3" s="243"/>
      <c r="AX3" s="243"/>
      <c r="AY3" s="243" t="s">
        <v>127</v>
      </c>
      <c r="AZ3" s="243"/>
      <c r="BA3" s="243"/>
      <c r="BB3" s="243"/>
      <c r="BC3" s="243"/>
      <c r="BD3" s="243"/>
      <c r="BE3" s="243"/>
      <c r="BF3" s="243" t="s">
        <v>233</v>
      </c>
      <c r="BG3" s="243"/>
      <c r="BH3" s="243"/>
      <c r="BI3" s="243"/>
      <c r="BJ3" s="243"/>
      <c r="BK3" s="243"/>
      <c r="BL3" s="243"/>
      <c r="BM3" s="243" t="s">
        <v>128</v>
      </c>
      <c r="BN3" s="243"/>
      <c r="BO3" s="243"/>
      <c r="BP3" s="243"/>
      <c r="BQ3" s="243"/>
      <c r="BR3" s="243"/>
      <c r="BS3" s="243"/>
    </row>
    <row r="4" spans="1:71" x14ac:dyDescent="0.15">
      <c r="A4" s="8"/>
      <c r="B4" s="94" t="s">
        <v>65</v>
      </c>
      <c r="C4" s="95" t="s">
        <v>63</v>
      </c>
      <c r="D4" s="96" t="s">
        <v>64</v>
      </c>
      <c r="E4" s="97" t="s">
        <v>100</v>
      </c>
      <c r="F4" s="98" t="s">
        <v>114</v>
      </c>
      <c r="G4" s="144" t="s">
        <v>187</v>
      </c>
      <c r="H4" s="168" t="s">
        <v>220</v>
      </c>
      <c r="I4" s="94" t="s">
        <v>65</v>
      </c>
      <c r="J4" s="95" t="s">
        <v>63</v>
      </c>
      <c r="K4" s="96" t="s">
        <v>64</v>
      </c>
      <c r="L4" s="97" t="s">
        <v>100</v>
      </c>
      <c r="M4" s="98" t="s">
        <v>114</v>
      </c>
      <c r="N4" s="144" t="s">
        <v>187</v>
      </c>
      <c r="O4" s="168" t="s">
        <v>220</v>
      </c>
      <c r="P4" s="99" t="s">
        <v>65</v>
      </c>
      <c r="Q4" s="95" t="s">
        <v>63</v>
      </c>
      <c r="R4" s="96" t="s">
        <v>64</v>
      </c>
      <c r="S4" s="97" t="s">
        <v>100</v>
      </c>
      <c r="T4" s="98" t="s">
        <v>114</v>
      </c>
      <c r="U4" s="144" t="s">
        <v>187</v>
      </c>
      <c r="V4" s="168" t="s">
        <v>220</v>
      </c>
      <c r="W4" s="94" t="s">
        <v>65</v>
      </c>
      <c r="X4" s="95" t="s">
        <v>63</v>
      </c>
      <c r="Y4" s="96" t="s">
        <v>64</v>
      </c>
      <c r="Z4" s="97" t="s">
        <v>100</v>
      </c>
      <c r="AA4" s="98" t="s">
        <v>114</v>
      </c>
      <c r="AB4" s="144" t="s">
        <v>187</v>
      </c>
      <c r="AC4" s="168" t="s">
        <v>220</v>
      </c>
      <c r="AD4" s="94" t="s">
        <v>65</v>
      </c>
      <c r="AE4" s="95" t="s">
        <v>63</v>
      </c>
      <c r="AF4" s="96" t="s">
        <v>64</v>
      </c>
      <c r="AG4" s="97" t="s">
        <v>100</v>
      </c>
      <c r="AH4" s="98" t="s">
        <v>114</v>
      </c>
      <c r="AI4" s="144" t="s">
        <v>187</v>
      </c>
      <c r="AJ4" s="168" t="s">
        <v>220</v>
      </c>
      <c r="AK4" s="94" t="s">
        <v>65</v>
      </c>
      <c r="AL4" s="95" t="s">
        <v>63</v>
      </c>
      <c r="AM4" s="96" t="s">
        <v>64</v>
      </c>
      <c r="AN4" s="97" t="s">
        <v>100</v>
      </c>
      <c r="AO4" s="98" t="s">
        <v>114</v>
      </c>
      <c r="AP4" s="144" t="s">
        <v>187</v>
      </c>
      <c r="AQ4" s="168" t="s">
        <v>220</v>
      </c>
      <c r="AR4" s="94" t="s">
        <v>65</v>
      </c>
      <c r="AS4" s="95" t="s">
        <v>63</v>
      </c>
      <c r="AT4" s="96" t="s">
        <v>64</v>
      </c>
      <c r="AU4" s="97" t="s">
        <v>100</v>
      </c>
      <c r="AV4" s="98" t="s">
        <v>114</v>
      </c>
      <c r="AW4" s="144" t="s">
        <v>187</v>
      </c>
      <c r="AX4" s="168" t="s">
        <v>220</v>
      </c>
      <c r="AY4" s="94" t="s">
        <v>65</v>
      </c>
      <c r="AZ4" s="95" t="s">
        <v>63</v>
      </c>
      <c r="BA4" s="96" t="s">
        <v>64</v>
      </c>
      <c r="BB4" s="97" t="s">
        <v>100</v>
      </c>
      <c r="BC4" s="98" t="s">
        <v>114</v>
      </c>
      <c r="BD4" s="144" t="s">
        <v>187</v>
      </c>
      <c r="BE4" s="168" t="s">
        <v>220</v>
      </c>
      <c r="BF4" s="94" t="s">
        <v>65</v>
      </c>
      <c r="BG4" s="95" t="s">
        <v>63</v>
      </c>
      <c r="BH4" s="96" t="s">
        <v>64</v>
      </c>
      <c r="BI4" s="97" t="s">
        <v>100</v>
      </c>
      <c r="BJ4" s="98" t="s">
        <v>114</v>
      </c>
      <c r="BK4" s="144" t="s">
        <v>187</v>
      </c>
      <c r="BL4" s="168" t="s">
        <v>220</v>
      </c>
      <c r="BM4" s="94" t="s">
        <v>65</v>
      </c>
      <c r="BN4" s="95" t="s">
        <v>63</v>
      </c>
      <c r="BO4" s="96" t="s">
        <v>64</v>
      </c>
      <c r="BP4" s="97" t="s">
        <v>100</v>
      </c>
      <c r="BQ4" s="98" t="s">
        <v>114</v>
      </c>
      <c r="BR4" s="144" t="s">
        <v>187</v>
      </c>
      <c r="BS4" s="168" t="s">
        <v>220</v>
      </c>
    </row>
    <row r="5" spans="1:71" ht="14.25" x14ac:dyDescent="0.15">
      <c r="A5" s="26" t="s">
        <v>59</v>
      </c>
      <c r="B5" s="42">
        <f t="shared" ref="B5:BM5" si="0">COUNT(B6:B83)</f>
        <v>9</v>
      </c>
      <c r="C5" s="43">
        <f t="shared" si="0"/>
        <v>12</v>
      </c>
      <c r="D5" s="102">
        <f t="shared" si="0"/>
        <v>25</v>
      </c>
      <c r="E5" s="52">
        <f t="shared" si="0"/>
        <v>22</v>
      </c>
      <c r="F5" s="62">
        <f t="shared" si="0"/>
        <v>26</v>
      </c>
      <c r="G5" s="68">
        <f t="shared" si="0"/>
        <v>25</v>
      </c>
      <c r="H5" s="110">
        <f t="shared" si="0"/>
        <v>24</v>
      </c>
      <c r="I5" s="42">
        <f t="shared" si="0"/>
        <v>9</v>
      </c>
      <c r="J5" s="43">
        <f t="shared" si="0"/>
        <v>14</v>
      </c>
      <c r="K5" s="102">
        <f t="shared" si="0"/>
        <v>20</v>
      </c>
      <c r="L5" s="52">
        <f t="shared" si="0"/>
        <v>24</v>
      </c>
      <c r="M5" s="62">
        <f t="shared" si="0"/>
        <v>24</v>
      </c>
      <c r="N5" s="68">
        <f t="shared" si="0"/>
        <v>23</v>
      </c>
      <c r="O5" s="110">
        <f t="shared" si="0"/>
        <v>22</v>
      </c>
      <c r="P5" s="42">
        <f t="shared" si="0"/>
        <v>8</v>
      </c>
      <c r="Q5" s="43">
        <f t="shared" si="0"/>
        <v>10</v>
      </c>
      <c r="R5" s="102">
        <f t="shared" si="0"/>
        <v>15</v>
      </c>
      <c r="S5" s="52">
        <f t="shared" si="0"/>
        <v>19</v>
      </c>
      <c r="T5" s="62">
        <f t="shared" si="0"/>
        <v>19</v>
      </c>
      <c r="U5" s="68">
        <f t="shared" si="0"/>
        <v>15</v>
      </c>
      <c r="V5" s="110">
        <f t="shared" si="0"/>
        <v>18</v>
      </c>
      <c r="W5" s="42">
        <f t="shared" si="0"/>
        <v>12</v>
      </c>
      <c r="X5" s="43">
        <f t="shared" si="0"/>
        <v>15</v>
      </c>
      <c r="Y5" s="102">
        <f t="shared" si="0"/>
        <v>17</v>
      </c>
      <c r="Z5" s="52">
        <f t="shared" si="0"/>
        <v>21</v>
      </c>
      <c r="AA5" s="62">
        <f t="shared" si="0"/>
        <v>21</v>
      </c>
      <c r="AB5" s="68">
        <f t="shared" si="0"/>
        <v>18</v>
      </c>
      <c r="AC5" s="110">
        <f t="shared" si="0"/>
        <v>25</v>
      </c>
      <c r="AD5" s="42">
        <f t="shared" si="0"/>
        <v>9</v>
      </c>
      <c r="AE5" s="43">
        <f t="shared" si="0"/>
        <v>13</v>
      </c>
      <c r="AF5" s="102">
        <f t="shared" si="0"/>
        <v>17</v>
      </c>
      <c r="AG5" s="52">
        <f t="shared" si="0"/>
        <v>17</v>
      </c>
      <c r="AH5" s="62">
        <f t="shared" si="0"/>
        <v>21</v>
      </c>
      <c r="AI5" s="68">
        <f t="shared" si="0"/>
        <v>19</v>
      </c>
      <c r="AJ5" s="110">
        <f t="shared" si="0"/>
        <v>21</v>
      </c>
      <c r="AK5" s="42">
        <f t="shared" si="0"/>
        <v>13</v>
      </c>
      <c r="AL5" s="43">
        <f t="shared" si="0"/>
        <v>23</v>
      </c>
      <c r="AM5" s="102">
        <f t="shared" si="0"/>
        <v>17</v>
      </c>
      <c r="AN5" s="52">
        <f t="shared" si="0"/>
        <v>26</v>
      </c>
      <c r="AO5" s="62">
        <f t="shared" si="0"/>
        <v>28</v>
      </c>
      <c r="AP5" s="68">
        <f t="shared" si="0"/>
        <v>32</v>
      </c>
      <c r="AQ5" s="110">
        <f t="shared" si="0"/>
        <v>27</v>
      </c>
      <c r="AR5" s="42">
        <f t="shared" si="0"/>
        <v>6</v>
      </c>
      <c r="AS5" s="43">
        <f t="shared" si="0"/>
        <v>11</v>
      </c>
      <c r="AT5" s="102">
        <f t="shared" si="0"/>
        <v>13</v>
      </c>
      <c r="AU5" s="52">
        <f t="shared" si="0"/>
        <v>15</v>
      </c>
      <c r="AV5" s="62">
        <f t="shared" si="0"/>
        <v>18</v>
      </c>
      <c r="AW5" s="68">
        <f t="shared" si="0"/>
        <v>22</v>
      </c>
      <c r="AX5" s="110">
        <f t="shared" si="0"/>
        <v>23</v>
      </c>
      <c r="AY5" s="42">
        <f t="shared" si="0"/>
        <v>7</v>
      </c>
      <c r="AZ5" s="43">
        <f t="shared" si="0"/>
        <v>12</v>
      </c>
      <c r="BA5" s="102">
        <f t="shared" si="0"/>
        <v>15</v>
      </c>
      <c r="BB5" s="52">
        <f t="shared" si="0"/>
        <v>19</v>
      </c>
      <c r="BC5" s="62">
        <f t="shared" si="0"/>
        <v>20</v>
      </c>
      <c r="BD5" s="68">
        <f t="shared" si="0"/>
        <v>21</v>
      </c>
      <c r="BE5" s="110">
        <f t="shared" si="0"/>
        <v>21</v>
      </c>
      <c r="BF5" s="42">
        <f t="shared" si="0"/>
        <v>16</v>
      </c>
      <c r="BG5" s="43">
        <f t="shared" si="0"/>
        <v>11</v>
      </c>
      <c r="BH5" s="102">
        <f t="shared" si="0"/>
        <v>14</v>
      </c>
      <c r="BI5" s="52">
        <f t="shared" si="0"/>
        <v>17</v>
      </c>
      <c r="BJ5" s="62">
        <f t="shared" si="0"/>
        <v>18</v>
      </c>
      <c r="BK5" s="68">
        <f t="shared" si="0"/>
        <v>17</v>
      </c>
      <c r="BL5" s="110">
        <f t="shared" si="0"/>
        <v>19</v>
      </c>
      <c r="BM5" s="42">
        <f t="shared" si="0"/>
        <v>2</v>
      </c>
      <c r="BN5" s="43">
        <f t="shared" ref="BN5:BP5" si="1">COUNT(BN6:BN83)</f>
        <v>5</v>
      </c>
      <c r="BO5" s="102">
        <f t="shared" si="1"/>
        <v>9</v>
      </c>
      <c r="BP5" s="52">
        <f t="shared" si="1"/>
        <v>8</v>
      </c>
      <c r="BQ5" s="62">
        <f>COUNT(BQ6:BQ84)</f>
        <v>17</v>
      </c>
      <c r="BR5" s="68">
        <f>COUNT(BR6:BR84)</f>
        <v>18</v>
      </c>
      <c r="BS5" s="110">
        <f>COUNT(BS6:BS84)</f>
        <v>15</v>
      </c>
    </row>
    <row r="6" spans="1:71" x14ac:dyDescent="0.15">
      <c r="A6" s="27" t="s">
        <v>60</v>
      </c>
      <c r="B6" s="17"/>
      <c r="C6" s="21"/>
      <c r="D6" s="111"/>
      <c r="E6" s="112"/>
      <c r="F6" s="113"/>
      <c r="G6" s="145"/>
      <c r="H6" s="169"/>
      <c r="I6" s="114"/>
      <c r="J6" s="21"/>
      <c r="K6" s="111"/>
      <c r="L6" s="112"/>
      <c r="M6" s="113"/>
      <c r="N6" s="145"/>
      <c r="O6" s="169"/>
      <c r="P6" s="114"/>
      <c r="Q6" s="115"/>
      <c r="R6" s="111"/>
      <c r="S6" s="112"/>
      <c r="T6" s="113"/>
      <c r="U6" s="145"/>
      <c r="V6" s="169"/>
      <c r="W6" s="114"/>
      <c r="X6" s="115"/>
      <c r="Y6" s="111"/>
      <c r="Z6" s="112"/>
      <c r="AA6" s="113"/>
      <c r="AB6" s="145"/>
      <c r="AC6" s="169"/>
      <c r="AD6" s="114"/>
      <c r="AE6" s="115"/>
      <c r="AF6" s="116">
        <v>1</v>
      </c>
      <c r="AG6" s="117">
        <v>1</v>
      </c>
      <c r="AH6" s="118">
        <v>1</v>
      </c>
      <c r="AI6" s="146">
        <v>1</v>
      </c>
      <c r="AJ6" s="170">
        <v>2</v>
      </c>
      <c r="AK6" s="114"/>
      <c r="AL6" s="115"/>
      <c r="AM6" s="111"/>
      <c r="AN6" s="112"/>
      <c r="AO6" s="118">
        <v>1</v>
      </c>
      <c r="AP6" s="146"/>
      <c r="AQ6" s="170"/>
      <c r="AR6" s="114"/>
      <c r="AS6" s="115"/>
      <c r="AT6" s="111"/>
      <c r="AU6" s="112"/>
      <c r="AV6" s="113"/>
      <c r="AW6" s="145"/>
      <c r="AX6" s="169"/>
      <c r="AY6" s="114"/>
      <c r="AZ6" s="115"/>
      <c r="BA6" s="111"/>
      <c r="BB6" s="117">
        <v>1</v>
      </c>
      <c r="BC6" s="118">
        <v>1</v>
      </c>
      <c r="BD6" s="146"/>
      <c r="BE6" s="170">
        <v>1</v>
      </c>
      <c r="BF6" s="114"/>
      <c r="BG6" s="115"/>
      <c r="BH6" s="111"/>
      <c r="BI6" s="112"/>
      <c r="BJ6" s="113"/>
      <c r="BK6" s="145"/>
      <c r="BL6" s="169"/>
      <c r="BM6" s="114"/>
      <c r="BN6" s="115"/>
      <c r="BO6" s="111"/>
      <c r="BP6" s="112"/>
      <c r="BQ6" s="113"/>
      <c r="BR6" s="145"/>
      <c r="BS6" s="169"/>
    </row>
    <row r="7" spans="1:71" x14ac:dyDescent="0.15">
      <c r="A7" s="27" t="s">
        <v>105</v>
      </c>
      <c r="B7" s="17"/>
      <c r="C7" s="21"/>
      <c r="D7" s="111"/>
      <c r="E7" s="112"/>
      <c r="F7" s="113"/>
      <c r="G7" s="145"/>
      <c r="H7" s="169"/>
      <c r="I7" s="114"/>
      <c r="J7" s="21"/>
      <c r="K7" s="111"/>
      <c r="L7" s="112"/>
      <c r="M7" s="113"/>
      <c r="N7" s="145"/>
      <c r="O7" s="169"/>
      <c r="P7" s="114"/>
      <c r="Q7" s="115"/>
      <c r="R7" s="111"/>
      <c r="S7" s="112"/>
      <c r="T7" s="113"/>
      <c r="U7" s="145"/>
      <c r="V7" s="169"/>
      <c r="W7" s="114"/>
      <c r="X7" s="115"/>
      <c r="Y7" s="111"/>
      <c r="Z7" s="112"/>
      <c r="AA7" s="113"/>
      <c r="AB7" s="145"/>
      <c r="AC7" s="169"/>
      <c r="AD7" s="114"/>
      <c r="AE7" s="115"/>
      <c r="AF7" s="116"/>
      <c r="AG7" s="117"/>
      <c r="AH7" s="118">
        <v>1</v>
      </c>
      <c r="AI7" s="146"/>
      <c r="AJ7" s="170"/>
      <c r="AK7" s="114"/>
      <c r="AL7" s="115"/>
      <c r="AM7" s="111"/>
      <c r="AN7" s="112"/>
      <c r="AO7" s="113"/>
      <c r="AP7" s="145"/>
      <c r="AQ7" s="169"/>
      <c r="AR7" s="114"/>
      <c r="AS7" s="115"/>
      <c r="AT7" s="111"/>
      <c r="AU7" s="112"/>
      <c r="AV7" s="113"/>
      <c r="AW7" s="145"/>
      <c r="AX7" s="169"/>
      <c r="AY7" s="114"/>
      <c r="AZ7" s="115"/>
      <c r="BA7" s="111"/>
      <c r="BB7" s="117"/>
      <c r="BC7" s="118"/>
      <c r="BD7" s="146"/>
      <c r="BE7" s="170"/>
      <c r="BF7" s="114"/>
      <c r="BG7" s="115"/>
      <c r="BH7" s="111"/>
      <c r="BI7" s="117">
        <v>1</v>
      </c>
      <c r="BJ7" s="113"/>
      <c r="BK7" s="145"/>
      <c r="BL7" s="169"/>
      <c r="BM7" s="114"/>
      <c r="BN7" s="115"/>
      <c r="BO7" s="111"/>
      <c r="BP7" s="112"/>
      <c r="BQ7" s="113"/>
      <c r="BR7" s="145"/>
      <c r="BS7" s="169"/>
    </row>
    <row r="8" spans="1:71" x14ac:dyDescent="0.15">
      <c r="A8" s="2" t="s">
        <v>43</v>
      </c>
      <c r="B8" s="17"/>
      <c r="C8" s="21"/>
      <c r="D8" s="128"/>
      <c r="E8" s="54"/>
      <c r="F8" s="64"/>
      <c r="G8" s="69"/>
      <c r="H8" s="127"/>
      <c r="J8" s="21"/>
      <c r="K8" s="128"/>
      <c r="L8" s="54"/>
      <c r="M8" s="64"/>
      <c r="N8" s="69"/>
      <c r="O8" s="127"/>
      <c r="Q8" s="21"/>
      <c r="R8" s="128"/>
      <c r="S8" s="54"/>
      <c r="T8" s="64"/>
      <c r="U8" s="69"/>
      <c r="V8" s="127"/>
      <c r="X8" s="21"/>
      <c r="Y8" s="128"/>
      <c r="Z8" s="54"/>
      <c r="AA8" s="64"/>
      <c r="AB8" s="69"/>
      <c r="AC8" s="127"/>
      <c r="AE8" s="21"/>
      <c r="AF8" s="128"/>
      <c r="AG8" s="54"/>
      <c r="AH8" s="64"/>
      <c r="AI8" s="69"/>
      <c r="AJ8" s="127"/>
      <c r="AL8" s="21"/>
      <c r="AM8" s="128"/>
      <c r="AN8" s="54"/>
      <c r="AO8" s="64"/>
      <c r="AP8" s="69">
        <v>1</v>
      </c>
      <c r="AQ8" s="127">
        <v>1</v>
      </c>
      <c r="AS8" s="21"/>
      <c r="AT8" s="128"/>
      <c r="AU8" s="54"/>
      <c r="AV8" s="64"/>
      <c r="AW8" s="69"/>
      <c r="AX8" s="127"/>
      <c r="AZ8" s="21"/>
      <c r="BA8" s="128"/>
      <c r="BB8" s="54"/>
      <c r="BC8" s="64"/>
      <c r="BD8" s="69"/>
      <c r="BE8" s="127"/>
      <c r="BG8" s="21"/>
      <c r="BH8" s="128"/>
      <c r="BI8" s="54"/>
      <c r="BJ8" s="64"/>
      <c r="BK8" s="69"/>
      <c r="BL8" s="127"/>
      <c r="BN8" s="21"/>
      <c r="BO8" s="128"/>
      <c r="BP8" s="54"/>
      <c r="BQ8" s="64"/>
      <c r="BR8" s="69"/>
      <c r="BS8" s="127"/>
    </row>
    <row r="9" spans="1:71" x14ac:dyDescent="0.15">
      <c r="A9" s="27" t="s">
        <v>53</v>
      </c>
      <c r="B9" s="17"/>
      <c r="C9" s="21"/>
      <c r="D9" s="116">
        <v>1</v>
      </c>
      <c r="E9" s="117"/>
      <c r="F9" s="118">
        <v>1</v>
      </c>
      <c r="G9" s="146"/>
      <c r="H9" s="170"/>
      <c r="I9" s="114"/>
      <c r="J9" s="21"/>
      <c r="K9" s="111"/>
      <c r="L9" s="112"/>
      <c r="M9" s="113"/>
      <c r="N9" s="145"/>
      <c r="O9" s="169"/>
      <c r="P9" s="114"/>
      <c r="Q9" s="115"/>
      <c r="R9" s="111"/>
      <c r="S9" s="112"/>
      <c r="T9" s="113"/>
      <c r="U9" s="145"/>
      <c r="V9" s="169"/>
      <c r="W9" s="114"/>
      <c r="X9" s="115"/>
      <c r="Y9" s="116">
        <v>1</v>
      </c>
      <c r="Z9" s="112"/>
      <c r="AA9" s="113"/>
      <c r="AB9" s="145"/>
      <c r="AC9" s="169">
        <v>1</v>
      </c>
      <c r="AD9" s="114"/>
      <c r="AE9" s="115"/>
      <c r="AF9" s="111"/>
      <c r="AG9" s="112">
        <v>1</v>
      </c>
      <c r="AH9" s="113">
        <v>1</v>
      </c>
      <c r="AI9" s="145"/>
      <c r="AJ9" s="169">
        <v>1</v>
      </c>
      <c r="AK9" s="114"/>
      <c r="AL9" s="115"/>
      <c r="AM9" s="111"/>
      <c r="AN9" s="112"/>
      <c r="AO9" s="118">
        <v>2</v>
      </c>
      <c r="AP9" s="146">
        <v>1</v>
      </c>
      <c r="AQ9" s="170">
        <v>2</v>
      </c>
      <c r="AR9" s="114"/>
      <c r="AS9" s="115"/>
      <c r="AT9" s="111"/>
      <c r="AU9" s="112"/>
      <c r="AV9" s="118">
        <v>1</v>
      </c>
      <c r="AW9" s="146">
        <v>1</v>
      </c>
      <c r="AX9" s="170">
        <v>2</v>
      </c>
      <c r="AY9" s="114"/>
      <c r="AZ9" s="115"/>
      <c r="BA9" s="111"/>
      <c r="BB9" s="117">
        <v>1</v>
      </c>
      <c r="BC9" s="118"/>
      <c r="BD9" s="146">
        <v>1</v>
      </c>
      <c r="BE9" s="170">
        <v>1</v>
      </c>
      <c r="BF9" s="114"/>
      <c r="BG9" s="115"/>
      <c r="BH9" s="111"/>
      <c r="BI9" s="112"/>
      <c r="BJ9" s="113"/>
      <c r="BK9" s="145"/>
      <c r="BL9" s="169">
        <v>1</v>
      </c>
      <c r="BM9" s="114"/>
      <c r="BN9" s="115"/>
      <c r="BO9" s="116">
        <v>1</v>
      </c>
      <c r="BP9" s="112"/>
      <c r="BQ9" s="118">
        <v>1</v>
      </c>
      <c r="BR9" s="146"/>
      <c r="BS9" s="170"/>
    </row>
    <row r="10" spans="1:71" x14ac:dyDescent="0.15">
      <c r="A10" s="2" t="s">
        <v>12</v>
      </c>
      <c r="C10" s="21"/>
      <c r="D10" s="128">
        <v>3</v>
      </c>
      <c r="E10" s="54">
        <v>2</v>
      </c>
      <c r="F10" s="64">
        <v>1</v>
      </c>
      <c r="G10" s="69">
        <v>1</v>
      </c>
      <c r="H10" s="127">
        <v>1</v>
      </c>
      <c r="J10" s="21">
        <v>1</v>
      </c>
      <c r="K10" s="128">
        <v>3</v>
      </c>
      <c r="L10" s="54">
        <v>1</v>
      </c>
      <c r="M10" s="64">
        <v>1</v>
      </c>
      <c r="N10" s="69">
        <v>1</v>
      </c>
      <c r="O10" s="127">
        <v>1</v>
      </c>
      <c r="P10">
        <v>3</v>
      </c>
      <c r="Q10" s="21">
        <v>1</v>
      </c>
      <c r="R10" s="128">
        <v>2</v>
      </c>
      <c r="S10" s="54">
        <v>2</v>
      </c>
      <c r="T10" s="64">
        <v>2</v>
      </c>
      <c r="U10" s="69">
        <v>1</v>
      </c>
      <c r="V10" s="127">
        <v>1</v>
      </c>
      <c r="W10">
        <v>2</v>
      </c>
      <c r="X10" s="21">
        <v>1</v>
      </c>
      <c r="Y10" s="128">
        <v>1</v>
      </c>
      <c r="Z10" s="54">
        <v>1</v>
      </c>
      <c r="AA10" s="64">
        <v>1</v>
      </c>
      <c r="AB10" s="69">
        <v>2</v>
      </c>
      <c r="AC10" s="127">
        <v>1</v>
      </c>
      <c r="AE10" s="21">
        <v>2</v>
      </c>
      <c r="AF10" s="128">
        <v>2</v>
      </c>
      <c r="AG10" s="54">
        <v>1</v>
      </c>
      <c r="AH10" s="64">
        <v>1</v>
      </c>
      <c r="AI10" s="69">
        <v>1</v>
      </c>
      <c r="AJ10" s="127">
        <v>2</v>
      </c>
      <c r="AL10" s="21">
        <v>2</v>
      </c>
      <c r="AM10" s="128">
        <v>1</v>
      </c>
      <c r="AN10" s="54">
        <v>1</v>
      </c>
      <c r="AO10" s="64">
        <v>2</v>
      </c>
      <c r="AP10" s="69">
        <v>1</v>
      </c>
      <c r="AQ10" s="127">
        <v>1</v>
      </c>
      <c r="AR10">
        <v>1</v>
      </c>
      <c r="AS10" s="21">
        <v>1</v>
      </c>
      <c r="AT10" s="128">
        <v>1</v>
      </c>
      <c r="AU10" s="54">
        <v>1</v>
      </c>
      <c r="AV10" s="64"/>
      <c r="AW10" s="69">
        <v>1</v>
      </c>
      <c r="AX10" s="127">
        <v>1</v>
      </c>
      <c r="AZ10" s="21"/>
      <c r="BA10" s="128">
        <v>1</v>
      </c>
      <c r="BB10" s="54">
        <v>1</v>
      </c>
      <c r="BC10" s="64">
        <v>1</v>
      </c>
      <c r="BD10" s="69">
        <v>1</v>
      </c>
      <c r="BE10" s="127">
        <v>1</v>
      </c>
      <c r="BG10" s="21"/>
      <c r="BH10" s="128"/>
      <c r="BI10" s="54"/>
      <c r="BJ10" s="64"/>
      <c r="BK10" s="69"/>
      <c r="BL10" s="127"/>
      <c r="BN10" s="21"/>
      <c r="BO10" s="128"/>
      <c r="BP10" s="54">
        <v>1</v>
      </c>
      <c r="BQ10" s="64">
        <v>1</v>
      </c>
      <c r="BR10" s="69">
        <v>1</v>
      </c>
      <c r="BS10" s="127">
        <v>1</v>
      </c>
    </row>
    <row r="11" spans="1:71" x14ac:dyDescent="0.15">
      <c r="A11" s="2" t="s">
        <v>93</v>
      </c>
      <c r="B11" s="17"/>
      <c r="C11" s="21"/>
      <c r="D11" s="128"/>
      <c r="E11" s="54"/>
      <c r="F11" s="64">
        <v>1</v>
      </c>
      <c r="G11" s="69">
        <v>1</v>
      </c>
      <c r="H11" s="127">
        <v>2</v>
      </c>
      <c r="J11" s="21"/>
      <c r="K11" s="128"/>
      <c r="L11" s="54"/>
      <c r="M11" s="64"/>
      <c r="N11" s="69"/>
      <c r="O11" s="127">
        <v>1</v>
      </c>
      <c r="Q11" s="21"/>
      <c r="R11" s="128"/>
      <c r="S11" s="54"/>
      <c r="T11" s="64"/>
      <c r="U11" s="69"/>
      <c r="V11" s="127"/>
      <c r="X11" s="21"/>
      <c r="Y11" s="128"/>
      <c r="Z11" s="54">
        <v>1</v>
      </c>
      <c r="AA11" s="64">
        <v>1</v>
      </c>
      <c r="AB11" s="69">
        <v>1</v>
      </c>
      <c r="AC11" s="127">
        <v>1</v>
      </c>
      <c r="AE11" s="21"/>
      <c r="AF11" s="128"/>
      <c r="AG11" s="54"/>
      <c r="AH11" s="64">
        <v>1</v>
      </c>
      <c r="AI11" s="69">
        <v>1</v>
      </c>
      <c r="AJ11" s="127">
        <v>1</v>
      </c>
      <c r="AL11" s="21"/>
      <c r="AM11" s="128"/>
      <c r="AN11" s="54"/>
      <c r="AO11" s="64">
        <v>1</v>
      </c>
      <c r="AP11" s="69">
        <v>1</v>
      </c>
      <c r="AQ11" s="127"/>
      <c r="AS11" s="21"/>
      <c r="AT11" s="128">
        <v>1</v>
      </c>
      <c r="AU11" s="54">
        <v>1</v>
      </c>
      <c r="AV11" s="64">
        <v>1</v>
      </c>
      <c r="AW11" s="69">
        <v>1</v>
      </c>
      <c r="AX11" s="127">
        <v>1</v>
      </c>
      <c r="AZ11" s="21"/>
      <c r="BA11" s="128"/>
      <c r="BB11" s="54"/>
      <c r="BC11" s="64"/>
      <c r="BD11" s="69">
        <v>1</v>
      </c>
      <c r="BE11" s="127">
        <v>1</v>
      </c>
      <c r="BG11" s="21"/>
      <c r="BH11" s="128"/>
      <c r="BI11" s="54"/>
      <c r="BJ11" s="64"/>
      <c r="BK11" s="69">
        <v>1</v>
      </c>
      <c r="BL11" s="127">
        <v>1</v>
      </c>
      <c r="BN11" s="21"/>
      <c r="BO11" s="128"/>
      <c r="BP11" s="54"/>
      <c r="BQ11" s="64">
        <v>1</v>
      </c>
      <c r="BR11" s="69">
        <v>1</v>
      </c>
      <c r="BS11" s="127"/>
    </row>
    <row r="12" spans="1:71" x14ac:dyDescent="0.15">
      <c r="A12" s="2" t="s">
        <v>33</v>
      </c>
      <c r="C12" s="21"/>
      <c r="D12" s="128"/>
      <c r="E12" s="54"/>
      <c r="F12" s="64"/>
      <c r="G12" s="69"/>
      <c r="H12" s="127"/>
      <c r="J12" s="21"/>
      <c r="K12" s="128"/>
      <c r="L12" s="54"/>
      <c r="M12" s="64"/>
      <c r="N12" s="69">
        <v>1</v>
      </c>
      <c r="O12" s="127"/>
      <c r="Q12" s="21"/>
      <c r="R12" s="128"/>
      <c r="S12" s="54"/>
      <c r="T12" s="64"/>
      <c r="U12" s="69"/>
      <c r="V12" s="127"/>
      <c r="X12" s="21"/>
      <c r="Y12" s="128"/>
      <c r="Z12" s="54"/>
      <c r="AA12" s="64"/>
      <c r="AB12" s="69"/>
      <c r="AC12" s="127"/>
      <c r="AE12" s="21"/>
      <c r="AF12" s="128"/>
      <c r="AG12" s="54"/>
      <c r="AH12" s="64"/>
      <c r="AI12" s="69"/>
      <c r="AJ12" s="127"/>
      <c r="AL12" s="21"/>
      <c r="AM12" s="128"/>
      <c r="AN12" s="54"/>
      <c r="AO12" s="64"/>
      <c r="AP12" s="69"/>
      <c r="AQ12" s="127"/>
      <c r="AS12" s="21"/>
      <c r="AT12" s="128"/>
      <c r="AU12" s="54"/>
      <c r="AV12" s="64"/>
      <c r="AW12" s="69"/>
      <c r="AX12" s="127"/>
      <c r="AZ12" s="21"/>
      <c r="BA12" s="128"/>
      <c r="BB12" s="54"/>
      <c r="BC12" s="64"/>
      <c r="BD12" s="69"/>
      <c r="BE12" s="127"/>
      <c r="BG12" s="21"/>
      <c r="BH12" s="128">
        <v>1</v>
      </c>
      <c r="BI12" s="54">
        <v>1</v>
      </c>
      <c r="BJ12" s="64">
        <v>1</v>
      </c>
      <c r="BK12" s="69">
        <v>1</v>
      </c>
      <c r="BL12" s="127">
        <v>1</v>
      </c>
      <c r="BN12" s="21"/>
      <c r="BO12" s="128"/>
      <c r="BP12" s="54"/>
      <c r="BQ12" s="64"/>
      <c r="BR12" s="69">
        <v>1</v>
      </c>
      <c r="BS12" s="127">
        <v>1</v>
      </c>
    </row>
    <row r="13" spans="1:71" x14ac:dyDescent="0.15">
      <c r="A13" s="2" t="s">
        <v>13</v>
      </c>
      <c r="C13" s="21"/>
      <c r="D13" s="128"/>
      <c r="E13" s="54"/>
      <c r="F13" s="64"/>
      <c r="G13" s="69"/>
      <c r="H13" s="127"/>
      <c r="J13" s="21"/>
      <c r="K13" s="128"/>
      <c r="L13" s="54"/>
      <c r="M13" s="64">
        <v>1</v>
      </c>
      <c r="N13" s="69">
        <v>1</v>
      </c>
      <c r="O13" s="127"/>
      <c r="Q13" s="21">
        <v>1</v>
      </c>
      <c r="R13" s="128">
        <v>1</v>
      </c>
      <c r="S13" s="54">
        <v>1</v>
      </c>
      <c r="T13" s="64">
        <v>1</v>
      </c>
      <c r="U13" s="69">
        <v>1</v>
      </c>
      <c r="V13" s="127">
        <v>1</v>
      </c>
      <c r="X13" s="21">
        <v>2</v>
      </c>
      <c r="Y13" s="128">
        <v>2</v>
      </c>
      <c r="Z13" s="54">
        <v>3</v>
      </c>
      <c r="AA13" s="64">
        <v>2</v>
      </c>
      <c r="AB13" s="69">
        <v>1</v>
      </c>
      <c r="AC13" s="127">
        <v>2</v>
      </c>
      <c r="AE13" s="21">
        <v>1</v>
      </c>
      <c r="AF13" s="128">
        <v>1</v>
      </c>
      <c r="AG13" s="54">
        <v>1</v>
      </c>
      <c r="AH13" s="64">
        <v>1</v>
      </c>
      <c r="AI13" s="69">
        <v>1</v>
      </c>
      <c r="AJ13" s="127">
        <v>1</v>
      </c>
      <c r="AL13" s="21"/>
      <c r="AM13" s="128"/>
      <c r="AN13" s="54"/>
      <c r="AO13" s="64"/>
      <c r="AP13" s="69"/>
      <c r="AQ13" s="127"/>
      <c r="AS13" s="21"/>
      <c r="AT13" s="128"/>
      <c r="AU13" s="54"/>
      <c r="AV13" s="64"/>
      <c r="AW13" s="69"/>
      <c r="AX13" s="127"/>
      <c r="AZ13" s="21"/>
      <c r="BA13" s="128"/>
      <c r="BB13" s="54"/>
      <c r="BC13" s="64">
        <v>1</v>
      </c>
      <c r="BD13" s="69">
        <v>1</v>
      </c>
      <c r="BE13" s="127">
        <v>1</v>
      </c>
      <c r="BG13" s="21"/>
      <c r="BH13" s="128"/>
      <c r="BI13" s="54"/>
      <c r="BJ13" s="64"/>
      <c r="BK13" s="69"/>
      <c r="BL13" s="127"/>
      <c r="BN13" s="21"/>
      <c r="BO13" s="128"/>
      <c r="BP13" s="54"/>
      <c r="BQ13" s="64"/>
      <c r="BR13" s="69"/>
      <c r="BS13" s="127"/>
    </row>
    <row r="14" spans="1:71" x14ac:dyDescent="0.15">
      <c r="A14" s="2" t="s">
        <v>190</v>
      </c>
      <c r="B14" s="17"/>
      <c r="C14" s="21"/>
      <c r="D14" s="128">
        <v>1</v>
      </c>
      <c r="E14" s="54">
        <v>1</v>
      </c>
      <c r="F14" s="64">
        <v>2</v>
      </c>
      <c r="G14" s="69">
        <v>1</v>
      </c>
      <c r="H14" s="127">
        <v>1</v>
      </c>
      <c r="J14" s="21"/>
      <c r="K14" s="128"/>
      <c r="L14" s="54"/>
      <c r="M14" s="64"/>
      <c r="N14" s="69"/>
      <c r="O14" s="127">
        <v>1</v>
      </c>
      <c r="Q14" s="21"/>
      <c r="R14" s="128"/>
      <c r="S14" s="54"/>
      <c r="T14" s="64"/>
      <c r="U14" s="69"/>
      <c r="V14" s="127"/>
      <c r="X14" s="21"/>
      <c r="Y14" s="128"/>
      <c r="Z14" s="54"/>
      <c r="AA14" s="64"/>
      <c r="AB14" s="69"/>
      <c r="AC14" s="127"/>
      <c r="AE14" s="21"/>
      <c r="AF14" s="128"/>
      <c r="AG14" s="54"/>
      <c r="AH14" s="64"/>
      <c r="AI14" s="69"/>
      <c r="AJ14" s="127"/>
      <c r="AL14" s="21"/>
      <c r="AM14" s="128"/>
      <c r="AN14" s="54"/>
      <c r="AO14" s="64"/>
      <c r="AP14" s="69"/>
      <c r="AQ14" s="127"/>
      <c r="AS14" s="21"/>
      <c r="AT14" s="128"/>
      <c r="AU14" s="54"/>
      <c r="AV14" s="64"/>
      <c r="AW14" s="69"/>
      <c r="AX14" s="127"/>
      <c r="AZ14" s="21"/>
      <c r="BA14" s="128"/>
      <c r="BB14" s="54">
        <v>1</v>
      </c>
      <c r="BC14" s="64">
        <v>1</v>
      </c>
      <c r="BD14" s="69"/>
      <c r="BE14" s="127"/>
      <c r="BG14" s="21"/>
      <c r="BH14" s="128"/>
      <c r="BI14" s="54"/>
      <c r="BJ14" s="64"/>
      <c r="BK14" s="69"/>
      <c r="BL14" s="127"/>
      <c r="BN14" s="21"/>
      <c r="BO14" s="128"/>
      <c r="BP14" s="54"/>
      <c r="BQ14" s="64"/>
      <c r="BR14" s="69"/>
      <c r="BS14" s="127"/>
    </row>
    <row r="15" spans="1:71" x14ac:dyDescent="0.15">
      <c r="A15" s="2" t="s">
        <v>14</v>
      </c>
      <c r="C15" s="21"/>
      <c r="D15" s="128"/>
      <c r="E15" s="54"/>
      <c r="F15" s="64"/>
      <c r="G15" s="69"/>
      <c r="H15" s="127"/>
      <c r="J15" s="21"/>
      <c r="K15" s="128"/>
      <c r="L15" s="54"/>
      <c r="M15" s="64"/>
      <c r="N15" s="69"/>
      <c r="O15" s="127"/>
      <c r="Q15" s="21"/>
      <c r="R15" s="128"/>
      <c r="S15" s="54"/>
      <c r="T15" s="64"/>
      <c r="U15" s="69"/>
      <c r="V15" s="127"/>
      <c r="W15">
        <v>1</v>
      </c>
      <c r="X15" s="21">
        <v>1</v>
      </c>
      <c r="Y15" s="128">
        <v>1</v>
      </c>
      <c r="Z15" s="54">
        <v>1</v>
      </c>
      <c r="AA15" s="64">
        <v>1</v>
      </c>
      <c r="AB15" s="69">
        <v>1</v>
      </c>
      <c r="AC15" s="127">
        <v>1</v>
      </c>
      <c r="AD15">
        <v>1</v>
      </c>
      <c r="AE15" s="21"/>
      <c r="AF15" s="128"/>
      <c r="AG15" s="54"/>
      <c r="AH15" s="64">
        <v>1</v>
      </c>
      <c r="AI15" s="69">
        <v>1</v>
      </c>
      <c r="AJ15" s="127">
        <v>1</v>
      </c>
      <c r="AK15">
        <v>2</v>
      </c>
      <c r="AL15" s="21">
        <v>1</v>
      </c>
      <c r="AM15" s="128">
        <v>1</v>
      </c>
      <c r="AN15" s="54">
        <v>1</v>
      </c>
      <c r="AO15" s="64">
        <v>1</v>
      </c>
      <c r="AP15" s="69">
        <v>2</v>
      </c>
      <c r="AQ15" s="127"/>
      <c r="AR15">
        <v>1</v>
      </c>
      <c r="AS15" s="21">
        <v>1</v>
      </c>
      <c r="AT15" s="128"/>
      <c r="AU15" s="54"/>
      <c r="AV15" s="64">
        <v>1</v>
      </c>
      <c r="AW15" s="69"/>
      <c r="AX15" s="127">
        <v>1</v>
      </c>
      <c r="AY15">
        <v>1</v>
      </c>
      <c r="AZ15" s="21">
        <v>1</v>
      </c>
      <c r="BA15" s="128"/>
      <c r="BB15" s="54">
        <v>1</v>
      </c>
      <c r="BC15" s="64">
        <v>1</v>
      </c>
      <c r="BD15" s="69">
        <v>1</v>
      </c>
      <c r="BE15" s="127"/>
      <c r="BF15">
        <v>3</v>
      </c>
      <c r="BG15" s="21">
        <v>1</v>
      </c>
      <c r="BH15" s="128">
        <v>1</v>
      </c>
      <c r="BI15" s="54">
        <v>2</v>
      </c>
      <c r="BJ15" s="64">
        <v>2</v>
      </c>
      <c r="BK15" s="69">
        <v>2</v>
      </c>
      <c r="BL15" s="127">
        <v>2</v>
      </c>
      <c r="BN15" s="21"/>
      <c r="BO15" s="128"/>
      <c r="BP15" s="54"/>
      <c r="BQ15" s="64">
        <v>1</v>
      </c>
      <c r="BR15" s="69">
        <v>1</v>
      </c>
      <c r="BS15" s="127">
        <v>1</v>
      </c>
    </row>
    <row r="16" spans="1:71" x14ac:dyDescent="0.15">
      <c r="A16" s="2" t="s">
        <v>26</v>
      </c>
      <c r="C16" s="21"/>
      <c r="D16" s="128"/>
      <c r="E16" s="54"/>
      <c r="F16" s="64"/>
      <c r="G16" s="69"/>
      <c r="H16" s="127"/>
      <c r="J16" s="21"/>
      <c r="K16" s="128"/>
      <c r="L16" s="54"/>
      <c r="M16" s="64"/>
      <c r="N16" s="69"/>
      <c r="O16" s="127"/>
      <c r="Q16" s="21"/>
      <c r="R16" s="128"/>
      <c r="S16" s="54"/>
      <c r="T16" s="64"/>
      <c r="U16" s="69"/>
      <c r="V16" s="127"/>
      <c r="X16" s="21"/>
      <c r="Y16" s="128"/>
      <c r="Z16" s="54"/>
      <c r="AA16" s="64"/>
      <c r="AB16" s="69"/>
      <c r="AC16" s="127"/>
      <c r="AE16" s="21"/>
      <c r="AF16" s="128"/>
      <c r="AG16" s="54"/>
      <c r="AH16" s="64"/>
      <c r="AI16" s="69"/>
      <c r="AJ16" s="127"/>
      <c r="AK16">
        <v>1</v>
      </c>
      <c r="AL16" s="21">
        <v>1</v>
      </c>
      <c r="AM16" s="128">
        <v>1</v>
      </c>
      <c r="AN16" s="54">
        <v>1</v>
      </c>
      <c r="AO16" s="64">
        <v>2</v>
      </c>
      <c r="AP16" s="69">
        <v>2</v>
      </c>
      <c r="AQ16" s="127">
        <v>1</v>
      </c>
      <c r="AS16" s="21"/>
      <c r="AT16" s="128"/>
      <c r="AU16" s="54"/>
      <c r="AV16" s="64"/>
      <c r="AW16" s="69"/>
      <c r="AX16" s="127"/>
      <c r="AZ16" s="21"/>
      <c r="BA16" s="128"/>
      <c r="BB16" s="54"/>
      <c r="BC16" s="64"/>
      <c r="BD16" s="69"/>
      <c r="BE16" s="127">
        <v>1</v>
      </c>
      <c r="BG16" s="21"/>
      <c r="BH16" s="128"/>
      <c r="BI16" s="54"/>
      <c r="BJ16" s="64"/>
      <c r="BK16" s="69"/>
      <c r="BL16" s="127"/>
      <c r="BN16" s="21"/>
      <c r="BO16" s="128"/>
      <c r="BP16" s="54"/>
      <c r="BQ16" s="64"/>
      <c r="BR16" s="69"/>
      <c r="BS16" s="127"/>
    </row>
    <row r="17" spans="1:71" x14ac:dyDescent="0.15">
      <c r="A17" s="2" t="s">
        <v>51</v>
      </c>
      <c r="C17" s="21"/>
      <c r="D17" s="128">
        <v>1</v>
      </c>
      <c r="E17" s="54">
        <v>3</v>
      </c>
      <c r="F17" s="64">
        <v>1</v>
      </c>
      <c r="G17" s="69">
        <v>1</v>
      </c>
      <c r="H17" s="127">
        <v>1</v>
      </c>
      <c r="J17" s="21"/>
      <c r="K17" s="128">
        <v>4</v>
      </c>
      <c r="L17" s="54">
        <v>4</v>
      </c>
      <c r="M17" s="64">
        <v>4</v>
      </c>
      <c r="N17" s="69">
        <v>2</v>
      </c>
      <c r="O17" s="127">
        <v>3</v>
      </c>
      <c r="Q17" s="21"/>
      <c r="R17" s="128"/>
      <c r="S17" s="54"/>
      <c r="T17" s="64"/>
      <c r="U17" s="69"/>
      <c r="V17" s="127"/>
      <c r="X17" s="21"/>
      <c r="Y17" s="128">
        <v>1</v>
      </c>
      <c r="Z17" s="54">
        <v>2</v>
      </c>
      <c r="AA17" s="64">
        <v>1</v>
      </c>
      <c r="AB17" s="69"/>
      <c r="AC17" s="127"/>
      <c r="AE17" s="21"/>
      <c r="AF17" s="128">
        <v>1</v>
      </c>
      <c r="AG17" s="54"/>
      <c r="AH17" s="64">
        <v>1</v>
      </c>
      <c r="AI17" s="69"/>
      <c r="AJ17" s="127"/>
      <c r="AL17" s="21"/>
      <c r="AM17" s="128">
        <v>1</v>
      </c>
      <c r="AN17" s="54">
        <v>1</v>
      </c>
      <c r="AO17" s="64">
        <v>1</v>
      </c>
      <c r="AP17" s="69">
        <v>1</v>
      </c>
      <c r="AQ17" s="127">
        <v>1</v>
      </c>
      <c r="AS17" s="21"/>
      <c r="AT17" s="128">
        <v>1</v>
      </c>
      <c r="AU17" s="54">
        <v>1</v>
      </c>
      <c r="AV17" s="64">
        <v>1</v>
      </c>
      <c r="AW17" s="69">
        <v>1</v>
      </c>
      <c r="AX17" s="127">
        <v>1</v>
      </c>
      <c r="AZ17" s="21"/>
      <c r="BA17" s="128">
        <v>1</v>
      </c>
      <c r="BB17" s="54">
        <v>1</v>
      </c>
      <c r="BC17" s="64">
        <v>1</v>
      </c>
      <c r="BD17" s="69">
        <v>1</v>
      </c>
      <c r="BE17" s="127">
        <v>1</v>
      </c>
      <c r="BG17" s="21"/>
      <c r="BH17" s="128"/>
      <c r="BI17" s="54"/>
      <c r="BJ17" s="64"/>
      <c r="BK17" s="69"/>
      <c r="BL17" s="127"/>
      <c r="BN17" s="21"/>
      <c r="BO17" s="128"/>
      <c r="BP17" s="54"/>
      <c r="BQ17" s="64"/>
      <c r="BR17" s="69">
        <v>1</v>
      </c>
      <c r="BS17" s="127"/>
    </row>
    <row r="18" spans="1:71" x14ac:dyDescent="0.15">
      <c r="A18" s="2" t="s">
        <v>44</v>
      </c>
      <c r="C18" s="21"/>
      <c r="D18" s="128"/>
      <c r="E18" s="54"/>
      <c r="F18" s="64"/>
      <c r="G18" s="69">
        <v>1</v>
      </c>
      <c r="H18" s="127"/>
      <c r="J18" s="21"/>
      <c r="K18" s="128"/>
      <c r="L18" s="54"/>
      <c r="M18" s="64"/>
      <c r="N18" s="69"/>
      <c r="O18" s="127"/>
      <c r="Q18" s="21"/>
      <c r="R18" s="128"/>
      <c r="S18" s="54"/>
      <c r="T18" s="64"/>
      <c r="U18" s="69"/>
      <c r="V18" s="127"/>
      <c r="X18" s="21"/>
      <c r="Y18" s="128"/>
      <c r="Z18" s="54"/>
      <c r="AA18" s="64">
        <v>1</v>
      </c>
      <c r="AB18" s="69"/>
      <c r="AC18" s="127"/>
      <c r="AE18" s="21"/>
      <c r="AF18" s="128"/>
      <c r="AG18" s="54"/>
      <c r="AH18" s="64"/>
      <c r="AI18" s="69"/>
      <c r="AJ18" s="127"/>
      <c r="AL18" s="21"/>
      <c r="AM18" s="128"/>
      <c r="AN18" s="54"/>
      <c r="AO18" s="64">
        <v>1</v>
      </c>
      <c r="AP18" s="69"/>
      <c r="AQ18" s="127"/>
      <c r="AS18" s="21"/>
      <c r="AT18" s="128"/>
      <c r="AU18" s="54"/>
      <c r="AV18" s="64">
        <v>2</v>
      </c>
      <c r="AW18" s="69">
        <v>1</v>
      </c>
      <c r="AX18" s="127">
        <v>1</v>
      </c>
      <c r="AZ18" s="21"/>
      <c r="BA18" s="128"/>
      <c r="BB18" s="54"/>
      <c r="BC18" s="64"/>
      <c r="BD18" s="69"/>
      <c r="BE18" s="127"/>
      <c r="BG18" s="21"/>
      <c r="BH18" s="128"/>
      <c r="BI18" s="54"/>
      <c r="BJ18" s="64"/>
      <c r="BK18" s="69"/>
      <c r="BL18" s="127"/>
      <c r="BN18" s="21"/>
      <c r="BO18" s="128"/>
      <c r="BP18" s="54"/>
      <c r="BQ18" s="64"/>
      <c r="BR18" s="69"/>
      <c r="BS18" s="127"/>
    </row>
    <row r="19" spans="1:71" x14ac:dyDescent="0.15">
      <c r="A19" s="2" t="s">
        <v>4</v>
      </c>
      <c r="B19">
        <v>2</v>
      </c>
      <c r="C19" s="21">
        <v>4</v>
      </c>
      <c r="D19" s="128">
        <v>2</v>
      </c>
      <c r="E19" s="54">
        <v>2</v>
      </c>
      <c r="F19" s="64">
        <v>2</v>
      </c>
      <c r="G19" s="69">
        <v>2</v>
      </c>
      <c r="H19" s="127">
        <v>1</v>
      </c>
      <c r="I19">
        <v>2</v>
      </c>
      <c r="J19" s="21">
        <v>2</v>
      </c>
      <c r="K19" s="128">
        <v>2</v>
      </c>
      <c r="L19" s="54">
        <v>3</v>
      </c>
      <c r="M19" s="64">
        <v>3</v>
      </c>
      <c r="N19" s="69">
        <v>4</v>
      </c>
      <c r="O19" s="127">
        <v>4</v>
      </c>
      <c r="P19">
        <v>5</v>
      </c>
      <c r="Q19" s="21">
        <v>4</v>
      </c>
      <c r="R19" s="128">
        <v>3</v>
      </c>
      <c r="S19" s="54">
        <v>4</v>
      </c>
      <c r="T19" s="64">
        <v>4</v>
      </c>
      <c r="U19" s="69">
        <v>4</v>
      </c>
      <c r="V19" s="127">
        <v>4</v>
      </c>
      <c r="W19">
        <v>2</v>
      </c>
      <c r="X19" s="21">
        <v>3</v>
      </c>
      <c r="Y19" s="128">
        <v>2</v>
      </c>
      <c r="Z19" s="54">
        <v>3</v>
      </c>
      <c r="AA19" s="64">
        <v>3</v>
      </c>
      <c r="AB19" s="69">
        <v>2</v>
      </c>
      <c r="AC19" s="127">
        <v>2</v>
      </c>
      <c r="AD19">
        <v>1</v>
      </c>
      <c r="AE19" s="21">
        <v>2</v>
      </c>
      <c r="AF19" s="128">
        <v>1</v>
      </c>
      <c r="AG19" s="54">
        <v>1</v>
      </c>
      <c r="AH19" s="64">
        <v>1</v>
      </c>
      <c r="AI19" s="69">
        <v>1</v>
      </c>
      <c r="AJ19" s="127">
        <v>1</v>
      </c>
      <c r="AK19">
        <v>3</v>
      </c>
      <c r="AL19" s="21">
        <v>1</v>
      </c>
      <c r="AM19" s="128">
        <v>1</v>
      </c>
      <c r="AN19" s="54">
        <v>2</v>
      </c>
      <c r="AO19" s="64">
        <v>2</v>
      </c>
      <c r="AP19" s="69">
        <v>1</v>
      </c>
      <c r="AQ19" s="127">
        <v>2</v>
      </c>
      <c r="AS19" s="21"/>
      <c r="AT19" s="128"/>
      <c r="AU19" s="54"/>
      <c r="AV19" s="64"/>
      <c r="AW19" s="69">
        <v>1</v>
      </c>
      <c r="AX19" s="127">
        <v>1</v>
      </c>
      <c r="AY19">
        <v>3</v>
      </c>
      <c r="AZ19" s="21">
        <v>2</v>
      </c>
      <c r="BA19" s="128">
        <v>2</v>
      </c>
      <c r="BB19" s="54">
        <v>2</v>
      </c>
      <c r="BC19" s="64">
        <v>2</v>
      </c>
      <c r="BD19" s="69">
        <v>3</v>
      </c>
      <c r="BE19" s="127">
        <v>2</v>
      </c>
      <c r="BF19">
        <v>2</v>
      </c>
      <c r="BG19" s="21">
        <v>2</v>
      </c>
      <c r="BH19" s="128">
        <v>2</v>
      </c>
      <c r="BI19" s="54">
        <v>2</v>
      </c>
      <c r="BJ19" s="64">
        <v>1</v>
      </c>
      <c r="BK19" s="69">
        <v>1</v>
      </c>
      <c r="BL19" s="127">
        <v>2</v>
      </c>
      <c r="BN19" s="21"/>
      <c r="BO19" s="128"/>
      <c r="BP19" s="54">
        <v>1</v>
      </c>
      <c r="BQ19" s="64">
        <v>1</v>
      </c>
      <c r="BR19" s="69">
        <v>2</v>
      </c>
      <c r="BS19" s="127">
        <v>3</v>
      </c>
    </row>
    <row r="20" spans="1:71" x14ac:dyDescent="0.15">
      <c r="A20" s="2" t="s">
        <v>232</v>
      </c>
      <c r="C20" s="21"/>
      <c r="D20" s="128"/>
      <c r="E20" s="54"/>
      <c r="F20" s="64"/>
      <c r="G20" s="69"/>
      <c r="H20" s="127"/>
      <c r="J20" s="21"/>
      <c r="K20" s="128"/>
      <c r="L20" s="54"/>
      <c r="M20" s="64"/>
      <c r="N20" s="69"/>
      <c r="O20" s="127"/>
      <c r="Q20" s="21"/>
      <c r="R20" s="128"/>
      <c r="S20" s="54"/>
      <c r="T20" s="64"/>
      <c r="U20" s="69"/>
      <c r="V20" s="127"/>
      <c r="X20" s="21"/>
      <c r="Y20" s="128"/>
      <c r="Z20" s="54"/>
      <c r="AA20" s="64"/>
      <c r="AB20" s="69"/>
      <c r="AC20" s="127"/>
      <c r="AE20" s="21"/>
      <c r="AF20" s="128"/>
      <c r="AG20" s="54"/>
      <c r="AH20" s="64"/>
      <c r="AI20" s="69"/>
      <c r="AJ20" s="127"/>
      <c r="AL20" s="21"/>
      <c r="AM20" s="128"/>
      <c r="AN20" s="54"/>
      <c r="AO20" s="64"/>
      <c r="AP20" s="69"/>
      <c r="AQ20" s="127"/>
      <c r="AS20" s="21"/>
      <c r="AT20" s="128"/>
      <c r="AU20" s="54"/>
      <c r="AV20" s="64"/>
      <c r="AW20" s="69"/>
      <c r="AX20" s="127">
        <v>1</v>
      </c>
      <c r="AZ20" s="21"/>
      <c r="BA20" s="128"/>
      <c r="BB20" s="54"/>
      <c r="BC20" s="64"/>
      <c r="BD20" s="69"/>
      <c r="BE20" s="127"/>
      <c r="BG20" s="21"/>
      <c r="BH20" s="128"/>
      <c r="BI20" s="54"/>
      <c r="BJ20" s="64"/>
      <c r="BK20" s="69"/>
      <c r="BL20" s="127"/>
      <c r="BN20" s="21"/>
      <c r="BO20" s="128"/>
      <c r="BP20" s="54"/>
      <c r="BQ20" s="64"/>
      <c r="BR20" s="69"/>
      <c r="BS20" s="127"/>
    </row>
    <row r="21" spans="1:71" x14ac:dyDescent="0.15">
      <c r="A21" s="2" t="s">
        <v>15</v>
      </c>
      <c r="C21" s="21">
        <v>2</v>
      </c>
      <c r="D21" s="128">
        <v>1</v>
      </c>
      <c r="E21" s="54">
        <v>1</v>
      </c>
      <c r="F21" s="64">
        <v>1</v>
      </c>
      <c r="G21" s="69"/>
      <c r="H21" s="127"/>
      <c r="J21" s="21">
        <v>1</v>
      </c>
      <c r="K21" s="128">
        <v>1</v>
      </c>
      <c r="L21" s="54">
        <v>1</v>
      </c>
      <c r="M21" s="64"/>
      <c r="N21" s="69"/>
      <c r="O21" s="127"/>
      <c r="Q21" s="21"/>
      <c r="R21" s="128"/>
      <c r="S21" s="54"/>
      <c r="T21" s="64"/>
      <c r="U21" s="69"/>
      <c r="V21" s="127"/>
      <c r="W21">
        <v>1</v>
      </c>
      <c r="X21" s="21">
        <v>1</v>
      </c>
      <c r="Y21" s="128">
        <v>1</v>
      </c>
      <c r="Z21" s="54">
        <v>1</v>
      </c>
      <c r="AA21" s="64"/>
      <c r="AB21" s="69"/>
      <c r="AC21" s="127">
        <v>1</v>
      </c>
      <c r="AE21" s="21">
        <v>2</v>
      </c>
      <c r="AF21" s="128">
        <v>1</v>
      </c>
      <c r="AG21" s="54">
        <v>1</v>
      </c>
      <c r="AH21" s="64"/>
      <c r="AI21" s="69">
        <v>1</v>
      </c>
      <c r="AJ21" s="127">
        <v>1</v>
      </c>
      <c r="AL21" s="21">
        <v>2</v>
      </c>
      <c r="AM21" s="128"/>
      <c r="AN21" s="54"/>
      <c r="AO21" s="64"/>
      <c r="AP21" s="69">
        <v>1</v>
      </c>
      <c r="AQ21" s="127"/>
      <c r="AS21" s="21"/>
      <c r="AT21" s="128"/>
      <c r="AU21" s="54"/>
      <c r="AV21" s="64"/>
      <c r="AW21" s="69"/>
      <c r="AX21" s="127"/>
      <c r="AZ21" s="21">
        <v>2</v>
      </c>
      <c r="BA21" s="128"/>
      <c r="BB21" s="54"/>
      <c r="BC21" s="64"/>
      <c r="BD21" s="69"/>
      <c r="BE21" s="127"/>
      <c r="BG21" s="21"/>
      <c r="BH21" s="128"/>
      <c r="BI21" s="54"/>
      <c r="BJ21" s="64"/>
      <c r="BK21" s="69"/>
      <c r="BL21" s="127"/>
      <c r="BN21" s="21">
        <v>1</v>
      </c>
      <c r="BO21" s="128"/>
      <c r="BP21" s="54"/>
      <c r="BQ21" s="64"/>
      <c r="BR21" s="69"/>
      <c r="BS21" s="127"/>
    </row>
    <row r="22" spans="1:71" x14ac:dyDescent="0.15">
      <c r="A22" s="2" t="s">
        <v>5</v>
      </c>
      <c r="B22">
        <v>2</v>
      </c>
      <c r="C22" s="21">
        <v>2</v>
      </c>
      <c r="D22" s="128">
        <v>2</v>
      </c>
      <c r="E22" s="54">
        <v>1</v>
      </c>
      <c r="F22" s="64"/>
      <c r="G22" s="69">
        <v>1</v>
      </c>
      <c r="H22" s="127">
        <v>1</v>
      </c>
      <c r="J22" s="21">
        <v>1</v>
      </c>
      <c r="K22" s="128">
        <v>1</v>
      </c>
      <c r="L22" s="54">
        <v>1</v>
      </c>
      <c r="M22" s="64">
        <v>1</v>
      </c>
      <c r="N22" s="69"/>
      <c r="O22" s="127"/>
      <c r="P22">
        <v>3</v>
      </c>
      <c r="Q22" s="21">
        <v>1</v>
      </c>
      <c r="R22" s="128">
        <v>1</v>
      </c>
      <c r="S22" s="54">
        <v>1</v>
      </c>
      <c r="T22" s="64">
        <v>1</v>
      </c>
      <c r="U22" s="69">
        <v>1</v>
      </c>
      <c r="V22" s="127">
        <v>1</v>
      </c>
      <c r="X22" s="21">
        <v>1</v>
      </c>
      <c r="Y22" s="128">
        <v>1</v>
      </c>
      <c r="Z22" s="54">
        <v>2</v>
      </c>
      <c r="AA22" s="64">
        <v>1</v>
      </c>
      <c r="AB22" s="69"/>
      <c r="AC22" s="127">
        <v>1</v>
      </c>
      <c r="AE22" s="21">
        <v>1</v>
      </c>
      <c r="AF22" s="128">
        <v>2</v>
      </c>
      <c r="AG22" s="54">
        <v>1</v>
      </c>
      <c r="AH22" s="64">
        <v>1</v>
      </c>
      <c r="AI22" s="69">
        <v>1</v>
      </c>
      <c r="AJ22" s="127">
        <v>1</v>
      </c>
      <c r="AL22" s="21">
        <v>3</v>
      </c>
      <c r="AM22" s="128">
        <v>3</v>
      </c>
      <c r="AN22" s="54">
        <v>1</v>
      </c>
      <c r="AO22" s="64">
        <v>1</v>
      </c>
      <c r="AP22" s="69">
        <v>1</v>
      </c>
      <c r="AQ22" s="127">
        <v>1</v>
      </c>
      <c r="AS22" s="21">
        <v>4</v>
      </c>
      <c r="AT22" s="128">
        <v>4</v>
      </c>
      <c r="AU22" s="54">
        <v>2</v>
      </c>
      <c r="AV22" s="64">
        <v>1</v>
      </c>
      <c r="AW22" s="69">
        <v>1</v>
      </c>
      <c r="AX22" s="127">
        <v>1</v>
      </c>
      <c r="AY22">
        <v>3</v>
      </c>
      <c r="AZ22" s="21">
        <v>2</v>
      </c>
      <c r="BA22" s="128">
        <v>2</v>
      </c>
      <c r="BB22" s="54">
        <v>2</v>
      </c>
      <c r="BC22" s="64">
        <v>2</v>
      </c>
      <c r="BD22" s="69">
        <v>2</v>
      </c>
      <c r="BE22" s="127">
        <v>1</v>
      </c>
      <c r="BF22">
        <v>2</v>
      </c>
      <c r="BG22" s="21">
        <v>2</v>
      </c>
      <c r="BH22" s="128">
        <v>1</v>
      </c>
      <c r="BI22" s="54">
        <v>1</v>
      </c>
      <c r="BJ22" s="64">
        <v>1</v>
      </c>
      <c r="BK22" s="69">
        <v>1</v>
      </c>
      <c r="BL22" s="127">
        <v>1</v>
      </c>
      <c r="BN22" s="21"/>
      <c r="BO22" s="128">
        <v>1</v>
      </c>
      <c r="BP22" s="54"/>
      <c r="BQ22" s="64"/>
      <c r="BR22" s="69">
        <v>1</v>
      </c>
      <c r="BS22" s="127"/>
    </row>
    <row r="23" spans="1:71" x14ac:dyDescent="0.15">
      <c r="A23" s="2" t="s">
        <v>46</v>
      </c>
      <c r="C23" s="21"/>
      <c r="D23" s="128"/>
      <c r="E23" s="54"/>
      <c r="F23" s="64">
        <v>1</v>
      </c>
      <c r="G23" s="69">
        <v>1</v>
      </c>
      <c r="H23" s="127"/>
      <c r="J23" s="21"/>
      <c r="K23" s="128">
        <v>1</v>
      </c>
      <c r="L23" s="54">
        <v>1</v>
      </c>
      <c r="M23" s="64">
        <v>1</v>
      </c>
      <c r="N23" s="69">
        <v>1</v>
      </c>
      <c r="O23" s="127"/>
      <c r="Q23" s="21"/>
      <c r="R23" s="128"/>
      <c r="S23" s="54"/>
      <c r="T23" s="64"/>
      <c r="U23" s="69"/>
      <c r="V23" s="127"/>
      <c r="X23" s="21">
        <v>1</v>
      </c>
      <c r="Y23" s="128">
        <v>1</v>
      </c>
      <c r="Z23" s="54">
        <v>1</v>
      </c>
      <c r="AA23" s="64">
        <v>1</v>
      </c>
      <c r="AB23" s="69"/>
      <c r="AC23" s="127">
        <v>1</v>
      </c>
      <c r="AE23" s="21"/>
      <c r="AF23" s="128"/>
      <c r="AG23" s="54"/>
      <c r="AH23" s="64"/>
      <c r="AI23" s="69"/>
      <c r="AJ23" s="127"/>
      <c r="AK23">
        <v>1</v>
      </c>
      <c r="AL23" s="21">
        <v>1</v>
      </c>
      <c r="AM23" s="128"/>
      <c r="AN23" s="54">
        <v>1</v>
      </c>
      <c r="AO23" s="64">
        <v>1</v>
      </c>
      <c r="AP23" s="69">
        <v>2</v>
      </c>
      <c r="AQ23" s="127">
        <v>1</v>
      </c>
      <c r="AR23">
        <v>1</v>
      </c>
      <c r="AS23" s="21">
        <v>1</v>
      </c>
      <c r="AT23" s="128"/>
      <c r="AU23" s="54">
        <v>2</v>
      </c>
      <c r="AV23" s="64">
        <v>1</v>
      </c>
      <c r="AW23" s="69">
        <v>1</v>
      </c>
      <c r="AX23" s="127">
        <v>1</v>
      </c>
      <c r="AZ23" s="21"/>
      <c r="BA23" s="128"/>
      <c r="BB23" s="54"/>
      <c r="BC23" s="64"/>
      <c r="BD23" s="69">
        <v>1</v>
      </c>
      <c r="BE23" s="127"/>
      <c r="BF23">
        <v>1</v>
      </c>
      <c r="BG23" s="21"/>
      <c r="BH23" s="128"/>
      <c r="BI23" s="54"/>
      <c r="BJ23" s="64">
        <v>1</v>
      </c>
      <c r="BK23" s="69">
        <v>1</v>
      </c>
      <c r="BL23" s="127">
        <v>1</v>
      </c>
      <c r="BN23" s="21"/>
      <c r="BO23" s="128"/>
      <c r="BP23" s="54"/>
      <c r="BQ23" s="64">
        <v>1</v>
      </c>
      <c r="BR23" s="69">
        <v>1</v>
      </c>
      <c r="BS23" s="127">
        <v>1</v>
      </c>
    </row>
    <row r="24" spans="1:71" x14ac:dyDescent="0.15">
      <c r="A24" s="2" t="s">
        <v>228</v>
      </c>
      <c r="C24" s="21"/>
      <c r="D24" s="128"/>
      <c r="E24" s="54"/>
      <c r="F24" s="64"/>
      <c r="G24" s="69"/>
      <c r="H24" s="127">
        <v>1</v>
      </c>
      <c r="J24" s="21"/>
      <c r="K24" s="128"/>
      <c r="L24" s="54"/>
      <c r="M24" s="64"/>
      <c r="N24" s="69"/>
      <c r="O24" s="127"/>
      <c r="Q24" s="21"/>
      <c r="R24" s="128"/>
      <c r="S24" s="54"/>
      <c r="T24" s="64"/>
      <c r="U24" s="69"/>
      <c r="V24" s="127"/>
      <c r="X24" s="21"/>
      <c r="Y24" s="128"/>
      <c r="Z24" s="54"/>
      <c r="AA24" s="64"/>
      <c r="AB24" s="69"/>
      <c r="AC24" s="127"/>
      <c r="AE24" s="21"/>
      <c r="AF24" s="128"/>
      <c r="AG24" s="54"/>
      <c r="AH24" s="64"/>
      <c r="AI24" s="69"/>
      <c r="AJ24" s="127"/>
      <c r="AL24" s="21"/>
      <c r="AM24" s="128"/>
      <c r="AN24" s="54"/>
      <c r="AO24" s="64"/>
      <c r="AP24" s="69"/>
      <c r="AQ24" s="127">
        <v>1</v>
      </c>
      <c r="AS24" s="21"/>
      <c r="AT24" s="128"/>
      <c r="AU24" s="54"/>
      <c r="AV24" s="64"/>
      <c r="AW24" s="69"/>
      <c r="AX24" s="127"/>
      <c r="AZ24" s="21"/>
      <c r="BA24" s="128"/>
      <c r="BB24" s="54"/>
      <c r="BC24" s="64"/>
      <c r="BD24" s="69"/>
      <c r="BE24" s="127"/>
      <c r="BG24" s="21"/>
      <c r="BH24" s="128"/>
      <c r="BI24" s="54"/>
      <c r="BJ24" s="64"/>
      <c r="BK24" s="69"/>
      <c r="BL24" s="127"/>
      <c r="BN24" s="21"/>
      <c r="BO24" s="128"/>
      <c r="BP24" s="54"/>
      <c r="BQ24" s="64"/>
      <c r="BR24" s="69"/>
      <c r="BS24" s="127"/>
    </row>
    <row r="25" spans="1:71" x14ac:dyDescent="0.15">
      <c r="A25" s="5" t="s">
        <v>133</v>
      </c>
      <c r="C25" s="21"/>
      <c r="D25" s="128"/>
      <c r="E25" s="54"/>
      <c r="F25" s="64"/>
      <c r="G25" s="69"/>
      <c r="H25" s="127"/>
      <c r="J25" s="21"/>
      <c r="K25" s="128"/>
      <c r="L25" s="54"/>
      <c r="M25" s="64"/>
      <c r="N25" s="69"/>
      <c r="O25" s="127"/>
      <c r="Q25" s="21"/>
      <c r="R25" s="128"/>
      <c r="S25" s="54"/>
      <c r="T25" s="64"/>
      <c r="U25" s="69"/>
      <c r="V25" s="127"/>
      <c r="X25" s="21"/>
      <c r="Y25" s="128"/>
      <c r="Z25" s="54"/>
      <c r="AA25" s="64"/>
      <c r="AB25" s="69"/>
      <c r="AC25" s="127"/>
      <c r="AE25" s="21"/>
      <c r="AF25" s="128"/>
      <c r="AG25" s="54"/>
      <c r="AH25" s="64"/>
      <c r="AI25" s="69"/>
      <c r="AJ25" s="127"/>
      <c r="AL25" s="21"/>
      <c r="AM25" s="128"/>
      <c r="AN25" s="54"/>
      <c r="AO25" s="64"/>
      <c r="AP25" s="69"/>
      <c r="AQ25" s="127"/>
      <c r="AS25" s="21"/>
      <c r="AT25" s="128"/>
      <c r="AU25" s="54"/>
      <c r="AV25" s="64"/>
      <c r="AW25" s="69"/>
      <c r="AX25" s="127"/>
      <c r="AZ25" s="21"/>
      <c r="BA25" s="128"/>
      <c r="BB25" s="54"/>
      <c r="BC25" s="64"/>
      <c r="BD25" s="69"/>
      <c r="BE25" s="127"/>
      <c r="BG25" s="21"/>
      <c r="BH25" s="128"/>
      <c r="BI25" s="54"/>
      <c r="BJ25" s="64"/>
      <c r="BK25" s="69"/>
      <c r="BL25" s="127"/>
      <c r="BN25" s="21"/>
      <c r="BO25" s="128"/>
      <c r="BP25" s="54"/>
      <c r="BQ25" s="64">
        <v>1</v>
      </c>
      <c r="BR25" s="69"/>
      <c r="BS25" s="127"/>
    </row>
    <row r="26" spans="1:71" x14ac:dyDescent="0.15">
      <c r="A26" s="5" t="s">
        <v>212</v>
      </c>
      <c r="C26" s="21"/>
      <c r="D26" s="128"/>
      <c r="E26" s="54"/>
      <c r="F26" s="64"/>
      <c r="G26" s="69"/>
      <c r="H26" s="127"/>
      <c r="J26" s="21"/>
      <c r="K26" s="128"/>
      <c r="L26" s="54"/>
      <c r="M26" s="64"/>
      <c r="N26" s="69"/>
      <c r="O26" s="127"/>
      <c r="Q26" s="21"/>
      <c r="R26" s="128"/>
      <c r="S26" s="54"/>
      <c r="T26" s="64"/>
      <c r="U26" s="69"/>
      <c r="V26" s="127"/>
      <c r="X26" s="21"/>
      <c r="Y26" s="128"/>
      <c r="Z26" s="54"/>
      <c r="AA26" s="64"/>
      <c r="AB26" s="69"/>
      <c r="AC26" s="127"/>
      <c r="AE26" s="21"/>
      <c r="AF26" s="128"/>
      <c r="AG26" s="54"/>
      <c r="AH26" s="64"/>
      <c r="AI26" s="69"/>
      <c r="AJ26" s="127"/>
      <c r="AL26" s="21"/>
      <c r="AM26" s="128"/>
      <c r="AN26" s="54"/>
      <c r="AO26" s="64"/>
      <c r="AP26" s="69"/>
      <c r="AQ26" s="127"/>
      <c r="AS26" s="21"/>
      <c r="AT26" s="128"/>
      <c r="AU26" s="54"/>
      <c r="AV26" s="64"/>
      <c r="AW26" s="69"/>
      <c r="AX26" s="127"/>
      <c r="AZ26" s="21"/>
      <c r="BA26" s="128"/>
      <c r="BB26" s="54"/>
      <c r="BC26" s="64"/>
      <c r="BD26" s="69"/>
      <c r="BE26" s="127"/>
      <c r="BG26" s="21"/>
      <c r="BH26" s="128"/>
      <c r="BI26" s="54"/>
      <c r="BJ26" s="64"/>
      <c r="BK26" s="69"/>
      <c r="BL26" s="127"/>
      <c r="BN26" s="21"/>
      <c r="BO26" s="128"/>
      <c r="BP26" s="54"/>
      <c r="BQ26" s="64"/>
      <c r="BR26" s="69"/>
      <c r="BS26" s="127"/>
    </row>
    <row r="27" spans="1:71" x14ac:dyDescent="0.15">
      <c r="A27" s="2" t="s">
        <v>45</v>
      </c>
      <c r="B27" s="17"/>
      <c r="C27" s="21"/>
      <c r="D27" s="128"/>
      <c r="E27" s="54"/>
      <c r="F27" s="64"/>
      <c r="G27" s="69"/>
      <c r="H27" s="127"/>
      <c r="J27" s="21"/>
      <c r="K27" s="128"/>
      <c r="L27" s="54"/>
      <c r="M27" s="64"/>
      <c r="N27" s="69"/>
      <c r="O27" s="127"/>
      <c r="Q27" s="21"/>
      <c r="R27" s="128"/>
      <c r="S27" s="54"/>
      <c r="T27" s="64"/>
      <c r="U27" s="69"/>
      <c r="V27" s="127"/>
      <c r="X27" s="21"/>
      <c r="Y27" s="128"/>
      <c r="Z27" s="54"/>
      <c r="AA27" s="64"/>
      <c r="AB27" s="69"/>
      <c r="AC27" s="127"/>
      <c r="AE27" s="21"/>
      <c r="AF27" s="128"/>
      <c r="AG27" s="54">
        <v>1</v>
      </c>
      <c r="AH27" s="64">
        <v>1</v>
      </c>
      <c r="AI27" s="69"/>
      <c r="AJ27" s="127">
        <v>1</v>
      </c>
      <c r="AL27" s="21"/>
      <c r="AM27" s="128"/>
      <c r="AN27" s="54"/>
      <c r="AO27" s="64"/>
      <c r="AP27" s="69"/>
      <c r="AQ27" s="127">
        <v>1</v>
      </c>
      <c r="AS27" s="21"/>
      <c r="AT27" s="128">
        <v>1</v>
      </c>
      <c r="AU27" s="54"/>
      <c r="AV27" s="64">
        <v>1</v>
      </c>
      <c r="AW27" s="69"/>
      <c r="AX27" s="127"/>
      <c r="AZ27" s="21"/>
      <c r="BA27" s="128"/>
      <c r="BB27" s="54">
        <v>1</v>
      </c>
      <c r="BC27" s="64">
        <v>1</v>
      </c>
      <c r="BD27" s="69"/>
      <c r="BE27" s="127"/>
      <c r="BG27" s="21"/>
      <c r="BH27" s="128"/>
      <c r="BI27" s="54"/>
      <c r="BJ27" s="64"/>
      <c r="BK27" s="69"/>
      <c r="BL27" s="127"/>
      <c r="BN27" s="21"/>
      <c r="BO27" s="128"/>
      <c r="BP27" s="54"/>
      <c r="BQ27" s="64"/>
      <c r="BR27" s="69"/>
      <c r="BS27" s="127"/>
    </row>
    <row r="28" spans="1:71" x14ac:dyDescent="0.15">
      <c r="A28" s="2" t="s">
        <v>16</v>
      </c>
      <c r="C28" s="21"/>
      <c r="D28" s="128"/>
      <c r="E28" s="54"/>
      <c r="F28" s="64"/>
      <c r="G28" s="69">
        <v>1</v>
      </c>
      <c r="H28" s="127">
        <v>1</v>
      </c>
      <c r="J28" s="21">
        <v>1</v>
      </c>
      <c r="K28" s="128">
        <v>1</v>
      </c>
      <c r="L28" s="54">
        <v>1</v>
      </c>
      <c r="M28" s="64">
        <v>2</v>
      </c>
      <c r="N28" s="69">
        <v>2</v>
      </c>
      <c r="O28" s="127">
        <v>2</v>
      </c>
      <c r="P28">
        <v>2</v>
      </c>
      <c r="Q28" s="21">
        <v>3</v>
      </c>
      <c r="R28" s="128">
        <v>1</v>
      </c>
      <c r="S28" s="54">
        <v>2</v>
      </c>
      <c r="T28" s="64">
        <v>2</v>
      </c>
      <c r="U28" s="69">
        <v>2</v>
      </c>
      <c r="V28" s="127">
        <v>3</v>
      </c>
      <c r="X28" s="21">
        <v>1</v>
      </c>
      <c r="Y28" s="128"/>
      <c r="Z28" s="54"/>
      <c r="AA28" s="64">
        <v>1</v>
      </c>
      <c r="AB28" s="69">
        <v>1</v>
      </c>
      <c r="AC28" s="127">
        <v>2</v>
      </c>
      <c r="AE28" s="21"/>
      <c r="AF28" s="128">
        <v>1</v>
      </c>
      <c r="AG28" s="54">
        <v>1</v>
      </c>
      <c r="AH28" s="64">
        <v>1</v>
      </c>
      <c r="AI28" s="69">
        <v>1</v>
      </c>
      <c r="AJ28" s="127">
        <v>1</v>
      </c>
      <c r="AL28" s="21">
        <v>1</v>
      </c>
      <c r="AM28" s="128"/>
      <c r="AN28" s="54">
        <v>1</v>
      </c>
      <c r="AO28" s="64">
        <v>1</v>
      </c>
      <c r="AP28" s="69">
        <v>1</v>
      </c>
      <c r="AQ28" s="127">
        <v>2</v>
      </c>
      <c r="AS28" s="21"/>
      <c r="AT28" s="128"/>
      <c r="AU28" s="54"/>
      <c r="AV28" s="64"/>
      <c r="AW28" s="69"/>
      <c r="AX28" s="127"/>
      <c r="AZ28" s="21"/>
      <c r="BA28" s="128"/>
      <c r="BB28" s="54"/>
      <c r="BC28" s="64">
        <v>1</v>
      </c>
      <c r="BD28" s="69">
        <v>1</v>
      </c>
      <c r="BE28" s="127">
        <v>1</v>
      </c>
      <c r="BF28">
        <v>1</v>
      </c>
      <c r="BG28" s="21"/>
      <c r="BH28" s="128">
        <v>1</v>
      </c>
      <c r="BI28" s="54"/>
      <c r="BJ28" s="64"/>
      <c r="BK28" s="69"/>
      <c r="BL28" s="127"/>
      <c r="BN28" s="21"/>
      <c r="BO28" s="128"/>
      <c r="BP28" s="54"/>
      <c r="BQ28" s="64"/>
      <c r="BR28" s="69"/>
      <c r="BS28" s="127"/>
    </row>
    <row r="29" spans="1:71" x14ac:dyDescent="0.15">
      <c r="A29" s="2" t="s">
        <v>219</v>
      </c>
      <c r="C29" s="21"/>
      <c r="D29" s="128"/>
      <c r="E29" s="54"/>
      <c r="F29" s="64"/>
      <c r="G29" s="69"/>
      <c r="H29" s="127"/>
      <c r="J29" s="21"/>
      <c r="K29" s="128"/>
      <c r="L29" s="54"/>
      <c r="M29" s="64"/>
      <c r="N29" s="69"/>
      <c r="O29" s="127"/>
      <c r="Q29" s="21"/>
      <c r="R29" s="128"/>
      <c r="S29" s="54"/>
      <c r="T29" s="64"/>
      <c r="U29" s="69"/>
      <c r="V29" s="127"/>
      <c r="X29" s="21"/>
      <c r="Y29" s="128"/>
      <c r="Z29" s="54"/>
      <c r="AA29" s="64"/>
      <c r="AB29" s="69"/>
      <c r="AC29" s="127"/>
      <c r="AE29" s="21"/>
      <c r="AF29" s="128"/>
      <c r="AG29" s="54"/>
      <c r="AH29" s="64"/>
      <c r="AI29" s="69"/>
      <c r="AJ29" s="127"/>
      <c r="AL29" s="21"/>
      <c r="AM29" s="128"/>
      <c r="AN29" s="54"/>
      <c r="AO29" s="64"/>
      <c r="AP29" s="69"/>
      <c r="AQ29" s="127"/>
      <c r="AS29" s="21"/>
      <c r="AT29" s="128"/>
      <c r="AU29" s="54"/>
      <c r="AV29" s="64"/>
      <c r="AW29" s="69"/>
      <c r="AX29" s="127"/>
      <c r="AZ29" s="21"/>
      <c r="BA29" s="128"/>
      <c r="BB29" s="54"/>
      <c r="BC29" s="64"/>
      <c r="BD29" s="69"/>
      <c r="BE29" s="127"/>
      <c r="BG29" s="21"/>
      <c r="BH29" s="128"/>
      <c r="BI29" s="54"/>
      <c r="BJ29" s="64"/>
      <c r="BK29" s="69"/>
      <c r="BL29" s="127"/>
      <c r="BN29" s="21"/>
      <c r="BO29" s="128"/>
      <c r="BP29" s="54"/>
      <c r="BQ29" s="64"/>
      <c r="BR29" s="69"/>
      <c r="BS29" s="127"/>
    </row>
    <row r="30" spans="1:71" x14ac:dyDescent="0.15">
      <c r="A30" s="5" t="s">
        <v>70</v>
      </c>
      <c r="C30" s="21"/>
      <c r="D30" s="128"/>
      <c r="E30" s="54"/>
      <c r="F30" s="64"/>
      <c r="G30" s="69"/>
      <c r="H30" s="127"/>
      <c r="J30" s="21"/>
      <c r="K30" s="128"/>
      <c r="L30" s="54"/>
      <c r="M30" s="64"/>
      <c r="N30" s="69"/>
      <c r="O30" s="127"/>
      <c r="Q30" s="21"/>
      <c r="R30" s="128"/>
      <c r="S30" s="54"/>
      <c r="T30" s="64"/>
      <c r="U30" s="69"/>
      <c r="V30" s="127"/>
      <c r="X30" s="21"/>
      <c r="Y30" s="128"/>
      <c r="Z30" s="54"/>
      <c r="AA30" s="64"/>
      <c r="AB30" s="69"/>
      <c r="AC30" s="127"/>
      <c r="AE30" s="21"/>
      <c r="AF30" s="128"/>
      <c r="AG30" s="54"/>
      <c r="AH30" s="64"/>
      <c r="AI30" s="69"/>
      <c r="AJ30" s="127"/>
      <c r="AL30" s="21"/>
      <c r="AM30" s="128"/>
      <c r="AN30" s="54"/>
      <c r="AO30" s="64"/>
      <c r="AP30" s="69"/>
      <c r="AQ30" s="127"/>
      <c r="AS30" s="21"/>
      <c r="AT30" s="128"/>
      <c r="AU30" s="54"/>
      <c r="AV30" s="64"/>
      <c r="AW30" s="69"/>
      <c r="AX30" s="127"/>
      <c r="AZ30" s="21"/>
      <c r="BA30" s="128">
        <v>1</v>
      </c>
      <c r="BB30" s="54"/>
      <c r="BC30" s="64"/>
      <c r="BD30" s="69"/>
      <c r="BE30" s="127"/>
      <c r="BG30" s="21"/>
      <c r="BH30" s="128"/>
      <c r="BI30" s="54"/>
      <c r="BJ30" s="64"/>
      <c r="BK30" s="69"/>
      <c r="BL30" s="127"/>
      <c r="BN30" s="21"/>
      <c r="BO30" s="128"/>
      <c r="BP30" s="54"/>
      <c r="BQ30" s="64"/>
      <c r="BR30" s="69"/>
      <c r="BS30" s="127"/>
    </row>
    <row r="31" spans="1:71" x14ac:dyDescent="0.15">
      <c r="A31" s="5" t="s">
        <v>221</v>
      </c>
      <c r="C31" s="21"/>
      <c r="D31" s="128"/>
      <c r="E31" s="54"/>
      <c r="F31" s="64"/>
      <c r="G31" s="69"/>
      <c r="H31" s="127">
        <v>1</v>
      </c>
      <c r="J31" s="21"/>
      <c r="K31" s="128"/>
      <c r="L31" s="54"/>
      <c r="M31" s="64"/>
      <c r="N31" s="69"/>
      <c r="O31" s="127"/>
      <c r="Q31" s="21"/>
      <c r="R31" s="128"/>
      <c r="S31" s="54"/>
      <c r="T31" s="64"/>
      <c r="U31" s="69"/>
      <c r="V31" s="127"/>
      <c r="X31" s="21"/>
      <c r="Y31" s="128"/>
      <c r="Z31" s="54"/>
      <c r="AA31" s="64"/>
      <c r="AB31" s="69"/>
      <c r="AC31" s="127"/>
      <c r="AE31" s="21"/>
      <c r="AF31" s="128"/>
      <c r="AG31" s="54"/>
      <c r="AH31" s="64"/>
      <c r="AI31" s="69"/>
      <c r="AJ31" s="127"/>
      <c r="AL31" s="21"/>
      <c r="AM31" s="128"/>
      <c r="AN31" s="54"/>
      <c r="AO31" s="64"/>
      <c r="AP31" s="69"/>
      <c r="AQ31" s="127"/>
      <c r="AS31" s="21"/>
      <c r="AT31" s="128"/>
      <c r="AU31" s="54"/>
      <c r="AV31" s="64"/>
      <c r="AW31" s="69"/>
      <c r="AX31" s="127"/>
      <c r="AZ31" s="21"/>
      <c r="BA31" s="128"/>
      <c r="BB31" s="54"/>
      <c r="BC31" s="64"/>
      <c r="BD31" s="69"/>
      <c r="BE31" s="127"/>
      <c r="BG31" s="21"/>
      <c r="BH31" s="128"/>
      <c r="BI31" s="54"/>
      <c r="BJ31" s="64"/>
      <c r="BK31" s="69"/>
      <c r="BL31" s="127"/>
      <c r="BN31" s="21"/>
      <c r="BO31" s="128"/>
      <c r="BP31" s="54"/>
      <c r="BQ31" s="64"/>
      <c r="BR31" s="69"/>
      <c r="BS31" s="127"/>
    </row>
    <row r="32" spans="1:71" x14ac:dyDescent="0.15">
      <c r="A32" s="5" t="s">
        <v>199</v>
      </c>
      <c r="C32" s="21"/>
      <c r="D32" s="128"/>
      <c r="E32" s="54"/>
      <c r="F32" s="64"/>
      <c r="G32" s="69"/>
      <c r="H32" s="127"/>
      <c r="J32" s="21"/>
      <c r="K32" s="128"/>
      <c r="L32" s="54"/>
      <c r="M32" s="64"/>
      <c r="N32" s="69"/>
      <c r="O32" s="127"/>
      <c r="Q32" s="21"/>
      <c r="R32" s="128"/>
      <c r="S32" s="54"/>
      <c r="T32" s="64"/>
      <c r="U32" s="69"/>
      <c r="V32" s="127"/>
      <c r="X32" s="21"/>
      <c r="Y32" s="128"/>
      <c r="Z32" s="54"/>
      <c r="AA32" s="64"/>
      <c r="AB32" s="69"/>
      <c r="AC32" s="127"/>
      <c r="AE32" s="21"/>
      <c r="AF32" s="128"/>
      <c r="AG32" s="54"/>
      <c r="AH32" s="64"/>
      <c r="AI32" s="69"/>
      <c r="AJ32" s="127"/>
      <c r="AL32" s="21"/>
      <c r="AM32" s="128"/>
      <c r="AN32" s="54"/>
      <c r="AO32" s="64">
        <v>1</v>
      </c>
      <c r="AP32" s="69">
        <v>1</v>
      </c>
      <c r="AQ32" s="127"/>
      <c r="AS32" s="21"/>
      <c r="AT32" s="128"/>
      <c r="AU32" s="54"/>
      <c r="AV32" s="64"/>
      <c r="AW32" s="69"/>
      <c r="AX32" s="127"/>
      <c r="AZ32" s="21"/>
      <c r="BA32" s="128"/>
      <c r="BB32" s="54"/>
      <c r="BC32" s="64"/>
      <c r="BD32" s="69"/>
      <c r="BE32" s="127"/>
      <c r="BG32" s="21"/>
      <c r="BH32" s="128"/>
      <c r="BI32" s="54"/>
      <c r="BJ32" s="64"/>
      <c r="BK32" s="69"/>
      <c r="BL32" s="127"/>
      <c r="BN32" s="21"/>
      <c r="BO32" s="128"/>
      <c r="BP32" s="54"/>
      <c r="BQ32" s="64"/>
      <c r="BR32" s="69"/>
      <c r="BS32" s="127"/>
    </row>
    <row r="33" spans="1:71" x14ac:dyDescent="0.15">
      <c r="A33" s="5" t="s">
        <v>222</v>
      </c>
      <c r="C33" s="21"/>
      <c r="D33" s="128"/>
      <c r="E33" s="54"/>
      <c r="F33" s="64"/>
      <c r="G33" s="69"/>
      <c r="H33" s="127"/>
      <c r="J33" s="21"/>
      <c r="K33" s="128"/>
      <c r="L33" s="54"/>
      <c r="M33" s="64"/>
      <c r="N33" s="69"/>
      <c r="O33" s="127">
        <v>1</v>
      </c>
      <c r="Q33" s="21"/>
      <c r="R33" s="128"/>
      <c r="S33" s="54"/>
      <c r="T33" s="64"/>
      <c r="U33" s="69"/>
      <c r="V33" s="127"/>
      <c r="X33" s="21"/>
      <c r="Y33" s="128"/>
      <c r="Z33" s="54"/>
      <c r="AA33" s="64"/>
      <c r="AB33" s="69"/>
      <c r="AC33" s="127">
        <v>1</v>
      </c>
      <c r="AE33" s="21"/>
      <c r="AF33" s="128"/>
      <c r="AG33" s="54"/>
      <c r="AH33" s="64"/>
      <c r="AI33" s="69"/>
      <c r="AJ33" s="127"/>
      <c r="AL33" s="21"/>
      <c r="AM33" s="128"/>
      <c r="AN33" s="54"/>
      <c r="AO33" s="64"/>
      <c r="AP33" s="69"/>
      <c r="AQ33" s="127"/>
      <c r="AS33" s="21"/>
      <c r="AT33" s="128"/>
      <c r="AU33" s="54"/>
      <c r="AV33" s="64"/>
      <c r="AW33" s="69"/>
      <c r="AX33" s="127"/>
      <c r="AZ33" s="21"/>
      <c r="BA33" s="128"/>
      <c r="BB33" s="54"/>
      <c r="BC33" s="64"/>
      <c r="BD33" s="69"/>
      <c r="BE33" s="127"/>
      <c r="BG33" s="21"/>
      <c r="BH33" s="128"/>
      <c r="BI33" s="54"/>
      <c r="BJ33" s="64"/>
      <c r="BK33" s="69"/>
      <c r="BL33" s="127"/>
      <c r="BN33" s="21"/>
      <c r="BO33" s="128"/>
      <c r="BP33" s="54"/>
      <c r="BQ33" s="64"/>
      <c r="BR33" s="69"/>
      <c r="BS33" s="127"/>
    </row>
    <row r="34" spans="1:71" x14ac:dyDescent="0.15">
      <c r="A34" s="2" t="s">
        <v>62</v>
      </c>
      <c r="C34" s="21"/>
      <c r="D34" s="128"/>
      <c r="E34" s="54"/>
      <c r="F34" s="64"/>
      <c r="G34" s="69"/>
      <c r="H34" s="127"/>
      <c r="J34" s="21"/>
      <c r="K34" s="128"/>
      <c r="L34" s="54"/>
      <c r="M34" s="64"/>
      <c r="N34" s="69"/>
      <c r="O34" s="127"/>
      <c r="Q34" s="21"/>
      <c r="R34" s="128"/>
      <c r="S34" s="54"/>
      <c r="T34" s="64"/>
      <c r="U34" s="69"/>
      <c r="V34" s="127"/>
      <c r="X34" s="21"/>
      <c r="Y34" s="128"/>
      <c r="Z34" s="54"/>
      <c r="AA34" s="64"/>
      <c r="AB34" s="69"/>
      <c r="AC34" s="127"/>
      <c r="AE34" s="21"/>
      <c r="AF34" s="128"/>
      <c r="AG34" s="54"/>
      <c r="AH34" s="64"/>
      <c r="AI34" s="69"/>
      <c r="AJ34" s="127"/>
      <c r="AL34" s="21">
        <v>1</v>
      </c>
      <c r="AM34" s="128">
        <v>1</v>
      </c>
      <c r="AN34" s="54">
        <v>1</v>
      </c>
      <c r="AO34" s="64">
        <v>2</v>
      </c>
      <c r="AP34" s="69">
        <v>2</v>
      </c>
      <c r="AQ34" s="127">
        <v>2</v>
      </c>
      <c r="AS34" s="21">
        <v>1</v>
      </c>
      <c r="AT34" s="128">
        <v>1</v>
      </c>
      <c r="AU34" s="54">
        <v>1</v>
      </c>
      <c r="AV34" s="64">
        <v>2</v>
      </c>
      <c r="AW34" s="69">
        <v>1</v>
      </c>
      <c r="AX34" s="127">
        <v>2</v>
      </c>
      <c r="AZ34" s="21"/>
      <c r="BA34" s="128"/>
      <c r="BB34" s="54"/>
      <c r="BC34" s="64"/>
      <c r="BD34" s="69"/>
      <c r="BE34" s="127"/>
      <c r="BG34" s="21"/>
      <c r="BH34" s="128"/>
      <c r="BI34" s="54"/>
      <c r="BJ34" s="64"/>
      <c r="BK34" s="69"/>
      <c r="BL34" s="127"/>
      <c r="BN34" s="21"/>
      <c r="BO34" s="128"/>
      <c r="BP34" s="54"/>
      <c r="BQ34" s="64"/>
      <c r="BR34" s="69"/>
      <c r="BS34" s="127"/>
    </row>
    <row r="35" spans="1:71" x14ac:dyDescent="0.15">
      <c r="A35" s="2" t="s">
        <v>17</v>
      </c>
      <c r="C35" s="21">
        <v>1</v>
      </c>
      <c r="D35" s="128">
        <v>1</v>
      </c>
      <c r="E35" s="54"/>
      <c r="F35" s="64">
        <v>1</v>
      </c>
      <c r="G35" s="69">
        <v>1</v>
      </c>
      <c r="H35" s="127">
        <v>1</v>
      </c>
      <c r="J35" s="21">
        <v>1</v>
      </c>
      <c r="K35" s="128">
        <v>1</v>
      </c>
      <c r="L35" s="54">
        <v>1</v>
      </c>
      <c r="M35" s="64">
        <v>1</v>
      </c>
      <c r="N35" s="69">
        <v>1</v>
      </c>
      <c r="O35" s="127">
        <v>1</v>
      </c>
      <c r="Q35" s="21"/>
      <c r="R35" s="128"/>
      <c r="S35" s="54"/>
      <c r="T35" s="64"/>
      <c r="U35" s="69"/>
      <c r="V35" s="127"/>
      <c r="X35" s="21"/>
      <c r="Y35" s="128"/>
      <c r="Z35" s="54"/>
      <c r="AA35" s="64">
        <v>1</v>
      </c>
      <c r="AB35" s="69">
        <v>1</v>
      </c>
      <c r="AC35" s="127">
        <v>1</v>
      </c>
      <c r="AE35" s="21"/>
      <c r="AF35" s="128"/>
      <c r="AG35" s="54"/>
      <c r="AH35" s="64"/>
      <c r="AI35" s="69"/>
      <c r="AJ35" s="127"/>
      <c r="AL35" s="21"/>
      <c r="AM35" s="128"/>
      <c r="AN35" s="54"/>
      <c r="AO35" s="64"/>
      <c r="AP35" s="69"/>
      <c r="AQ35" s="127"/>
      <c r="AS35" s="21"/>
      <c r="AT35" s="128"/>
      <c r="AU35" s="54"/>
      <c r="AV35" s="64"/>
      <c r="AW35" s="69"/>
      <c r="AX35" s="127"/>
      <c r="AZ35" s="21"/>
      <c r="BA35" s="128"/>
      <c r="BB35" s="54"/>
      <c r="BC35" s="64"/>
      <c r="BD35" s="69"/>
      <c r="BE35" s="127"/>
      <c r="BG35" s="21"/>
      <c r="BH35" s="128"/>
      <c r="BI35" s="54"/>
      <c r="BJ35" s="64"/>
      <c r="BK35" s="69"/>
      <c r="BL35" s="127"/>
      <c r="BN35" s="21"/>
      <c r="BO35" s="128"/>
      <c r="BP35" s="54"/>
      <c r="BQ35" s="64"/>
      <c r="BR35" s="69"/>
      <c r="BS35" s="127"/>
    </row>
    <row r="36" spans="1:71" x14ac:dyDescent="0.15">
      <c r="A36" s="2" t="s">
        <v>49</v>
      </c>
      <c r="B36" s="17"/>
      <c r="C36" s="21"/>
      <c r="D36" s="128">
        <v>1</v>
      </c>
      <c r="E36" s="54">
        <v>2</v>
      </c>
      <c r="F36" s="64">
        <v>2</v>
      </c>
      <c r="G36" s="69">
        <v>1</v>
      </c>
      <c r="H36" s="127">
        <v>2</v>
      </c>
      <c r="J36" s="21"/>
      <c r="K36" s="128">
        <v>1</v>
      </c>
      <c r="L36" s="54">
        <v>3</v>
      </c>
      <c r="M36" s="64">
        <v>1</v>
      </c>
      <c r="N36" s="69">
        <v>1</v>
      </c>
      <c r="O36" s="127">
        <v>1</v>
      </c>
      <c r="Q36" s="21"/>
      <c r="R36" s="128">
        <v>1</v>
      </c>
      <c r="S36" s="54">
        <v>2</v>
      </c>
      <c r="T36" s="64">
        <v>2</v>
      </c>
      <c r="U36" s="69">
        <v>2</v>
      </c>
      <c r="V36" s="127">
        <v>2</v>
      </c>
      <c r="X36" s="21"/>
      <c r="Y36" s="128">
        <v>2</v>
      </c>
      <c r="Z36" s="54">
        <v>2</v>
      </c>
      <c r="AA36" s="64">
        <v>2</v>
      </c>
      <c r="AB36" s="69">
        <v>3</v>
      </c>
      <c r="AC36" s="127">
        <v>2</v>
      </c>
      <c r="AE36" s="21"/>
      <c r="AF36" s="128">
        <v>1</v>
      </c>
      <c r="AG36" s="54">
        <v>1</v>
      </c>
      <c r="AH36" s="64">
        <v>1</v>
      </c>
      <c r="AI36" s="69">
        <v>2</v>
      </c>
      <c r="AJ36" s="127">
        <v>2</v>
      </c>
      <c r="AL36" s="21"/>
      <c r="AM36" s="128">
        <v>3</v>
      </c>
      <c r="AN36" s="54">
        <v>3</v>
      </c>
      <c r="AO36" s="64">
        <v>3</v>
      </c>
      <c r="AP36" s="69">
        <v>2</v>
      </c>
      <c r="AQ36" s="127">
        <v>2</v>
      </c>
      <c r="AS36" s="21"/>
      <c r="AT36" s="128">
        <v>1</v>
      </c>
      <c r="AU36" s="54">
        <v>2</v>
      </c>
      <c r="AV36" s="64">
        <v>3</v>
      </c>
      <c r="AW36" s="69">
        <v>2</v>
      </c>
      <c r="AX36" s="127">
        <v>2</v>
      </c>
      <c r="AZ36" s="21"/>
      <c r="BA36" s="128">
        <v>1</v>
      </c>
      <c r="BB36" s="54">
        <v>2</v>
      </c>
      <c r="BC36" s="64">
        <v>2</v>
      </c>
      <c r="BD36" s="69">
        <v>2</v>
      </c>
      <c r="BE36" s="127">
        <v>1</v>
      </c>
      <c r="BG36" s="21"/>
      <c r="BH36" s="128">
        <v>2</v>
      </c>
      <c r="BI36" s="54">
        <v>2</v>
      </c>
      <c r="BJ36" s="64">
        <v>1</v>
      </c>
      <c r="BK36" s="69">
        <v>2</v>
      </c>
      <c r="BL36" s="127">
        <v>1</v>
      </c>
      <c r="BN36" s="21"/>
      <c r="BO36" s="128">
        <v>2</v>
      </c>
      <c r="BP36" s="54">
        <v>2</v>
      </c>
      <c r="BQ36" s="64">
        <v>1</v>
      </c>
      <c r="BR36" s="69">
        <v>2</v>
      </c>
      <c r="BS36" s="127">
        <v>1</v>
      </c>
    </row>
    <row r="37" spans="1:71" x14ac:dyDescent="0.15">
      <c r="A37" s="2" t="s">
        <v>6</v>
      </c>
      <c r="C37" s="21"/>
      <c r="D37" s="128">
        <v>2</v>
      </c>
      <c r="E37" s="54">
        <v>1</v>
      </c>
      <c r="F37" s="64">
        <v>1</v>
      </c>
      <c r="G37" s="69">
        <v>1</v>
      </c>
      <c r="H37" s="127">
        <v>2</v>
      </c>
      <c r="J37" s="21">
        <v>1</v>
      </c>
      <c r="K37" s="128">
        <v>1</v>
      </c>
      <c r="L37" s="54">
        <v>1</v>
      </c>
      <c r="M37" s="64">
        <v>1</v>
      </c>
      <c r="N37" s="69">
        <v>1</v>
      </c>
      <c r="O37" s="127">
        <v>1</v>
      </c>
      <c r="Q37" s="21"/>
      <c r="R37" s="128"/>
      <c r="S37" s="54"/>
      <c r="T37" s="64"/>
      <c r="U37" s="69"/>
      <c r="V37" s="127"/>
      <c r="X37" s="21"/>
      <c r="Y37" s="128"/>
      <c r="Z37" s="54"/>
      <c r="AA37" s="64"/>
      <c r="AB37" s="69"/>
      <c r="AC37" s="127"/>
      <c r="AE37" s="21">
        <v>1</v>
      </c>
      <c r="AF37" s="128"/>
      <c r="AG37" s="54"/>
      <c r="AH37" s="64"/>
      <c r="AI37" s="69"/>
      <c r="AJ37" s="127"/>
      <c r="AL37" s="21"/>
      <c r="AM37" s="128"/>
      <c r="AN37" s="54"/>
      <c r="AO37" s="64"/>
      <c r="AP37" s="69"/>
      <c r="AQ37" s="127"/>
      <c r="AS37" s="21"/>
      <c r="AT37" s="128"/>
      <c r="AU37" s="54"/>
      <c r="AV37" s="64"/>
      <c r="AW37" s="69"/>
      <c r="AX37" s="127"/>
      <c r="AZ37" s="21"/>
      <c r="BA37" s="128"/>
      <c r="BB37" s="54"/>
      <c r="BC37" s="64"/>
      <c r="BD37" s="69"/>
      <c r="BE37" s="127"/>
      <c r="BG37" s="21"/>
      <c r="BH37" s="128"/>
      <c r="BI37" s="54"/>
      <c r="BJ37" s="64"/>
      <c r="BK37" s="69"/>
      <c r="BL37" s="127"/>
      <c r="BN37" s="21"/>
      <c r="BO37" s="128"/>
      <c r="BP37" s="54"/>
      <c r="BQ37" s="64">
        <v>3</v>
      </c>
      <c r="BR37" s="69"/>
      <c r="BS37" s="127"/>
    </row>
    <row r="38" spans="1:71" x14ac:dyDescent="0.15">
      <c r="A38" s="2" t="s">
        <v>19</v>
      </c>
      <c r="C38" s="21"/>
      <c r="D38" s="128">
        <v>1</v>
      </c>
      <c r="E38" s="54">
        <v>1</v>
      </c>
      <c r="F38" s="64">
        <v>1</v>
      </c>
      <c r="G38" s="69"/>
      <c r="H38" s="127">
        <v>1</v>
      </c>
      <c r="I38">
        <v>2</v>
      </c>
      <c r="J38" s="21">
        <v>1</v>
      </c>
      <c r="K38" s="128">
        <v>1</v>
      </c>
      <c r="L38" s="54">
        <v>1</v>
      </c>
      <c r="M38" s="64">
        <v>2</v>
      </c>
      <c r="N38" s="69">
        <v>2</v>
      </c>
      <c r="O38" s="127">
        <v>1</v>
      </c>
      <c r="P38">
        <v>1</v>
      </c>
      <c r="Q38" s="21"/>
      <c r="R38" s="128">
        <v>1</v>
      </c>
      <c r="S38" s="54">
        <v>1</v>
      </c>
      <c r="T38" s="64">
        <v>1</v>
      </c>
      <c r="U38" s="69">
        <v>1</v>
      </c>
      <c r="V38" s="127">
        <v>1</v>
      </c>
      <c r="W38">
        <v>1</v>
      </c>
      <c r="X38" s="21">
        <v>1</v>
      </c>
      <c r="Y38" s="128">
        <v>1</v>
      </c>
      <c r="Z38" s="54">
        <v>1</v>
      </c>
      <c r="AA38" s="64">
        <v>1</v>
      </c>
      <c r="AB38" s="69">
        <v>1</v>
      </c>
      <c r="AC38" s="127">
        <v>1</v>
      </c>
      <c r="AE38" s="21">
        <v>1</v>
      </c>
      <c r="AF38" s="128"/>
      <c r="AG38" s="54"/>
      <c r="AH38" s="64">
        <v>1</v>
      </c>
      <c r="AI38" s="69">
        <v>1</v>
      </c>
      <c r="AJ38" s="127">
        <v>1</v>
      </c>
      <c r="AK38">
        <v>3</v>
      </c>
      <c r="AL38" s="21">
        <v>3</v>
      </c>
      <c r="AM38" s="128">
        <v>3</v>
      </c>
      <c r="AN38" s="54">
        <v>3</v>
      </c>
      <c r="AO38" s="64">
        <v>3</v>
      </c>
      <c r="AP38" s="69">
        <v>2</v>
      </c>
      <c r="AQ38" s="127">
        <v>2</v>
      </c>
      <c r="AR38">
        <v>2</v>
      </c>
      <c r="AS38" s="21">
        <v>4</v>
      </c>
      <c r="AT38" s="128">
        <v>4</v>
      </c>
      <c r="AU38" s="54">
        <v>4</v>
      </c>
      <c r="AV38" s="64">
        <v>3</v>
      </c>
      <c r="AW38" s="69">
        <v>3</v>
      </c>
      <c r="AX38" s="127">
        <v>3</v>
      </c>
      <c r="AZ38" s="21">
        <v>2</v>
      </c>
      <c r="BA38" s="128">
        <v>1</v>
      </c>
      <c r="BB38" s="54">
        <v>2</v>
      </c>
      <c r="BC38" s="64">
        <v>2</v>
      </c>
      <c r="BD38" s="69">
        <v>1</v>
      </c>
      <c r="BE38" s="127">
        <v>2</v>
      </c>
      <c r="BF38">
        <v>3</v>
      </c>
      <c r="BG38" s="21">
        <v>2</v>
      </c>
      <c r="BH38" s="128">
        <v>1</v>
      </c>
      <c r="BI38" s="54">
        <v>2</v>
      </c>
      <c r="BJ38" s="64">
        <v>2</v>
      </c>
      <c r="BK38" s="69">
        <v>1</v>
      </c>
      <c r="BL38" s="127">
        <v>2</v>
      </c>
      <c r="BN38" s="21"/>
      <c r="BO38" s="128"/>
      <c r="BP38" s="54"/>
      <c r="BQ38" s="64">
        <v>1</v>
      </c>
      <c r="BR38" s="69">
        <v>1</v>
      </c>
      <c r="BS38" s="127">
        <v>2</v>
      </c>
    </row>
    <row r="39" spans="1:71" x14ac:dyDescent="0.15">
      <c r="A39" s="2" t="s">
        <v>68</v>
      </c>
      <c r="B39" s="17"/>
      <c r="C39" s="21"/>
      <c r="D39" s="128"/>
      <c r="E39" s="54"/>
      <c r="F39" s="64"/>
      <c r="G39" s="69"/>
      <c r="H39" s="127"/>
      <c r="J39" s="21"/>
      <c r="K39" s="128"/>
      <c r="L39" s="54"/>
      <c r="M39" s="64"/>
      <c r="N39" s="69"/>
      <c r="O39" s="127"/>
      <c r="Q39" s="21"/>
      <c r="R39" s="128"/>
      <c r="S39" s="54"/>
      <c r="T39" s="64"/>
      <c r="U39" s="69"/>
      <c r="V39" s="127"/>
      <c r="X39" s="21"/>
      <c r="Y39" s="128"/>
      <c r="Z39" s="54"/>
      <c r="AA39" s="64"/>
      <c r="AB39" s="69"/>
      <c r="AC39" s="127"/>
      <c r="AE39" s="21"/>
      <c r="AF39" s="128"/>
      <c r="AG39" s="54"/>
      <c r="AH39" s="64"/>
      <c r="AI39" s="69"/>
      <c r="AJ39" s="127"/>
      <c r="AL39" s="21"/>
      <c r="AM39" s="128"/>
      <c r="AN39" s="54"/>
      <c r="AO39" s="64"/>
      <c r="AP39" s="69"/>
      <c r="AQ39" s="127"/>
      <c r="AS39" s="21"/>
      <c r="AT39" s="128"/>
      <c r="AU39" s="54"/>
      <c r="AV39" s="64"/>
      <c r="AW39" s="69"/>
      <c r="AX39" s="127"/>
      <c r="AZ39" s="21"/>
      <c r="BA39" s="128"/>
      <c r="BB39" s="54"/>
      <c r="BC39" s="64"/>
      <c r="BD39" s="69"/>
      <c r="BE39" s="127"/>
      <c r="BG39" s="21"/>
      <c r="BH39" s="128"/>
      <c r="BI39" s="54"/>
      <c r="BJ39" s="64"/>
      <c r="BK39" s="69"/>
      <c r="BL39" s="127"/>
      <c r="BN39" s="21"/>
      <c r="BO39" s="128"/>
      <c r="BP39" s="54"/>
      <c r="BQ39" s="64"/>
      <c r="BR39" s="69"/>
      <c r="BS39" s="127"/>
    </row>
    <row r="40" spans="1:71" x14ac:dyDescent="0.15">
      <c r="A40" s="2" t="s">
        <v>37</v>
      </c>
      <c r="C40" s="21"/>
      <c r="D40" s="128"/>
      <c r="E40" s="54"/>
      <c r="F40" s="64"/>
      <c r="G40" s="69"/>
      <c r="H40" s="127"/>
      <c r="J40" s="21"/>
      <c r="K40" s="128"/>
      <c r="L40" s="54"/>
      <c r="M40" s="64"/>
      <c r="N40" s="69"/>
      <c r="O40" s="127"/>
      <c r="Q40" s="21"/>
      <c r="R40" s="128"/>
      <c r="S40" s="54"/>
      <c r="T40" s="64"/>
      <c r="U40" s="69"/>
      <c r="V40" s="127"/>
      <c r="X40" s="21"/>
      <c r="Y40" s="128"/>
      <c r="Z40" s="54"/>
      <c r="AA40" s="64"/>
      <c r="AB40" s="69"/>
      <c r="AC40" s="127"/>
      <c r="AE40" s="21"/>
      <c r="AF40" s="128"/>
      <c r="AG40" s="54"/>
      <c r="AH40" s="64"/>
      <c r="AI40" s="69"/>
      <c r="AJ40" s="127"/>
      <c r="AL40" s="21"/>
      <c r="AM40" s="128"/>
      <c r="AN40" s="54"/>
      <c r="AO40" s="64"/>
      <c r="AP40" s="69"/>
      <c r="AQ40" s="127"/>
      <c r="AS40" s="21"/>
      <c r="AT40" s="128"/>
      <c r="AU40" s="54"/>
      <c r="AV40" s="64"/>
      <c r="AW40" s="69"/>
      <c r="AX40" s="127"/>
      <c r="AZ40" s="21"/>
      <c r="BA40" s="128"/>
      <c r="BB40" s="54"/>
      <c r="BC40" s="64"/>
      <c r="BD40" s="69"/>
      <c r="BE40" s="127"/>
      <c r="BG40" s="21"/>
      <c r="BH40" s="128"/>
      <c r="BI40" s="54"/>
      <c r="BJ40" s="64"/>
      <c r="BK40" s="69"/>
      <c r="BL40" s="127"/>
      <c r="BN40" s="21"/>
      <c r="BO40" s="128"/>
      <c r="BP40" s="54"/>
      <c r="BQ40" s="64"/>
      <c r="BR40" s="69"/>
      <c r="BS40" s="127"/>
    </row>
    <row r="41" spans="1:71" x14ac:dyDescent="0.15">
      <c r="A41" s="2" t="s">
        <v>20</v>
      </c>
      <c r="B41">
        <v>3</v>
      </c>
      <c r="C41" s="21">
        <v>1</v>
      </c>
      <c r="D41" s="128">
        <v>2</v>
      </c>
      <c r="E41" s="54">
        <v>2</v>
      </c>
      <c r="F41" s="64">
        <v>2</v>
      </c>
      <c r="G41" s="69">
        <v>2</v>
      </c>
      <c r="H41" s="127">
        <v>1</v>
      </c>
      <c r="I41">
        <v>2</v>
      </c>
      <c r="J41" s="21"/>
      <c r="K41" s="128">
        <v>1</v>
      </c>
      <c r="L41" s="54">
        <v>1</v>
      </c>
      <c r="M41" s="64">
        <v>2</v>
      </c>
      <c r="N41" s="69">
        <v>2</v>
      </c>
      <c r="O41" s="127">
        <v>1</v>
      </c>
      <c r="Q41" s="21"/>
      <c r="R41" s="128"/>
      <c r="S41" s="54"/>
      <c r="T41" s="64"/>
      <c r="U41" s="69"/>
      <c r="V41" s="127"/>
      <c r="W41">
        <v>2</v>
      </c>
      <c r="X41" s="21">
        <v>1</v>
      </c>
      <c r="Y41" s="128">
        <v>1</v>
      </c>
      <c r="Z41" s="54">
        <v>2</v>
      </c>
      <c r="AA41" s="64">
        <v>1</v>
      </c>
      <c r="AB41" s="69">
        <v>1</v>
      </c>
      <c r="AC41" s="127">
        <v>1</v>
      </c>
      <c r="AE41" s="21">
        <v>2</v>
      </c>
      <c r="AF41" s="128">
        <v>2</v>
      </c>
      <c r="AG41" s="54">
        <v>4</v>
      </c>
      <c r="AH41" s="64">
        <v>3</v>
      </c>
      <c r="AI41" s="69">
        <v>2</v>
      </c>
      <c r="AJ41" s="127">
        <v>3</v>
      </c>
      <c r="AK41">
        <v>3</v>
      </c>
      <c r="AL41" s="21">
        <v>2</v>
      </c>
      <c r="AM41" s="128">
        <v>3</v>
      </c>
      <c r="AN41" s="54">
        <v>2</v>
      </c>
      <c r="AO41" s="64">
        <v>3</v>
      </c>
      <c r="AP41" s="69">
        <v>2</v>
      </c>
      <c r="AQ41" s="127">
        <v>1</v>
      </c>
      <c r="AS41" s="21"/>
      <c r="AT41" s="128"/>
      <c r="AU41" s="54"/>
      <c r="AV41" s="64"/>
      <c r="AW41" s="69"/>
      <c r="AX41" s="127"/>
      <c r="AY41">
        <v>3</v>
      </c>
      <c r="AZ41" s="21">
        <v>3</v>
      </c>
      <c r="BA41" s="128">
        <v>2</v>
      </c>
      <c r="BB41" s="54">
        <v>2</v>
      </c>
      <c r="BC41" s="64">
        <v>2</v>
      </c>
      <c r="BD41" s="69">
        <v>2</v>
      </c>
      <c r="BE41" s="127">
        <v>2</v>
      </c>
      <c r="BF41">
        <v>3</v>
      </c>
      <c r="BG41" s="21">
        <v>3</v>
      </c>
      <c r="BH41" s="128">
        <v>3</v>
      </c>
      <c r="BI41" s="54">
        <v>3</v>
      </c>
      <c r="BJ41" s="64">
        <v>2</v>
      </c>
      <c r="BK41" s="69">
        <v>2</v>
      </c>
      <c r="BL41" s="127">
        <v>1</v>
      </c>
      <c r="BM41">
        <v>3</v>
      </c>
      <c r="BN41" s="21">
        <v>2</v>
      </c>
      <c r="BO41" s="128">
        <v>1</v>
      </c>
      <c r="BP41" s="54">
        <v>2</v>
      </c>
      <c r="BQ41" s="64">
        <v>2</v>
      </c>
      <c r="BR41" s="69">
        <v>2</v>
      </c>
      <c r="BS41" s="127">
        <v>1</v>
      </c>
    </row>
    <row r="42" spans="1:71" x14ac:dyDescent="0.15">
      <c r="A42" s="2" t="s">
        <v>11</v>
      </c>
      <c r="B42">
        <v>4</v>
      </c>
      <c r="C42" s="21">
        <v>1</v>
      </c>
      <c r="D42" s="128">
        <v>4</v>
      </c>
      <c r="E42" s="54">
        <v>4</v>
      </c>
      <c r="F42" s="64">
        <v>3</v>
      </c>
      <c r="G42" s="69">
        <v>2</v>
      </c>
      <c r="H42" s="127">
        <v>4</v>
      </c>
      <c r="I42">
        <v>4</v>
      </c>
      <c r="J42" s="21"/>
      <c r="K42" s="128">
        <v>2</v>
      </c>
      <c r="L42" s="54">
        <v>2</v>
      </c>
      <c r="M42" s="64">
        <v>2</v>
      </c>
      <c r="N42" s="69">
        <v>2</v>
      </c>
      <c r="O42" s="127">
        <v>3</v>
      </c>
      <c r="Q42" s="21"/>
      <c r="R42" s="128">
        <v>1</v>
      </c>
      <c r="S42" s="54">
        <v>1</v>
      </c>
      <c r="T42" s="64">
        <v>1</v>
      </c>
      <c r="U42" s="69">
        <v>1</v>
      </c>
      <c r="V42" s="127">
        <v>3</v>
      </c>
      <c r="X42" s="21"/>
      <c r="Y42" s="128">
        <v>1</v>
      </c>
      <c r="Z42" s="54">
        <v>1</v>
      </c>
      <c r="AA42" s="64">
        <v>1</v>
      </c>
      <c r="AB42" s="69"/>
      <c r="AC42" s="127">
        <v>1</v>
      </c>
      <c r="AE42" s="21">
        <v>1</v>
      </c>
      <c r="AF42" s="128">
        <v>1</v>
      </c>
      <c r="AG42" s="54">
        <v>1</v>
      </c>
      <c r="AH42" s="64">
        <v>2</v>
      </c>
      <c r="AI42" s="69">
        <v>2</v>
      </c>
      <c r="AJ42" s="127">
        <v>3</v>
      </c>
      <c r="AL42" s="21">
        <v>1</v>
      </c>
      <c r="AM42" s="128"/>
      <c r="AN42" s="54">
        <v>1</v>
      </c>
      <c r="AO42" s="64">
        <v>1</v>
      </c>
      <c r="AP42" s="69">
        <v>1</v>
      </c>
      <c r="AQ42" s="127">
        <v>1</v>
      </c>
      <c r="AS42" s="21"/>
      <c r="AT42" s="128"/>
      <c r="AU42" s="54"/>
      <c r="AV42" s="64"/>
      <c r="AW42" s="69"/>
      <c r="AX42" s="127"/>
      <c r="AZ42" s="21"/>
      <c r="BA42" s="128"/>
      <c r="BB42" s="54"/>
      <c r="BC42" s="64">
        <v>1</v>
      </c>
      <c r="BD42" s="69">
        <v>1</v>
      </c>
      <c r="BE42" s="127">
        <v>1</v>
      </c>
      <c r="BG42" s="21"/>
      <c r="BH42" s="128">
        <v>1</v>
      </c>
      <c r="BI42" s="54"/>
      <c r="BJ42" s="64">
        <v>1</v>
      </c>
      <c r="BK42" s="69">
        <v>1</v>
      </c>
      <c r="BL42" s="127">
        <v>1</v>
      </c>
      <c r="BN42" s="21"/>
      <c r="BO42" s="128"/>
      <c r="BP42" s="54"/>
      <c r="BQ42" s="64"/>
      <c r="BR42" s="69"/>
      <c r="BS42" s="127"/>
    </row>
    <row r="43" spans="1:71" x14ac:dyDescent="0.15">
      <c r="A43" s="2" t="s">
        <v>21</v>
      </c>
      <c r="B43">
        <v>1</v>
      </c>
      <c r="C43" s="21">
        <v>2</v>
      </c>
      <c r="D43" s="128">
        <v>1</v>
      </c>
      <c r="E43" s="54">
        <v>1</v>
      </c>
      <c r="F43" s="64">
        <v>1</v>
      </c>
      <c r="G43" s="69">
        <v>3</v>
      </c>
      <c r="H43" s="127">
        <v>1</v>
      </c>
      <c r="I43">
        <v>1</v>
      </c>
      <c r="J43" s="21">
        <v>2</v>
      </c>
      <c r="K43" s="128">
        <v>2</v>
      </c>
      <c r="L43" s="54">
        <v>2</v>
      </c>
      <c r="M43" s="64">
        <v>1</v>
      </c>
      <c r="N43" s="69">
        <v>2</v>
      </c>
      <c r="O43" s="127">
        <v>1</v>
      </c>
      <c r="Q43" s="21">
        <v>1</v>
      </c>
      <c r="R43" s="128">
        <v>1</v>
      </c>
      <c r="S43" s="54">
        <v>3</v>
      </c>
      <c r="T43" s="64">
        <v>2</v>
      </c>
      <c r="U43" s="69">
        <v>2</v>
      </c>
      <c r="V43" s="127">
        <v>1</v>
      </c>
      <c r="W43">
        <v>1</v>
      </c>
      <c r="X43" s="21">
        <v>1</v>
      </c>
      <c r="Y43" s="128">
        <v>1</v>
      </c>
      <c r="Z43" s="54">
        <v>2</v>
      </c>
      <c r="AA43" s="64">
        <v>2</v>
      </c>
      <c r="AB43" s="69">
        <v>2</v>
      </c>
      <c r="AC43" s="127">
        <v>2</v>
      </c>
      <c r="AE43" s="21"/>
      <c r="AF43" s="128"/>
      <c r="AG43" s="54"/>
      <c r="AH43" s="64"/>
      <c r="AI43" s="69"/>
      <c r="AJ43" s="127"/>
      <c r="AK43">
        <v>2</v>
      </c>
      <c r="AL43" s="21">
        <v>2</v>
      </c>
      <c r="AM43" s="128">
        <v>1</v>
      </c>
      <c r="AN43" s="54">
        <v>2</v>
      </c>
      <c r="AO43" s="64">
        <v>2</v>
      </c>
      <c r="AP43" s="69">
        <v>2</v>
      </c>
      <c r="AQ43" s="127">
        <v>3</v>
      </c>
      <c r="AS43" s="21"/>
      <c r="AT43" s="128">
        <v>1</v>
      </c>
      <c r="AU43" s="54"/>
      <c r="AV43" s="64"/>
      <c r="AW43" s="69">
        <v>1</v>
      </c>
      <c r="AX43" s="127">
        <v>1</v>
      </c>
      <c r="AY43">
        <v>2</v>
      </c>
      <c r="AZ43" s="21">
        <v>2</v>
      </c>
      <c r="BA43" s="128">
        <v>1</v>
      </c>
      <c r="BB43" s="54">
        <v>1</v>
      </c>
      <c r="BC43" s="64">
        <v>1</v>
      </c>
      <c r="BD43" s="69">
        <v>1</v>
      </c>
      <c r="BE43" s="127">
        <v>1</v>
      </c>
      <c r="BF43">
        <v>2</v>
      </c>
      <c r="BG43" s="21">
        <v>2</v>
      </c>
      <c r="BH43" s="128">
        <v>2</v>
      </c>
      <c r="BI43" s="54">
        <v>2</v>
      </c>
      <c r="BJ43" s="64">
        <v>1</v>
      </c>
      <c r="BK43" s="69">
        <v>2</v>
      </c>
      <c r="BL43" s="127">
        <v>2</v>
      </c>
      <c r="BN43" s="21"/>
      <c r="BO43" s="128"/>
      <c r="BP43" s="54"/>
      <c r="BQ43" s="64">
        <v>2</v>
      </c>
      <c r="BR43" s="69">
        <v>3</v>
      </c>
      <c r="BS43" s="127">
        <v>2</v>
      </c>
    </row>
    <row r="44" spans="1:71" x14ac:dyDescent="0.15">
      <c r="A44" s="2" t="s">
        <v>197</v>
      </c>
      <c r="C44" s="21"/>
      <c r="D44" s="128"/>
      <c r="E44" s="54"/>
      <c r="F44" s="64"/>
      <c r="G44" s="69"/>
      <c r="H44" s="127"/>
      <c r="J44" s="21"/>
      <c r="K44" s="128"/>
      <c r="L44" s="54"/>
      <c r="M44" s="64"/>
      <c r="N44" s="69"/>
      <c r="O44" s="127"/>
      <c r="Q44" s="21"/>
      <c r="R44" s="128"/>
      <c r="S44" s="54"/>
      <c r="T44" s="64"/>
      <c r="U44" s="69"/>
      <c r="V44" s="127"/>
      <c r="X44" s="21"/>
      <c r="Y44" s="128"/>
      <c r="Z44" s="54"/>
      <c r="AA44" s="64"/>
      <c r="AB44" s="69"/>
      <c r="AC44" s="127"/>
      <c r="AE44" s="21"/>
      <c r="AF44" s="128"/>
      <c r="AG44" s="54"/>
      <c r="AH44" s="64"/>
      <c r="AI44" s="69"/>
      <c r="AJ44" s="127"/>
      <c r="AL44" s="21"/>
      <c r="AM44" s="128"/>
      <c r="AN44" s="54"/>
      <c r="AO44" s="64"/>
      <c r="AP44" s="69">
        <v>1</v>
      </c>
      <c r="AQ44" s="127"/>
      <c r="AS44" s="21"/>
      <c r="AT44" s="128"/>
      <c r="AU44" s="54"/>
      <c r="AV44" s="64"/>
      <c r="AW44" s="69"/>
      <c r="AX44" s="127"/>
      <c r="AZ44" s="21"/>
      <c r="BA44" s="128">
        <v>1</v>
      </c>
      <c r="BB44" s="54">
        <v>1</v>
      </c>
      <c r="BC44" s="64"/>
      <c r="BD44" s="69"/>
      <c r="BE44" s="127"/>
      <c r="BG44" s="21"/>
      <c r="BH44" s="128"/>
      <c r="BI44" s="54"/>
      <c r="BJ44" s="64"/>
      <c r="BK44" s="69"/>
      <c r="BL44" s="127"/>
      <c r="BN44" s="21">
        <v>1</v>
      </c>
      <c r="BO44" s="128">
        <v>1</v>
      </c>
      <c r="BP44" s="54">
        <v>1</v>
      </c>
      <c r="BQ44" s="64"/>
      <c r="BR44" s="69"/>
      <c r="BS44" s="127"/>
    </row>
    <row r="45" spans="1:71" x14ac:dyDescent="0.15">
      <c r="A45" s="2" t="s">
        <v>196</v>
      </c>
      <c r="C45" s="21"/>
      <c r="D45" s="128"/>
      <c r="E45" s="54"/>
      <c r="F45" s="64"/>
      <c r="G45" s="69"/>
      <c r="H45" s="127"/>
      <c r="J45" s="21"/>
      <c r="K45" s="128"/>
      <c r="L45" s="54"/>
      <c r="M45" s="64"/>
      <c r="N45" s="69"/>
      <c r="O45" s="127"/>
      <c r="Q45" s="21"/>
      <c r="R45" s="128"/>
      <c r="S45" s="54"/>
      <c r="T45" s="64"/>
      <c r="U45" s="69"/>
      <c r="V45" s="127"/>
      <c r="X45" s="21"/>
      <c r="Y45" s="128"/>
      <c r="Z45" s="54"/>
      <c r="AA45" s="64"/>
      <c r="AB45" s="69"/>
      <c r="AC45" s="127"/>
      <c r="AE45" s="21"/>
      <c r="AF45" s="128"/>
      <c r="AG45" s="54"/>
      <c r="AH45" s="64">
        <v>1</v>
      </c>
      <c r="AI45" s="69">
        <v>2</v>
      </c>
      <c r="AJ45" s="127">
        <v>2</v>
      </c>
      <c r="AL45" s="21">
        <v>2</v>
      </c>
      <c r="AM45" s="128">
        <v>2</v>
      </c>
      <c r="AN45" s="54">
        <v>2</v>
      </c>
      <c r="AO45" s="64">
        <v>3</v>
      </c>
      <c r="AP45" s="69">
        <v>3</v>
      </c>
      <c r="AQ45" s="127">
        <v>2</v>
      </c>
      <c r="AS45" s="21"/>
      <c r="AT45" s="128"/>
      <c r="AU45" s="54"/>
      <c r="AV45" s="64"/>
      <c r="AW45" s="69"/>
      <c r="AX45" s="127"/>
      <c r="AZ45" s="21"/>
      <c r="BA45" s="128"/>
      <c r="BB45" s="54"/>
      <c r="BC45" s="64"/>
      <c r="BD45" s="69">
        <v>1</v>
      </c>
      <c r="BE45" s="127">
        <v>1</v>
      </c>
      <c r="BG45" s="21"/>
      <c r="BH45" s="128"/>
      <c r="BI45" s="54"/>
      <c r="BJ45" s="64">
        <v>1</v>
      </c>
      <c r="BK45" s="69">
        <v>1</v>
      </c>
      <c r="BL45" s="127">
        <v>1</v>
      </c>
      <c r="BN45" s="21"/>
      <c r="BO45" s="128">
        <v>1</v>
      </c>
      <c r="BP45" s="54">
        <v>1</v>
      </c>
      <c r="BQ45" s="64">
        <v>1</v>
      </c>
      <c r="BR45" s="69">
        <v>1</v>
      </c>
      <c r="BS45" s="127">
        <v>1</v>
      </c>
    </row>
    <row r="46" spans="1:71" x14ac:dyDescent="0.15">
      <c r="A46" s="5" t="s">
        <v>198</v>
      </c>
      <c r="C46" s="21"/>
      <c r="D46" s="128"/>
      <c r="E46" s="54"/>
      <c r="F46" s="64"/>
      <c r="G46" s="69"/>
      <c r="H46" s="127"/>
      <c r="J46" s="21"/>
      <c r="K46" s="128"/>
      <c r="L46" s="54"/>
      <c r="M46" s="64"/>
      <c r="N46" s="69"/>
      <c r="O46" s="127"/>
      <c r="Q46" s="21"/>
      <c r="R46" s="128"/>
      <c r="S46" s="54"/>
      <c r="T46" s="64"/>
      <c r="U46" s="69"/>
      <c r="V46" s="127">
        <v>1</v>
      </c>
      <c r="X46" s="21"/>
      <c r="Y46" s="128"/>
      <c r="Z46" s="54"/>
      <c r="AA46" s="64"/>
      <c r="AB46" s="69"/>
      <c r="AC46" s="127"/>
      <c r="AE46" s="21"/>
      <c r="AF46" s="128"/>
      <c r="AG46" s="54"/>
      <c r="AH46" s="64"/>
      <c r="AI46" s="69"/>
      <c r="AJ46" s="127"/>
      <c r="AL46" s="21">
        <v>2</v>
      </c>
      <c r="AM46" s="128">
        <v>2</v>
      </c>
      <c r="AN46" s="54">
        <v>2</v>
      </c>
      <c r="AO46" s="64">
        <v>2</v>
      </c>
      <c r="AP46" s="69">
        <v>2</v>
      </c>
      <c r="AQ46" s="127">
        <v>1</v>
      </c>
      <c r="AS46" s="21"/>
      <c r="AT46" s="128"/>
      <c r="AU46" s="54"/>
      <c r="AV46" s="64">
        <v>1</v>
      </c>
      <c r="AW46" s="69">
        <v>1</v>
      </c>
      <c r="AX46" s="127">
        <v>1</v>
      </c>
      <c r="AZ46" s="21"/>
      <c r="BA46" s="128"/>
      <c r="BB46" s="54">
        <v>1</v>
      </c>
      <c r="BC46" s="64">
        <v>1</v>
      </c>
      <c r="BD46" s="69"/>
      <c r="BE46" s="127"/>
      <c r="BG46" s="21"/>
      <c r="BH46" s="128"/>
      <c r="BI46" s="54"/>
      <c r="BJ46" s="64">
        <v>1</v>
      </c>
      <c r="BK46" s="69"/>
      <c r="BL46" s="127">
        <v>1</v>
      </c>
      <c r="BN46" s="21"/>
      <c r="BO46" s="128"/>
      <c r="BP46" s="54"/>
      <c r="BQ46" s="64"/>
      <c r="BR46" s="69"/>
      <c r="BS46" s="127">
        <v>1</v>
      </c>
    </row>
    <row r="47" spans="1:71" x14ac:dyDescent="0.15">
      <c r="A47" s="2" t="s">
        <v>35</v>
      </c>
      <c r="C47" s="21"/>
      <c r="D47" s="128">
        <v>1</v>
      </c>
      <c r="E47" s="54"/>
      <c r="F47" s="64"/>
      <c r="G47" s="69"/>
      <c r="H47" s="127"/>
      <c r="J47" s="21"/>
      <c r="K47" s="128"/>
      <c r="L47" s="54"/>
      <c r="M47" s="64"/>
      <c r="N47" s="69"/>
      <c r="O47" s="127"/>
      <c r="Q47" s="21"/>
      <c r="R47" s="128"/>
      <c r="S47" s="54"/>
      <c r="T47" s="64"/>
      <c r="U47" s="69"/>
      <c r="V47" s="127"/>
      <c r="X47" s="21"/>
      <c r="Y47" s="128"/>
      <c r="Z47" s="54">
        <v>1</v>
      </c>
      <c r="AA47" s="64">
        <v>1</v>
      </c>
      <c r="AB47" s="69">
        <v>1</v>
      </c>
      <c r="AC47" s="127"/>
      <c r="AD47">
        <v>2</v>
      </c>
      <c r="AE47" s="21"/>
      <c r="AF47" s="128"/>
      <c r="AG47" s="54"/>
      <c r="AH47" s="64"/>
      <c r="AI47" s="69">
        <v>1</v>
      </c>
      <c r="AJ47" s="127"/>
      <c r="AK47">
        <v>2</v>
      </c>
      <c r="AL47" s="21"/>
      <c r="AM47" s="128">
        <v>1</v>
      </c>
      <c r="AN47" s="54">
        <v>1</v>
      </c>
      <c r="AO47" s="64"/>
      <c r="AP47" s="69">
        <v>1</v>
      </c>
      <c r="AQ47" s="127"/>
      <c r="AS47" s="21"/>
      <c r="AT47" s="128"/>
      <c r="AU47" s="54"/>
      <c r="AV47" s="64"/>
      <c r="AW47" s="69">
        <v>1</v>
      </c>
      <c r="AX47" s="127"/>
      <c r="AZ47" s="21">
        <v>1</v>
      </c>
      <c r="BA47" s="128">
        <v>1</v>
      </c>
      <c r="BB47" s="54">
        <v>1</v>
      </c>
      <c r="BC47" s="64">
        <v>1</v>
      </c>
      <c r="BD47" s="69">
        <v>1</v>
      </c>
      <c r="BE47" s="127"/>
      <c r="BF47">
        <v>1</v>
      </c>
      <c r="BG47" s="21">
        <v>1</v>
      </c>
      <c r="BH47" s="128">
        <v>1</v>
      </c>
      <c r="BI47" s="54">
        <v>1</v>
      </c>
      <c r="BJ47" s="64">
        <v>1</v>
      </c>
      <c r="BK47" s="69">
        <v>1</v>
      </c>
      <c r="BL47" s="127">
        <v>2</v>
      </c>
      <c r="BN47" s="21"/>
      <c r="BO47" s="128"/>
      <c r="BP47" s="54"/>
      <c r="BQ47" s="64">
        <v>1</v>
      </c>
      <c r="BR47" s="69"/>
      <c r="BS47" s="127">
        <v>1</v>
      </c>
    </row>
    <row r="48" spans="1:71" x14ac:dyDescent="0.15">
      <c r="A48" s="2" t="s">
        <v>110</v>
      </c>
      <c r="C48" s="21"/>
      <c r="D48" s="128"/>
      <c r="E48" s="54"/>
      <c r="F48" s="64"/>
      <c r="G48" s="69"/>
      <c r="H48" s="127"/>
      <c r="J48" s="21"/>
      <c r="K48" s="128"/>
      <c r="L48" s="54"/>
      <c r="M48" s="64"/>
      <c r="N48" s="69"/>
      <c r="O48" s="127"/>
      <c r="Q48" s="21"/>
      <c r="R48" s="128"/>
      <c r="S48" s="54"/>
      <c r="T48" s="64"/>
      <c r="U48" s="69"/>
      <c r="V48" s="127"/>
      <c r="X48" s="21"/>
      <c r="Y48" s="128"/>
      <c r="Z48" s="54"/>
      <c r="AA48" s="64"/>
      <c r="AB48" s="69"/>
      <c r="AC48" s="127"/>
      <c r="AE48" s="21"/>
      <c r="AF48" s="128"/>
      <c r="AG48" s="54"/>
      <c r="AH48" s="64"/>
      <c r="AI48" s="69"/>
      <c r="AJ48" s="127"/>
      <c r="AL48" s="21"/>
      <c r="AM48" s="128"/>
      <c r="AN48" s="54"/>
      <c r="AO48" s="64"/>
      <c r="AP48" s="69"/>
      <c r="AQ48" s="127"/>
      <c r="AS48" s="21"/>
      <c r="AT48" s="128"/>
      <c r="AU48" s="54"/>
      <c r="AV48" s="64"/>
      <c r="AW48" s="69"/>
      <c r="AX48" s="127"/>
      <c r="AZ48" s="21"/>
      <c r="BA48" s="128"/>
      <c r="BB48" s="54"/>
      <c r="BC48" s="64"/>
      <c r="BD48" s="69"/>
      <c r="BE48" s="127"/>
      <c r="BG48" s="21"/>
      <c r="BH48" s="128"/>
      <c r="BI48" s="54"/>
      <c r="BJ48" s="64"/>
      <c r="BK48" s="69"/>
      <c r="BL48" s="127"/>
      <c r="BN48" s="21"/>
      <c r="BO48" s="128"/>
      <c r="BP48" s="54"/>
      <c r="BQ48" s="64"/>
      <c r="BR48" s="69"/>
      <c r="BS48" s="127"/>
    </row>
    <row r="49" spans="1:71" x14ac:dyDescent="0.15">
      <c r="A49" s="2" t="s">
        <v>25</v>
      </c>
      <c r="C49" s="21"/>
      <c r="D49" s="128"/>
      <c r="E49" s="54"/>
      <c r="F49" s="64"/>
      <c r="G49" s="69"/>
      <c r="H49" s="127"/>
      <c r="J49" s="21"/>
      <c r="K49" s="128"/>
      <c r="L49" s="54"/>
      <c r="M49" s="64"/>
      <c r="N49" s="69"/>
      <c r="O49" s="127"/>
      <c r="Q49" s="21"/>
      <c r="R49" s="128"/>
      <c r="S49" s="54"/>
      <c r="T49" s="64"/>
      <c r="U49" s="69"/>
      <c r="V49" s="127"/>
      <c r="X49" s="21"/>
      <c r="Y49" s="128"/>
      <c r="Z49" s="54"/>
      <c r="AA49" s="64"/>
      <c r="AB49" s="69"/>
      <c r="AC49" s="127"/>
      <c r="AE49" s="21"/>
      <c r="AF49" s="128"/>
      <c r="AG49" s="54"/>
      <c r="AH49" s="64"/>
      <c r="AI49" s="69"/>
      <c r="AJ49" s="127"/>
      <c r="AK49">
        <v>1</v>
      </c>
      <c r="AL49" s="21">
        <v>1</v>
      </c>
      <c r="AM49" s="128"/>
      <c r="AN49" s="54"/>
      <c r="AO49" s="64">
        <v>1</v>
      </c>
      <c r="AP49" s="69">
        <v>2</v>
      </c>
      <c r="AQ49" s="127">
        <v>1</v>
      </c>
      <c r="AR49">
        <v>5</v>
      </c>
      <c r="AS49" s="21">
        <v>5</v>
      </c>
      <c r="AT49" s="128">
        <v>5</v>
      </c>
      <c r="AU49" s="54">
        <v>4</v>
      </c>
      <c r="AV49" s="64">
        <v>4</v>
      </c>
      <c r="AW49" s="69">
        <v>3</v>
      </c>
      <c r="AX49" s="127">
        <v>5</v>
      </c>
      <c r="AZ49" s="21"/>
      <c r="BA49" s="128"/>
      <c r="BB49" s="54"/>
      <c r="BC49" s="64"/>
      <c r="BD49" s="69"/>
      <c r="BE49" s="127"/>
      <c r="BG49" s="21"/>
      <c r="BH49" s="128"/>
      <c r="BI49" s="54"/>
      <c r="BJ49" s="64"/>
      <c r="BK49" s="69"/>
      <c r="BL49" s="127"/>
      <c r="BN49" s="21"/>
      <c r="BO49" s="128"/>
      <c r="BP49" s="54"/>
      <c r="BQ49" s="64"/>
      <c r="BR49" s="69"/>
      <c r="BS49" s="127"/>
    </row>
    <row r="50" spans="1:71" x14ac:dyDescent="0.15">
      <c r="A50" s="2" t="s">
        <v>38</v>
      </c>
      <c r="C50" s="21"/>
      <c r="D50" s="128">
        <v>1</v>
      </c>
      <c r="E50" s="54">
        <v>1</v>
      </c>
      <c r="F50" s="64">
        <v>1</v>
      </c>
      <c r="G50" s="69">
        <v>1</v>
      </c>
      <c r="H50" s="127">
        <v>2</v>
      </c>
      <c r="I50">
        <v>1</v>
      </c>
      <c r="J50" s="21"/>
      <c r="K50" s="128">
        <v>1</v>
      </c>
      <c r="L50" s="54">
        <v>1</v>
      </c>
      <c r="M50" s="64">
        <v>1</v>
      </c>
      <c r="N50" s="69">
        <v>2</v>
      </c>
      <c r="O50" s="127">
        <v>1</v>
      </c>
      <c r="Q50" s="21">
        <v>1</v>
      </c>
      <c r="R50" s="128">
        <v>1</v>
      </c>
      <c r="S50" s="54">
        <v>1</v>
      </c>
      <c r="T50" s="64">
        <v>1</v>
      </c>
      <c r="U50" s="69"/>
      <c r="V50" s="127">
        <v>1</v>
      </c>
      <c r="X50" s="21"/>
      <c r="Y50" s="128"/>
      <c r="Z50" s="54"/>
      <c r="AA50" s="64"/>
      <c r="AB50" s="69"/>
      <c r="AC50" s="127"/>
      <c r="AE50" s="21"/>
      <c r="AF50" s="128">
        <v>1</v>
      </c>
      <c r="AG50" s="54">
        <v>1</v>
      </c>
      <c r="AH50" s="64">
        <v>1</v>
      </c>
      <c r="AI50" s="69"/>
      <c r="AJ50" s="127"/>
      <c r="AK50">
        <v>1</v>
      </c>
      <c r="AL50" s="21">
        <v>1</v>
      </c>
      <c r="AM50" s="128"/>
      <c r="AN50" s="54"/>
      <c r="AO50" s="64"/>
      <c r="AP50" s="69"/>
      <c r="AQ50" s="127"/>
      <c r="AS50" s="21"/>
      <c r="AT50" s="128"/>
      <c r="AU50" s="54"/>
      <c r="AV50" s="64"/>
      <c r="AW50" s="69"/>
      <c r="AX50" s="127"/>
      <c r="AZ50" s="21"/>
      <c r="BA50" s="128"/>
      <c r="BB50" s="54"/>
      <c r="BC50" s="64"/>
      <c r="BD50" s="69"/>
      <c r="BE50" s="127"/>
      <c r="BG50" s="21"/>
      <c r="BH50" s="128"/>
      <c r="BI50" s="54">
        <v>1</v>
      </c>
      <c r="BJ50" s="64"/>
      <c r="BK50" s="69"/>
      <c r="BL50" s="127">
        <v>1</v>
      </c>
      <c r="BN50" s="21"/>
      <c r="BO50" s="128"/>
      <c r="BP50" s="54"/>
      <c r="BQ50" s="64"/>
      <c r="BR50" s="69"/>
      <c r="BS50" s="127"/>
    </row>
    <row r="51" spans="1:71" x14ac:dyDescent="0.15">
      <c r="A51" s="2" t="s">
        <v>27</v>
      </c>
      <c r="C51" s="21"/>
      <c r="D51" s="128"/>
      <c r="E51" s="54"/>
      <c r="F51" s="64"/>
      <c r="G51" s="69"/>
      <c r="H51" s="127"/>
      <c r="J51" s="21"/>
      <c r="K51" s="128"/>
      <c r="L51" s="54"/>
      <c r="M51" s="64"/>
      <c r="N51" s="69"/>
      <c r="O51" s="127"/>
      <c r="Q51" s="21"/>
      <c r="R51" s="128"/>
      <c r="S51" s="54"/>
      <c r="T51" s="64"/>
      <c r="U51" s="69"/>
      <c r="V51" s="127"/>
      <c r="X51" s="21"/>
      <c r="Y51" s="128"/>
      <c r="Z51" s="54"/>
      <c r="AA51" s="64"/>
      <c r="AB51" s="69"/>
      <c r="AC51" s="127"/>
      <c r="AE51" s="21"/>
      <c r="AF51" s="128"/>
      <c r="AG51" s="54"/>
      <c r="AH51" s="64"/>
      <c r="AI51" s="69"/>
      <c r="AJ51" s="127"/>
      <c r="AL51" s="21">
        <v>1</v>
      </c>
      <c r="AM51" s="128"/>
      <c r="AN51" s="54">
        <v>2</v>
      </c>
      <c r="AO51" s="64">
        <v>1</v>
      </c>
      <c r="AP51" s="69">
        <v>1</v>
      </c>
      <c r="AQ51" s="127">
        <v>1</v>
      </c>
      <c r="AS51" s="21"/>
      <c r="AT51" s="128"/>
      <c r="AU51" s="54">
        <v>1</v>
      </c>
      <c r="AV51" s="64">
        <v>1</v>
      </c>
      <c r="AW51" s="69">
        <v>1</v>
      </c>
      <c r="AX51" s="127">
        <v>1</v>
      </c>
      <c r="AZ51" s="21">
        <v>1</v>
      </c>
      <c r="BA51" s="128"/>
      <c r="BB51" s="54"/>
      <c r="BC51" s="64">
        <v>1</v>
      </c>
      <c r="BD51" s="69"/>
      <c r="BE51" s="127"/>
      <c r="BG51" s="21"/>
      <c r="BH51" s="128"/>
      <c r="BI51" s="54">
        <v>1</v>
      </c>
      <c r="BJ51" s="64"/>
      <c r="BK51" s="69"/>
      <c r="BL51" s="127"/>
      <c r="BN51" s="21"/>
      <c r="BO51" s="128"/>
      <c r="BP51" s="54"/>
      <c r="BQ51" s="64"/>
      <c r="BR51" s="69"/>
      <c r="BS51" s="127"/>
    </row>
    <row r="52" spans="1:71" x14ac:dyDescent="0.15">
      <c r="A52" s="2" t="s">
        <v>229</v>
      </c>
      <c r="C52" s="21"/>
      <c r="D52" s="128"/>
      <c r="E52" s="54"/>
      <c r="F52" s="64"/>
      <c r="G52" s="69"/>
      <c r="H52" s="127"/>
      <c r="J52" s="21"/>
      <c r="K52" s="128"/>
      <c r="L52" s="54"/>
      <c r="M52" s="64"/>
      <c r="N52" s="69"/>
      <c r="O52" s="127"/>
      <c r="Q52" s="21"/>
      <c r="R52" s="128"/>
      <c r="S52" s="54"/>
      <c r="T52" s="64"/>
      <c r="U52" s="69"/>
      <c r="V52" s="127"/>
      <c r="X52" s="21"/>
      <c r="Y52" s="128"/>
      <c r="Z52" s="54"/>
      <c r="AA52" s="64"/>
      <c r="AB52" s="69"/>
      <c r="AC52" s="127"/>
      <c r="AE52" s="21"/>
      <c r="AF52" s="128"/>
      <c r="AG52" s="54"/>
      <c r="AH52" s="64"/>
      <c r="AI52" s="69"/>
      <c r="AJ52" s="127"/>
      <c r="AL52" s="21"/>
      <c r="AM52" s="128"/>
      <c r="AN52" s="54"/>
      <c r="AO52" s="64"/>
      <c r="AP52" s="69">
        <v>1</v>
      </c>
      <c r="AQ52" s="127">
        <v>1</v>
      </c>
      <c r="AS52" s="21"/>
      <c r="AT52" s="128"/>
      <c r="AU52" s="54"/>
      <c r="AV52" s="64"/>
      <c r="AW52" s="69"/>
      <c r="AX52" s="127"/>
      <c r="AZ52" s="21"/>
      <c r="BA52" s="128"/>
      <c r="BB52" s="54"/>
      <c r="BC52" s="64"/>
      <c r="BD52" s="69"/>
      <c r="BE52" s="127"/>
      <c r="BG52" s="21"/>
      <c r="BH52" s="128"/>
      <c r="BI52" s="54"/>
      <c r="BJ52" s="64"/>
      <c r="BK52" s="69"/>
      <c r="BL52" s="127"/>
      <c r="BN52" s="21"/>
      <c r="BO52" s="128"/>
      <c r="BP52" s="54"/>
      <c r="BQ52" s="64"/>
      <c r="BR52" s="69"/>
      <c r="BS52" s="127"/>
    </row>
    <row r="53" spans="1:71" x14ac:dyDescent="0.15">
      <c r="A53" s="2" t="s">
        <v>36</v>
      </c>
      <c r="C53" s="21"/>
      <c r="D53" s="128"/>
      <c r="E53" s="54"/>
      <c r="F53" s="64"/>
      <c r="G53" s="69"/>
      <c r="H53" s="127"/>
      <c r="J53" s="21"/>
      <c r="K53" s="128"/>
      <c r="L53" s="54"/>
      <c r="M53" s="64"/>
      <c r="N53" s="69"/>
      <c r="O53" s="127"/>
      <c r="Q53" s="21"/>
      <c r="R53" s="128"/>
      <c r="S53" s="54"/>
      <c r="T53" s="64"/>
      <c r="U53" s="69"/>
      <c r="V53" s="127"/>
      <c r="W53">
        <v>1</v>
      </c>
      <c r="X53" s="21"/>
      <c r="Y53" s="128"/>
      <c r="Z53" s="54"/>
      <c r="AA53" s="64"/>
      <c r="AB53" s="69"/>
      <c r="AC53" s="127"/>
      <c r="AE53" s="21"/>
      <c r="AF53" s="128"/>
      <c r="AG53" s="54"/>
      <c r="AH53" s="64"/>
      <c r="AI53" s="69"/>
      <c r="AJ53" s="127"/>
      <c r="AL53" s="21"/>
      <c r="AM53" s="128"/>
      <c r="AN53" s="54"/>
      <c r="AO53" s="64"/>
      <c r="AP53" s="69"/>
      <c r="AQ53" s="127"/>
      <c r="AS53" s="21"/>
      <c r="AT53" s="128"/>
      <c r="AU53" s="54"/>
      <c r="AV53" s="64"/>
      <c r="AW53" s="69"/>
      <c r="AX53" s="127"/>
      <c r="AZ53" s="21"/>
      <c r="BA53" s="128"/>
      <c r="BB53" s="54"/>
      <c r="BC53" s="64"/>
      <c r="BD53" s="69"/>
      <c r="BE53" s="127"/>
      <c r="BF53">
        <v>1</v>
      </c>
      <c r="BG53" s="21">
        <v>1</v>
      </c>
      <c r="BH53" s="128"/>
      <c r="BI53" s="54"/>
      <c r="BJ53" s="64"/>
      <c r="BK53" s="69"/>
      <c r="BL53" s="127"/>
      <c r="BN53" s="21"/>
      <c r="BO53" s="128"/>
      <c r="BP53" s="54"/>
      <c r="BQ53" s="64"/>
      <c r="BR53" s="69"/>
      <c r="BS53" s="127"/>
    </row>
    <row r="54" spans="1:71" x14ac:dyDescent="0.15">
      <c r="A54" s="2" t="s">
        <v>50</v>
      </c>
      <c r="B54" s="17"/>
      <c r="C54" s="21"/>
      <c r="D54" s="128">
        <v>1</v>
      </c>
      <c r="E54" s="54">
        <v>1</v>
      </c>
      <c r="F54" s="64">
        <v>2</v>
      </c>
      <c r="G54" s="69">
        <v>1</v>
      </c>
      <c r="H54" s="127">
        <v>1</v>
      </c>
      <c r="J54" s="21"/>
      <c r="K54" s="128"/>
      <c r="L54" s="54"/>
      <c r="M54" s="64">
        <v>1</v>
      </c>
      <c r="N54" s="69">
        <v>1</v>
      </c>
      <c r="O54" s="127">
        <v>1</v>
      </c>
      <c r="Q54" s="21"/>
      <c r="R54" s="128"/>
      <c r="S54" s="54"/>
      <c r="T54" s="64"/>
      <c r="U54" s="69"/>
      <c r="V54" s="127"/>
      <c r="X54" s="21"/>
      <c r="Y54" s="128"/>
      <c r="Z54" s="54"/>
      <c r="AA54" s="64"/>
      <c r="AB54" s="69"/>
      <c r="AC54" s="127">
        <v>1</v>
      </c>
      <c r="AE54" s="21"/>
      <c r="AF54" s="128"/>
      <c r="AG54" s="54"/>
      <c r="AH54" s="64"/>
      <c r="AI54" s="69"/>
      <c r="AJ54" s="127"/>
      <c r="AL54" s="21"/>
      <c r="AM54" s="128"/>
      <c r="AN54" s="54">
        <v>2</v>
      </c>
      <c r="AO54" s="64">
        <v>2</v>
      </c>
      <c r="AP54" s="69">
        <v>1</v>
      </c>
      <c r="AQ54" s="127">
        <v>1</v>
      </c>
      <c r="AS54" s="21"/>
      <c r="AT54" s="128"/>
      <c r="AU54" s="54"/>
      <c r="AV54" s="64"/>
      <c r="AW54" s="69"/>
      <c r="AX54" s="127">
        <v>1</v>
      </c>
      <c r="AZ54" s="21"/>
      <c r="BA54" s="128"/>
      <c r="BB54" s="54"/>
      <c r="BC54" s="64"/>
      <c r="BD54" s="69"/>
      <c r="BE54" s="127"/>
      <c r="BG54" s="21"/>
      <c r="BH54" s="128"/>
      <c r="BI54" s="54">
        <v>1</v>
      </c>
      <c r="BJ54" s="64"/>
      <c r="BK54" s="69"/>
      <c r="BL54" s="127"/>
      <c r="BN54" s="21"/>
      <c r="BO54" s="128">
        <v>1</v>
      </c>
      <c r="BP54" s="54"/>
      <c r="BQ54" s="64"/>
      <c r="BR54" s="69">
        <v>1</v>
      </c>
      <c r="BS54" s="127">
        <v>1</v>
      </c>
    </row>
    <row r="55" spans="1:71" x14ac:dyDescent="0.15">
      <c r="A55" s="2" t="s">
        <v>231</v>
      </c>
      <c r="B55" s="17"/>
      <c r="C55" s="21"/>
      <c r="D55" s="128"/>
      <c r="E55" s="54"/>
      <c r="F55" s="64"/>
      <c r="G55" s="69"/>
      <c r="H55" s="127"/>
      <c r="J55" s="21"/>
      <c r="K55" s="128"/>
      <c r="L55" s="54"/>
      <c r="M55" s="64"/>
      <c r="N55" s="69"/>
      <c r="O55" s="127"/>
      <c r="Q55" s="21"/>
      <c r="R55" s="128"/>
      <c r="S55" s="54"/>
      <c r="T55" s="64"/>
      <c r="U55" s="69"/>
      <c r="V55" s="127"/>
      <c r="X55" s="21"/>
      <c r="Y55" s="128"/>
      <c r="Z55" s="54"/>
      <c r="AA55" s="64"/>
      <c r="AB55" s="69"/>
      <c r="AC55" s="127"/>
      <c r="AE55" s="21"/>
      <c r="AF55" s="128"/>
      <c r="AG55" s="54"/>
      <c r="AH55" s="64"/>
      <c r="AI55" s="69"/>
      <c r="AJ55" s="127"/>
      <c r="AL55" s="21"/>
      <c r="AM55" s="128"/>
      <c r="AN55" s="54"/>
      <c r="AO55" s="64"/>
      <c r="AP55" s="69">
        <v>1</v>
      </c>
      <c r="AQ55" s="127"/>
      <c r="AS55" s="21"/>
      <c r="AT55" s="128"/>
      <c r="AU55" s="54"/>
      <c r="AV55" s="64"/>
      <c r="AW55" s="69"/>
      <c r="AX55" s="127">
        <v>1</v>
      </c>
      <c r="AZ55" s="21"/>
      <c r="BA55" s="128"/>
      <c r="BB55" s="54"/>
      <c r="BC55" s="64"/>
      <c r="BD55" s="69"/>
      <c r="BE55" s="127"/>
      <c r="BG55" s="21"/>
      <c r="BH55" s="128"/>
      <c r="BI55" s="54"/>
      <c r="BJ55" s="64"/>
      <c r="BK55" s="69"/>
      <c r="BL55" s="127"/>
      <c r="BN55" s="21"/>
      <c r="BO55" s="128"/>
      <c r="BP55" s="54"/>
      <c r="BQ55" s="64"/>
      <c r="BR55" s="69"/>
      <c r="BS55" s="127"/>
    </row>
    <row r="56" spans="1:71" x14ac:dyDescent="0.15">
      <c r="A56" s="2" t="s">
        <v>58</v>
      </c>
      <c r="B56" s="17"/>
      <c r="C56" s="21"/>
      <c r="D56" s="128"/>
      <c r="E56" s="54"/>
      <c r="F56" s="64">
        <v>1</v>
      </c>
      <c r="G56" s="69">
        <v>1</v>
      </c>
      <c r="H56" s="127">
        <v>1</v>
      </c>
      <c r="J56" s="21"/>
      <c r="K56" s="128"/>
      <c r="L56" s="54">
        <v>1</v>
      </c>
      <c r="M56" s="64">
        <v>1</v>
      </c>
      <c r="N56" s="69">
        <v>1</v>
      </c>
      <c r="O56" s="127">
        <v>1</v>
      </c>
      <c r="Q56" s="21"/>
      <c r="R56" s="128">
        <v>1</v>
      </c>
      <c r="S56" s="54">
        <v>1</v>
      </c>
      <c r="T56" s="64">
        <v>1</v>
      </c>
      <c r="U56" s="69">
        <v>1</v>
      </c>
      <c r="V56" s="127">
        <v>1</v>
      </c>
      <c r="X56" s="21"/>
      <c r="Y56" s="128"/>
      <c r="Z56" s="54">
        <v>1</v>
      </c>
      <c r="AA56" s="64">
        <v>1</v>
      </c>
      <c r="AB56" s="69">
        <v>1</v>
      </c>
      <c r="AC56" s="127"/>
      <c r="AE56" s="21"/>
      <c r="AF56" s="128">
        <v>1</v>
      </c>
      <c r="AG56" s="54"/>
      <c r="AH56" s="64"/>
      <c r="AI56" s="69">
        <v>1</v>
      </c>
      <c r="AJ56" s="127">
        <v>1</v>
      </c>
      <c r="AL56" s="21"/>
      <c r="AM56" s="128"/>
      <c r="AN56" s="54">
        <v>1</v>
      </c>
      <c r="AO56" s="64">
        <v>1</v>
      </c>
      <c r="AP56" s="69">
        <v>1</v>
      </c>
      <c r="AQ56" s="127"/>
      <c r="AS56" s="21"/>
      <c r="AT56" s="128"/>
      <c r="AU56" s="54"/>
      <c r="AV56" s="64"/>
      <c r="AW56" s="69"/>
      <c r="AX56" s="127"/>
      <c r="AZ56" s="21"/>
      <c r="BA56" s="128"/>
      <c r="BB56" s="54"/>
      <c r="BC56" s="64"/>
      <c r="BD56" s="69"/>
      <c r="BE56" s="127"/>
      <c r="BG56" s="21"/>
      <c r="BH56" s="128"/>
      <c r="BI56" s="54">
        <v>1</v>
      </c>
      <c r="BJ56" s="64"/>
      <c r="BK56" s="69"/>
      <c r="BL56" s="127"/>
      <c r="BN56" s="21"/>
      <c r="BO56" s="128"/>
      <c r="BP56" s="54"/>
      <c r="BQ56" s="64">
        <v>1</v>
      </c>
      <c r="BR56" s="69"/>
      <c r="BS56" s="127"/>
    </row>
    <row r="57" spans="1:71" x14ac:dyDescent="0.15">
      <c r="A57" s="2" t="s">
        <v>57</v>
      </c>
      <c r="B57" s="17"/>
      <c r="C57" s="21"/>
      <c r="D57" s="128"/>
      <c r="E57" s="54"/>
      <c r="F57" s="64"/>
      <c r="G57" s="69"/>
      <c r="H57" s="127"/>
      <c r="J57" s="21"/>
      <c r="K57" s="128">
        <v>1</v>
      </c>
      <c r="L57" s="54"/>
      <c r="M57" s="64"/>
      <c r="N57" s="69"/>
      <c r="O57" s="127"/>
      <c r="Q57" s="21"/>
      <c r="R57" s="128"/>
      <c r="S57" s="54"/>
      <c r="T57" s="64"/>
      <c r="U57" s="69"/>
      <c r="V57" s="127"/>
      <c r="X57" s="21"/>
      <c r="Y57" s="128"/>
      <c r="Z57" s="54"/>
      <c r="AA57" s="64"/>
      <c r="AB57" s="69"/>
      <c r="AC57" s="127"/>
      <c r="AE57" s="21"/>
      <c r="AF57" s="128"/>
      <c r="AG57" s="54"/>
      <c r="AH57" s="64"/>
      <c r="AI57" s="69"/>
      <c r="AJ57" s="127"/>
      <c r="AL57" s="21"/>
      <c r="AM57" s="128"/>
      <c r="AN57" s="54"/>
      <c r="AO57" s="64"/>
      <c r="AP57" s="69"/>
      <c r="AQ57" s="127"/>
      <c r="AS57" s="21"/>
      <c r="AT57" s="128"/>
      <c r="AU57" s="54"/>
      <c r="AV57" s="64"/>
      <c r="AW57" s="69"/>
      <c r="AX57" s="127"/>
      <c r="AZ57" s="21"/>
      <c r="BA57" s="128"/>
      <c r="BB57" s="54"/>
      <c r="BC57" s="64"/>
      <c r="BD57" s="69"/>
      <c r="BE57" s="127"/>
      <c r="BG57" s="21"/>
      <c r="BH57" s="128"/>
      <c r="BI57" s="54"/>
      <c r="BJ57" s="64"/>
      <c r="BK57" s="69"/>
      <c r="BL57" s="127"/>
      <c r="BN57" s="21"/>
      <c r="BO57" s="128"/>
      <c r="BP57" s="54"/>
      <c r="BQ57" s="64"/>
      <c r="BR57" s="69"/>
      <c r="BS57" s="127"/>
    </row>
    <row r="58" spans="1:71" x14ac:dyDescent="0.15">
      <c r="A58" s="2" t="s">
        <v>28</v>
      </c>
      <c r="C58" s="21"/>
      <c r="D58" s="128"/>
      <c r="E58" s="54"/>
      <c r="F58" s="64"/>
      <c r="G58" s="69"/>
      <c r="H58" s="127"/>
      <c r="J58" s="21"/>
      <c r="K58" s="128"/>
      <c r="L58" s="54"/>
      <c r="M58" s="64"/>
      <c r="N58" s="69"/>
      <c r="O58" s="127"/>
      <c r="Q58" s="21"/>
      <c r="R58" s="128"/>
      <c r="S58" s="54"/>
      <c r="T58" s="64"/>
      <c r="U58" s="69"/>
      <c r="V58" s="127"/>
      <c r="X58" s="21"/>
      <c r="Y58" s="128"/>
      <c r="Z58" s="54"/>
      <c r="AA58" s="64"/>
      <c r="AB58" s="69"/>
      <c r="AC58" s="127"/>
      <c r="AE58" s="21"/>
      <c r="AF58" s="128"/>
      <c r="AG58" s="54"/>
      <c r="AH58" s="64"/>
      <c r="AI58" s="69"/>
      <c r="AJ58" s="127"/>
      <c r="AK58">
        <v>1</v>
      </c>
      <c r="AL58" s="21">
        <v>1</v>
      </c>
      <c r="AM58" s="128"/>
      <c r="AN58" s="54"/>
      <c r="AO58" s="64"/>
      <c r="AP58" s="69" t="s">
        <v>192</v>
      </c>
      <c r="AQ58" s="127"/>
      <c r="AS58" s="21"/>
      <c r="AT58" s="128"/>
      <c r="AU58" s="54"/>
      <c r="AV58" s="64"/>
      <c r="AW58" s="69"/>
      <c r="AX58" s="127"/>
      <c r="AZ58" s="21"/>
      <c r="BA58" s="128"/>
      <c r="BB58" s="54"/>
      <c r="BC58" s="64"/>
      <c r="BD58" s="69"/>
      <c r="BE58" s="127"/>
      <c r="BG58" s="21"/>
      <c r="BH58" s="128"/>
      <c r="BI58" s="54"/>
      <c r="BJ58" s="64"/>
      <c r="BK58" s="69"/>
      <c r="BL58" s="127"/>
      <c r="BM58">
        <v>2</v>
      </c>
      <c r="BN58" s="21"/>
      <c r="BO58" s="128">
        <v>1</v>
      </c>
      <c r="BP58" s="54">
        <v>1</v>
      </c>
      <c r="BQ58" s="64">
        <v>1</v>
      </c>
      <c r="BR58" s="69">
        <v>1</v>
      </c>
      <c r="BS58" s="127">
        <v>1</v>
      </c>
    </row>
    <row r="59" spans="1:71" x14ac:dyDescent="0.15">
      <c r="A59" s="2" t="s">
        <v>194</v>
      </c>
      <c r="B59" s="18"/>
      <c r="C59" s="21"/>
      <c r="D59" s="128"/>
      <c r="E59" s="54"/>
      <c r="F59" s="64"/>
      <c r="G59" s="69"/>
      <c r="H59" s="127"/>
      <c r="J59" s="21"/>
      <c r="K59" s="128"/>
      <c r="L59" s="54"/>
      <c r="M59" s="64"/>
      <c r="N59" s="69"/>
      <c r="O59" s="127"/>
      <c r="Q59" s="21"/>
      <c r="R59" s="128"/>
      <c r="S59" s="54"/>
      <c r="T59" s="64"/>
      <c r="U59" s="69"/>
      <c r="V59" s="127"/>
      <c r="X59" s="21"/>
      <c r="Y59" s="128"/>
      <c r="Z59" s="54"/>
      <c r="AA59" s="64"/>
      <c r="AB59" s="69"/>
      <c r="AC59" s="127"/>
      <c r="AE59" s="21"/>
      <c r="AF59" s="128"/>
      <c r="AG59" s="54"/>
      <c r="AH59" s="64"/>
      <c r="AI59" s="69"/>
      <c r="AJ59" s="127"/>
      <c r="AL59" s="21">
        <v>1</v>
      </c>
      <c r="AM59" s="128"/>
      <c r="AN59" s="54">
        <v>1</v>
      </c>
      <c r="AO59" s="64"/>
      <c r="AP59" s="69">
        <v>1</v>
      </c>
      <c r="AQ59" s="127">
        <v>1</v>
      </c>
      <c r="AS59" s="21">
        <v>3</v>
      </c>
      <c r="AT59" s="128"/>
      <c r="AU59" s="54">
        <v>3</v>
      </c>
      <c r="AV59" s="64">
        <v>3</v>
      </c>
      <c r="AW59" s="69">
        <v>2</v>
      </c>
      <c r="AX59" s="127">
        <v>1</v>
      </c>
      <c r="AZ59" s="21"/>
      <c r="BA59" s="128"/>
      <c r="BB59" s="54"/>
      <c r="BC59" s="64"/>
      <c r="BD59" s="69"/>
      <c r="BE59" s="127"/>
      <c r="BG59" s="21"/>
      <c r="BH59" s="128"/>
      <c r="BI59" s="54"/>
      <c r="BJ59" s="64"/>
      <c r="BK59" s="69"/>
      <c r="BL59" s="127"/>
      <c r="BN59" s="21"/>
      <c r="BO59" s="128"/>
      <c r="BP59" s="54"/>
      <c r="BQ59" s="64"/>
      <c r="BR59" s="69"/>
      <c r="BS59" s="127"/>
    </row>
    <row r="60" spans="1:71" x14ac:dyDescent="0.15">
      <c r="A60" s="2" t="s">
        <v>10</v>
      </c>
      <c r="C60" s="21"/>
      <c r="D60" s="128"/>
      <c r="E60" s="54">
        <v>1</v>
      </c>
      <c r="F60" s="64">
        <v>1</v>
      </c>
      <c r="G60" s="69">
        <v>1</v>
      </c>
      <c r="H60" s="127">
        <v>2</v>
      </c>
      <c r="I60">
        <v>1</v>
      </c>
      <c r="J60" s="21">
        <v>1</v>
      </c>
      <c r="K60" s="128"/>
      <c r="L60" s="54">
        <v>1</v>
      </c>
      <c r="M60" s="64">
        <v>1</v>
      </c>
      <c r="N60" s="69">
        <v>1</v>
      </c>
      <c r="O60" s="127">
        <v>1</v>
      </c>
      <c r="Q60" s="21">
        <v>2</v>
      </c>
      <c r="R60" s="128"/>
      <c r="S60" s="54">
        <v>1</v>
      </c>
      <c r="T60" s="64">
        <v>1</v>
      </c>
      <c r="U60" s="69"/>
      <c r="V60" s="127"/>
      <c r="X60" s="21"/>
      <c r="Y60" s="128"/>
      <c r="Z60" s="54">
        <v>1</v>
      </c>
      <c r="AA60" s="64"/>
      <c r="AB60" s="69"/>
      <c r="AC60" s="127"/>
      <c r="AE60" s="21"/>
      <c r="AF60" s="128"/>
      <c r="AG60" s="54"/>
      <c r="AH60" s="64"/>
      <c r="AI60" s="69"/>
      <c r="AJ60" s="127"/>
      <c r="AL60" s="21"/>
      <c r="AM60" s="128"/>
      <c r="AN60" s="54"/>
      <c r="AO60" s="64"/>
      <c r="AP60" s="69"/>
      <c r="AQ60" s="127"/>
      <c r="AS60" s="21"/>
      <c r="AT60" s="128"/>
      <c r="AU60" s="54"/>
      <c r="AV60" s="64"/>
      <c r="AW60" s="69"/>
      <c r="AX60" s="127"/>
      <c r="AZ60" s="21"/>
      <c r="BA60" s="128"/>
      <c r="BB60" s="54"/>
      <c r="BC60" s="64"/>
      <c r="BD60" s="69"/>
      <c r="BE60" s="127"/>
      <c r="BF60">
        <v>1</v>
      </c>
      <c r="BG60" s="21"/>
      <c r="BH60" s="128"/>
      <c r="BI60" s="54"/>
      <c r="BJ60" s="64"/>
      <c r="BK60" s="69"/>
      <c r="BL60" s="127"/>
      <c r="BN60" s="21"/>
      <c r="BO60" s="128"/>
      <c r="BP60" s="54"/>
      <c r="BQ60" s="64"/>
      <c r="BR60" s="69"/>
      <c r="BS60" s="127"/>
    </row>
    <row r="61" spans="1:71" x14ac:dyDescent="0.15">
      <c r="A61" s="5" t="s">
        <v>174</v>
      </c>
      <c r="B61" s="17"/>
      <c r="C61" s="21"/>
      <c r="D61" s="111"/>
      <c r="E61" s="112"/>
      <c r="F61" s="113"/>
      <c r="G61" s="145"/>
      <c r="H61" s="169"/>
      <c r="I61" s="114"/>
      <c r="J61" s="21"/>
      <c r="K61" s="111"/>
      <c r="L61" s="112"/>
      <c r="M61" s="113"/>
      <c r="N61" s="145"/>
      <c r="O61" s="169"/>
      <c r="P61" s="4">
        <v>1</v>
      </c>
      <c r="Q61" s="138">
        <v>1</v>
      </c>
      <c r="R61" s="128">
        <v>1</v>
      </c>
      <c r="S61" s="54">
        <v>1</v>
      </c>
      <c r="T61" s="113"/>
      <c r="U61" s="145"/>
      <c r="V61" s="169">
        <v>1</v>
      </c>
      <c r="W61" s="4">
        <v>1</v>
      </c>
      <c r="X61" s="138">
        <v>3</v>
      </c>
      <c r="Y61" s="128">
        <v>1</v>
      </c>
      <c r="Z61" s="54">
        <v>2</v>
      </c>
      <c r="AA61" s="113"/>
      <c r="AB61" s="145"/>
      <c r="AC61" s="169">
        <v>1</v>
      </c>
      <c r="AD61" s="4">
        <v>1</v>
      </c>
      <c r="AE61" s="138">
        <v>1</v>
      </c>
      <c r="AF61" s="128">
        <v>1</v>
      </c>
      <c r="AG61" s="54">
        <v>1</v>
      </c>
      <c r="AH61" s="118"/>
      <c r="AI61" s="146"/>
      <c r="AJ61" s="170">
        <v>1</v>
      </c>
      <c r="AK61" s="4"/>
      <c r="AL61" s="138">
        <v>1</v>
      </c>
      <c r="AM61" s="128"/>
      <c r="AN61" s="54">
        <v>1</v>
      </c>
      <c r="AO61" s="118"/>
      <c r="AP61" s="146"/>
      <c r="AQ61" s="170"/>
      <c r="AR61" s="4"/>
      <c r="AS61" s="138">
        <v>1</v>
      </c>
      <c r="AT61" s="128">
        <v>1</v>
      </c>
      <c r="AU61" s="54">
        <v>1</v>
      </c>
      <c r="AV61" s="113"/>
      <c r="AW61" s="145">
        <v>1</v>
      </c>
      <c r="AX61" s="169">
        <v>2</v>
      </c>
      <c r="AY61" s="4"/>
      <c r="AZ61" s="138"/>
      <c r="BA61" s="128">
        <v>1</v>
      </c>
      <c r="BB61" s="54">
        <v>1</v>
      </c>
      <c r="BC61" s="118"/>
      <c r="BD61" s="146"/>
      <c r="BE61" s="170">
        <v>1</v>
      </c>
      <c r="BF61" s="4">
        <v>1</v>
      </c>
      <c r="BG61" s="138">
        <v>2</v>
      </c>
      <c r="BH61" s="128">
        <v>1</v>
      </c>
      <c r="BI61" s="54">
        <v>1</v>
      </c>
      <c r="BJ61" s="113"/>
      <c r="BK61" s="145"/>
      <c r="BL61" s="169">
        <v>1</v>
      </c>
      <c r="BM61" s="114"/>
      <c r="BN61" s="115"/>
      <c r="BO61" s="111"/>
      <c r="BP61" s="112"/>
      <c r="BQ61" s="113"/>
      <c r="BR61" s="145"/>
      <c r="BS61" s="169"/>
    </row>
    <row r="62" spans="1:71" x14ac:dyDescent="0.15">
      <c r="A62" s="2" t="s">
        <v>22</v>
      </c>
      <c r="B62">
        <v>2</v>
      </c>
      <c r="C62" s="21">
        <v>2</v>
      </c>
      <c r="D62" s="128">
        <v>1</v>
      </c>
      <c r="E62" s="54">
        <v>2</v>
      </c>
      <c r="F62" s="64">
        <v>3</v>
      </c>
      <c r="G62" s="69">
        <v>1</v>
      </c>
      <c r="H62" s="127">
        <v>2</v>
      </c>
      <c r="J62" s="21">
        <v>1</v>
      </c>
      <c r="K62" s="128">
        <v>1</v>
      </c>
      <c r="L62" s="54">
        <v>1</v>
      </c>
      <c r="M62" s="64">
        <v>1</v>
      </c>
      <c r="N62" s="69">
        <v>1</v>
      </c>
      <c r="O62" s="127">
        <v>1</v>
      </c>
      <c r="Q62" s="21"/>
      <c r="R62" s="128">
        <v>1</v>
      </c>
      <c r="S62" s="54"/>
      <c r="T62" s="64">
        <v>1</v>
      </c>
      <c r="U62" s="69">
        <v>1</v>
      </c>
      <c r="V62" s="127">
        <v>1</v>
      </c>
      <c r="W62">
        <v>1</v>
      </c>
      <c r="X62" s="21">
        <v>2</v>
      </c>
      <c r="Y62" s="128">
        <v>1</v>
      </c>
      <c r="Z62" s="54">
        <v>1</v>
      </c>
      <c r="AA62" s="64">
        <v>1</v>
      </c>
      <c r="AB62" s="69">
        <v>1</v>
      </c>
      <c r="AC62" s="127">
        <v>2</v>
      </c>
      <c r="AD62">
        <v>1</v>
      </c>
      <c r="AE62" s="21">
        <v>1</v>
      </c>
      <c r="AF62" s="128">
        <v>1</v>
      </c>
      <c r="AG62" s="54">
        <v>1</v>
      </c>
      <c r="AH62" s="64">
        <v>1</v>
      </c>
      <c r="AI62" s="69">
        <v>1</v>
      </c>
      <c r="AJ62" s="127">
        <v>1</v>
      </c>
      <c r="AL62" s="21"/>
      <c r="AM62" s="128"/>
      <c r="AN62" s="54"/>
      <c r="AO62" s="64"/>
      <c r="AP62" s="69"/>
      <c r="AQ62" s="127"/>
      <c r="AS62" s="21">
        <v>1</v>
      </c>
      <c r="AT62" s="128"/>
      <c r="AU62" s="54"/>
      <c r="AV62" s="64"/>
      <c r="AW62" s="69">
        <v>1</v>
      </c>
      <c r="AX62" s="127"/>
      <c r="AZ62" s="21">
        <v>1</v>
      </c>
      <c r="BA62" s="128"/>
      <c r="BB62" s="54"/>
      <c r="BC62" s="64"/>
      <c r="BD62" s="69">
        <v>1</v>
      </c>
      <c r="BE62" s="127">
        <v>1</v>
      </c>
      <c r="BG62" s="21"/>
      <c r="BH62" s="128"/>
      <c r="BI62" s="54"/>
      <c r="BJ62" s="64">
        <v>1</v>
      </c>
      <c r="BK62" s="69">
        <v>1</v>
      </c>
      <c r="BL62" s="127"/>
      <c r="BN62" s="21"/>
      <c r="BO62" s="128"/>
      <c r="BP62" s="54"/>
      <c r="BQ62" s="64"/>
      <c r="BR62" s="69">
        <v>1</v>
      </c>
      <c r="BS62" s="127"/>
    </row>
    <row r="63" spans="1:71" x14ac:dyDescent="0.15">
      <c r="A63" s="5" t="s">
        <v>132</v>
      </c>
      <c r="C63" s="21"/>
      <c r="D63" s="128"/>
      <c r="E63" s="54"/>
      <c r="F63" s="64"/>
      <c r="G63" s="69"/>
      <c r="H63" s="127"/>
      <c r="J63" s="21"/>
      <c r="K63" s="128"/>
      <c r="L63" s="54"/>
      <c r="M63" s="64"/>
      <c r="N63" s="69"/>
      <c r="O63" s="127"/>
      <c r="Q63" s="21"/>
      <c r="R63" s="128"/>
      <c r="S63" s="54"/>
      <c r="T63" s="64"/>
      <c r="U63" s="69"/>
      <c r="V63" s="127"/>
      <c r="X63" s="21"/>
      <c r="Y63" s="128"/>
      <c r="Z63" s="54"/>
      <c r="AA63" s="64"/>
      <c r="AB63" s="69"/>
      <c r="AC63" s="127"/>
      <c r="AE63" s="21"/>
      <c r="AF63" s="128"/>
      <c r="AG63" s="54"/>
      <c r="AH63" s="64"/>
      <c r="AI63" s="69"/>
      <c r="AJ63" s="127"/>
      <c r="AL63" s="21"/>
      <c r="AM63" s="128"/>
      <c r="AN63" s="54"/>
      <c r="AO63" s="64">
        <v>1</v>
      </c>
      <c r="AP63" s="69"/>
      <c r="AQ63" s="127"/>
      <c r="AS63" s="21"/>
      <c r="AT63" s="128"/>
      <c r="AU63" s="54"/>
      <c r="AV63" s="64"/>
      <c r="AW63" s="69"/>
      <c r="AX63" s="127"/>
      <c r="AZ63" s="21"/>
      <c r="BA63" s="128"/>
      <c r="BB63" s="54"/>
      <c r="BC63" s="64"/>
      <c r="BD63" s="69"/>
      <c r="BE63" s="127"/>
      <c r="BG63" s="21"/>
      <c r="BH63" s="128"/>
      <c r="BI63" s="54"/>
      <c r="BJ63" s="64"/>
      <c r="BK63" s="69"/>
      <c r="BL63" s="127"/>
      <c r="BN63" s="21"/>
      <c r="BO63" s="128"/>
      <c r="BP63" s="54"/>
      <c r="BQ63" s="64"/>
      <c r="BR63" s="69"/>
      <c r="BS63" s="127"/>
    </row>
    <row r="64" spans="1:71" x14ac:dyDescent="0.15">
      <c r="A64" s="5" t="s">
        <v>191</v>
      </c>
      <c r="C64" s="21"/>
      <c r="D64" s="128"/>
      <c r="E64" s="54"/>
      <c r="F64" s="64"/>
      <c r="G64" s="69">
        <v>1</v>
      </c>
      <c r="H64" s="127"/>
      <c r="J64" s="21"/>
      <c r="K64" s="128"/>
      <c r="L64" s="54"/>
      <c r="M64" s="64"/>
      <c r="N64" s="69"/>
      <c r="O64" s="127"/>
      <c r="Q64" s="21"/>
      <c r="R64" s="128"/>
      <c r="S64" s="54"/>
      <c r="T64" s="64"/>
      <c r="U64" s="69"/>
      <c r="V64" s="127"/>
      <c r="X64" s="21"/>
      <c r="Y64" s="128"/>
      <c r="Z64" s="54"/>
      <c r="AA64" s="64"/>
      <c r="AB64" s="69"/>
      <c r="AC64" s="127"/>
      <c r="AE64" s="21"/>
      <c r="AF64" s="128"/>
      <c r="AG64" s="54"/>
      <c r="AH64" s="64"/>
      <c r="AI64" s="69"/>
      <c r="AJ64" s="127"/>
      <c r="AL64" s="21"/>
      <c r="AM64" s="128"/>
      <c r="AN64" s="54"/>
      <c r="AO64" s="64"/>
      <c r="AP64" s="69"/>
      <c r="AQ64" s="127"/>
      <c r="AS64" s="21"/>
      <c r="AT64" s="128"/>
      <c r="AU64" s="54"/>
      <c r="AV64" s="64"/>
      <c r="AW64" s="69"/>
      <c r="AX64" s="127"/>
      <c r="AZ64" s="21"/>
      <c r="BA64" s="128"/>
      <c r="BB64" s="54"/>
      <c r="BC64" s="64"/>
      <c r="BD64" s="69"/>
      <c r="BE64" s="127"/>
      <c r="BG64" s="21"/>
      <c r="BH64" s="128"/>
      <c r="BI64" s="54"/>
      <c r="BJ64" s="64"/>
      <c r="BK64" s="69"/>
      <c r="BL64" s="127"/>
      <c r="BN64" s="21"/>
      <c r="BO64" s="128"/>
      <c r="BP64" s="54"/>
      <c r="BQ64" s="64"/>
      <c r="BR64" s="69"/>
      <c r="BS64" s="127"/>
    </row>
    <row r="65" spans="1:71" x14ac:dyDescent="0.15">
      <c r="A65" s="5" t="s">
        <v>218</v>
      </c>
      <c r="C65" s="21"/>
      <c r="D65" s="128">
        <v>1</v>
      </c>
      <c r="E65" s="54">
        <v>1</v>
      </c>
      <c r="F65" s="64">
        <v>1</v>
      </c>
      <c r="G65" s="69">
        <v>1</v>
      </c>
      <c r="H65" s="127">
        <v>1</v>
      </c>
      <c r="J65" s="21"/>
      <c r="K65" s="128"/>
      <c r="L65" s="54">
        <v>1</v>
      </c>
      <c r="M65" s="64">
        <v>1</v>
      </c>
      <c r="N65" s="69"/>
      <c r="O65" s="127"/>
      <c r="Q65" s="21"/>
      <c r="R65" s="128"/>
      <c r="S65" s="54"/>
      <c r="T65" s="64"/>
      <c r="U65" s="69"/>
      <c r="V65" s="127"/>
      <c r="X65" s="21"/>
      <c r="Y65" s="128"/>
      <c r="Z65" s="54"/>
      <c r="AA65" s="64"/>
      <c r="AB65" s="69"/>
      <c r="AC65" s="127"/>
      <c r="AE65" s="21"/>
      <c r="AF65" s="128"/>
      <c r="AG65" s="54"/>
      <c r="AH65" s="64"/>
      <c r="AI65" s="69"/>
      <c r="AJ65" s="127"/>
      <c r="AL65" s="21"/>
      <c r="AM65" s="128"/>
      <c r="AN65" s="54"/>
      <c r="AO65" s="64"/>
      <c r="AP65" s="69"/>
      <c r="AQ65" s="127"/>
      <c r="AS65" s="21"/>
      <c r="AT65" s="128"/>
      <c r="AU65" s="54"/>
      <c r="AV65" s="64">
        <v>1</v>
      </c>
      <c r="AW65" s="69">
        <v>1</v>
      </c>
      <c r="AX65" s="127"/>
      <c r="AZ65" s="21"/>
      <c r="BA65" s="128"/>
      <c r="BB65" s="54"/>
      <c r="BC65" s="64"/>
      <c r="BD65" s="69"/>
      <c r="BE65" s="127">
        <v>1</v>
      </c>
      <c r="BG65" s="21"/>
      <c r="BH65" s="128"/>
      <c r="BI65" s="54"/>
      <c r="BJ65" s="64"/>
      <c r="BK65" s="69"/>
      <c r="BL65" s="127"/>
      <c r="BN65" s="21"/>
      <c r="BO65" s="128"/>
      <c r="BP65" s="54"/>
      <c r="BQ65" s="64"/>
      <c r="BR65" s="69"/>
      <c r="BS65" s="127"/>
    </row>
    <row r="66" spans="1:71" x14ac:dyDescent="0.15">
      <c r="A66" s="5" t="s">
        <v>203</v>
      </c>
      <c r="C66" s="21"/>
      <c r="D66" s="128"/>
      <c r="E66" s="54"/>
      <c r="F66" s="64"/>
      <c r="G66" s="69"/>
      <c r="H66" s="127"/>
      <c r="J66" s="21"/>
      <c r="K66" s="128"/>
      <c r="L66" s="54"/>
      <c r="M66" s="64"/>
      <c r="N66" s="69"/>
      <c r="O66" s="127"/>
      <c r="Q66" s="21"/>
      <c r="R66" s="128"/>
      <c r="S66" s="54"/>
      <c r="T66" s="64"/>
      <c r="U66" s="69"/>
      <c r="V66" s="127"/>
      <c r="X66" s="21"/>
      <c r="Y66" s="128"/>
      <c r="Z66" s="54"/>
      <c r="AA66" s="64"/>
      <c r="AB66" s="69"/>
      <c r="AC66" s="127"/>
      <c r="AE66" s="21"/>
      <c r="AF66" s="128"/>
      <c r="AG66" s="54"/>
      <c r="AH66" s="64"/>
      <c r="AI66" s="69"/>
      <c r="AJ66" s="127"/>
      <c r="AL66" s="21"/>
      <c r="AM66" s="128"/>
      <c r="AN66" s="54"/>
      <c r="AO66" s="64"/>
      <c r="AP66" s="69"/>
      <c r="AQ66" s="127"/>
      <c r="AS66" s="21"/>
      <c r="AT66" s="128"/>
      <c r="AU66" s="54"/>
      <c r="AV66" s="64"/>
      <c r="AW66" s="69"/>
      <c r="AX66" s="127"/>
      <c r="AZ66" s="21"/>
      <c r="BA66" s="128"/>
      <c r="BB66" s="54"/>
      <c r="BC66" s="64"/>
      <c r="BD66" s="69"/>
      <c r="BE66" s="127"/>
      <c r="BG66" s="21"/>
      <c r="BH66" s="128"/>
      <c r="BI66" s="54"/>
      <c r="BJ66" s="64"/>
      <c r="BK66" s="69"/>
      <c r="BL66" s="127"/>
      <c r="BN66" s="21"/>
      <c r="BO66" s="128"/>
      <c r="BP66" s="54"/>
      <c r="BQ66" s="64"/>
      <c r="BR66" s="69"/>
      <c r="BS66" s="127"/>
    </row>
    <row r="67" spans="1:71" x14ac:dyDescent="0.15">
      <c r="A67" s="2" t="s">
        <v>23</v>
      </c>
      <c r="C67" s="21">
        <v>1</v>
      </c>
      <c r="D67" s="128">
        <v>1</v>
      </c>
      <c r="E67" s="54">
        <v>1</v>
      </c>
      <c r="F67" s="64"/>
      <c r="G67" s="69"/>
      <c r="H67" s="127"/>
      <c r="J67" s="21"/>
      <c r="K67" s="128"/>
      <c r="L67" s="54">
        <v>1</v>
      </c>
      <c r="M67" s="64"/>
      <c r="N67" s="69"/>
      <c r="O67" s="127"/>
      <c r="Q67" s="21"/>
      <c r="R67" s="128"/>
      <c r="S67" s="54"/>
      <c r="T67" s="64"/>
      <c r="U67" s="69"/>
      <c r="V67" s="127"/>
      <c r="X67" s="21"/>
      <c r="Y67" s="128"/>
      <c r="Z67" s="54"/>
      <c r="AA67" s="64"/>
      <c r="AB67" s="69"/>
      <c r="AC67" s="127"/>
      <c r="AE67" s="21"/>
      <c r="AF67" s="128"/>
      <c r="AG67" s="54"/>
      <c r="AH67" s="64"/>
      <c r="AI67" s="69"/>
      <c r="AJ67" s="127"/>
      <c r="AL67" s="21"/>
      <c r="AM67" s="128"/>
      <c r="AN67" s="54"/>
      <c r="AO67" s="64"/>
      <c r="AP67" s="69"/>
      <c r="AQ67" s="127"/>
      <c r="AS67" s="21"/>
      <c r="AT67" s="128"/>
      <c r="AU67" s="54"/>
      <c r="AV67" s="64"/>
      <c r="AW67" s="69"/>
      <c r="AX67" s="127"/>
      <c r="AZ67" s="21"/>
      <c r="BA67" s="128"/>
      <c r="BB67" s="54"/>
      <c r="BC67" s="64"/>
      <c r="BD67" s="69"/>
      <c r="BE67" s="127"/>
      <c r="BG67" s="21"/>
      <c r="BH67" s="128"/>
      <c r="BI67" s="54"/>
      <c r="BJ67" s="64"/>
      <c r="BK67" s="69"/>
      <c r="BL67" s="127"/>
      <c r="BN67" s="21"/>
      <c r="BO67" s="128"/>
      <c r="BP67" s="54"/>
      <c r="BQ67" s="64"/>
      <c r="BR67" s="69"/>
      <c r="BS67" s="127"/>
    </row>
    <row r="68" spans="1:71" x14ac:dyDescent="0.15">
      <c r="A68" s="2" t="s">
        <v>208</v>
      </c>
      <c r="C68" s="21"/>
      <c r="D68" s="128"/>
      <c r="E68" s="54"/>
      <c r="F68" s="64"/>
      <c r="G68" s="69"/>
      <c r="H68" s="127"/>
      <c r="J68" s="21"/>
      <c r="K68" s="128"/>
      <c r="L68" s="54"/>
      <c r="M68" s="64"/>
      <c r="N68" s="69"/>
      <c r="O68" s="127"/>
      <c r="Q68" s="21"/>
      <c r="R68" s="128"/>
      <c r="S68" s="54"/>
      <c r="T68" s="64"/>
      <c r="U68" s="69"/>
      <c r="V68" s="127"/>
      <c r="X68" s="21"/>
      <c r="Y68" s="128"/>
      <c r="Z68" s="54"/>
      <c r="AA68" s="64"/>
      <c r="AB68" s="69"/>
      <c r="AC68" s="127"/>
      <c r="AE68" s="21"/>
      <c r="AF68" s="128"/>
      <c r="AG68" s="54"/>
      <c r="AH68" s="64"/>
      <c r="AI68" s="69"/>
      <c r="AJ68" s="127"/>
      <c r="AL68" s="21"/>
      <c r="AM68" s="128"/>
      <c r="AN68" s="54"/>
      <c r="AO68" s="64"/>
      <c r="AP68" s="69"/>
      <c r="AQ68" s="127">
        <v>1</v>
      </c>
      <c r="AS68" s="21"/>
      <c r="AT68" s="128"/>
      <c r="AU68" s="54"/>
      <c r="AV68" s="64"/>
      <c r="AW68" s="69"/>
      <c r="AX68" s="127"/>
      <c r="AZ68" s="21"/>
      <c r="BA68" s="128"/>
      <c r="BB68" s="54"/>
      <c r="BC68" s="64"/>
      <c r="BD68" s="69"/>
      <c r="BE68" s="127"/>
      <c r="BG68" s="21"/>
      <c r="BH68" s="128"/>
      <c r="BI68" s="54"/>
      <c r="BJ68" s="64"/>
      <c r="BK68" s="69"/>
      <c r="BL68" s="127"/>
      <c r="BN68" s="21"/>
      <c r="BO68" s="128"/>
      <c r="BP68" s="54"/>
      <c r="BQ68" s="64"/>
      <c r="BR68" s="69"/>
      <c r="BS68" s="127"/>
    </row>
    <row r="69" spans="1:71" x14ac:dyDescent="0.15">
      <c r="A69" s="2" t="s">
        <v>41</v>
      </c>
      <c r="B69">
        <v>1</v>
      </c>
      <c r="C69" s="21">
        <v>2</v>
      </c>
      <c r="D69" s="128">
        <v>1</v>
      </c>
      <c r="E69" s="54">
        <v>1</v>
      </c>
      <c r="F69" s="64">
        <v>1</v>
      </c>
      <c r="G69" s="69">
        <v>1</v>
      </c>
      <c r="H69" s="127">
        <v>2</v>
      </c>
      <c r="I69">
        <v>1</v>
      </c>
      <c r="J69" s="21">
        <v>1</v>
      </c>
      <c r="K69" s="128">
        <v>1</v>
      </c>
      <c r="L69" s="54">
        <v>1</v>
      </c>
      <c r="M69" s="64">
        <v>1</v>
      </c>
      <c r="N69" s="69">
        <v>1</v>
      </c>
      <c r="O69" s="127">
        <v>1</v>
      </c>
      <c r="P69">
        <v>1</v>
      </c>
      <c r="Q69" s="21"/>
      <c r="R69" s="128"/>
      <c r="S69" s="54">
        <v>1</v>
      </c>
      <c r="T69" s="64">
        <v>1</v>
      </c>
      <c r="U69" s="69"/>
      <c r="V69" s="127">
        <v>1</v>
      </c>
      <c r="X69" s="21">
        <v>1</v>
      </c>
      <c r="Y69" s="128"/>
      <c r="Z69" s="54"/>
      <c r="AA69" s="64"/>
      <c r="AB69" s="69">
        <v>1</v>
      </c>
      <c r="AC69" s="127">
        <v>2</v>
      </c>
      <c r="AD69">
        <v>1</v>
      </c>
      <c r="AE69" s="21"/>
      <c r="AF69" s="128"/>
      <c r="AG69" s="54"/>
      <c r="AH69" s="64"/>
      <c r="AI69" s="69"/>
      <c r="AJ69" s="127"/>
      <c r="AL69" s="21"/>
      <c r="AM69" s="128"/>
      <c r="AN69" s="54"/>
      <c r="AO69" s="64"/>
      <c r="AP69" s="69"/>
      <c r="AQ69" s="127"/>
      <c r="AS69" s="21"/>
      <c r="AT69" s="128"/>
      <c r="AU69" s="54"/>
      <c r="AV69" s="64"/>
      <c r="AW69" s="69"/>
      <c r="AX69" s="127"/>
      <c r="AZ69" s="21"/>
      <c r="BA69" s="128"/>
      <c r="BB69" s="54"/>
      <c r="BC69" s="64"/>
      <c r="BD69" s="69"/>
      <c r="BE69" s="127"/>
      <c r="BF69">
        <v>1</v>
      </c>
      <c r="BG69" s="21"/>
      <c r="BH69" s="128"/>
      <c r="BI69" s="54"/>
      <c r="BJ69" s="64">
        <v>1</v>
      </c>
      <c r="BK69" s="69"/>
      <c r="BL69" s="127"/>
      <c r="BN69" s="21"/>
      <c r="BO69" s="128"/>
      <c r="BP69" s="54"/>
      <c r="BQ69" s="64"/>
      <c r="BR69" s="69"/>
      <c r="BS69" s="127"/>
    </row>
    <row r="70" spans="1:71" x14ac:dyDescent="0.15">
      <c r="A70" s="5" t="s">
        <v>95</v>
      </c>
      <c r="C70" s="21"/>
      <c r="D70" s="128"/>
      <c r="E70" s="54"/>
      <c r="F70" s="64"/>
      <c r="G70" s="69"/>
      <c r="H70" s="127"/>
      <c r="J70" s="21"/>
      <c r="K70" s="128"/>
      <c r="L70" s="54"/>
      <c r="M70" s="64"/>
      <c r="N70" s="69"/>
      <c r="O70" s="127"/>
      <c r="Q70" s="21"/>
      <c r="R70" s="128"/>
      <c r="S70" s="54"/>
      <c r="T70" s="64"/>
      <c r="U70" s="69"/>
      <c r="V70" s="127"/>
      <c r="X70" s="21"/>
      <c r="Y70" s="128"/>
      <c r="Z70" s="54"/>
      <c r="AA70" s="64"/>
      <c r="AB70" s="69"/>
      <c r="AC70" s="127"/>
      <c r="AE70" s="21"/>
      <c r="AF70" s="128"/>
      <c r="AG70" s="54"/>
      <c r="AH70" s="64"/>
      <c r="AI70" s="69"/>
      <c r="AJ70" s="127"/>
      <c r="AL70" s="21"/>
      <c r="AM70" s="128"/>
      <c r="AN70" s="54"/>
      <c r="AO70" s="64"/>
      <c r="AP70" s="69"/>
      <c r="AQ70" s="127"/>
      <c r="AS70" s="21"/>
      <c r="AT70" s="128"/>
      <c r="AU70" s="54"/>
      <c r="AV70" s="64"/>
      <c r="AW70" s="69"/>
      <c r="AX70" s="127"/>
      <c r="AZ70" s="21"/>
      <c r="BA70" s="128"/>
      <c r="BB70" s="54"/>
      <c r="BC70" s="64"/>
      <c r="BD70" s="69"/>
      <c r="BE70" s="127"/>
      <c r="BG70" s="21"/>
      <c r="BH70" s="128"/>
      <c r="BI70" s="54"/>
      <c r="BJ70" s="64"/>
      <c r="BK70" s="69"/>
      <c r="BL70" s="127"/>
      <c r="BN70" s="21"/>
      <c r="BO70" s="128"/>
      <c r="BP70" s="54"/>
      <c r="BQ70" s="64"/>
      <c r="BR70" s="69"/>
      <c r="BS70" s="127"/>
    </row>
    <row r="71" spans="1:71" x14ac:dyDescent="0.15">
      <c r="A71" s="5" t="s">
        <v>111</v>
      </c>
      <c r="C71" s="21"/>
      <c r="D71" s="128"/>
      <c r="E71" s="54"/>
      <c r="F71" s="64"/>
      <c r="G71" s="69"/>
      <c r="H71" s="127"/>
      <c r="J71" s="21"/>
      <c r="K71" s="128"/>
      <c r="L71" s="54"/>
      <c r="M71" s="64"/>
      <c r="N71" s="69"/>
      <c r="O71" s="127"/>
      <c r="Q71" s="21"/>
      <c r="R71" s="128"/>
      <c r="S71" s="54"/>
      <c r="T71" s="64"/>
      <c r="U71" s="69"/>
      <c r="V71" s="127"/>
      <c r="X71" s="21"/>
      <c r="Y71" s="128"/>
      <c r="Z71" s="54"/>
      <c r="AA71" s="64"/>
      <c r="AB71" s="69"/>
      <c r="AC71" s="127"/>
      <c r="AE71" s="21"/>
      <c r="AF71" s="128"/>
      <c r="AG71" s="54"/>
      <c r="AH71" s="64"/>
      <c r="AI71" s="69"/>
      <c r="AJ71" s="127"/>
      <c r="AL71" s="21"/>
      <c r="AM71" s="128"/>
      <c r="AN71" s="54"/>
      <c r="AO71" s="64"/>
      <c r="AP71" s="69"/>
      <c r="AQ71" s="127"/>
      <c r="AS71" s="21"/>
      <c r="AT71" s="128"/>
      <c r="AU71" s="54"/>
      <c r="AV71" s="64"/>
      <c r="AW71" s="69"/>
      <c r="AX71" s="127"/>
      <c r="AZ71" s="21"/>
      <c r="BA71" s="128"/>
      <c r="BB71" s="54"/>
      <c r="BC71" s="64"/>
      <c r="BD71" s="69"/>
      <c r="BE71" s="127"/>
      <c r="BG71" s="21"/>
      <c r="BH71" s="128"/>
      <c r="BI71" s="54"/>
      <c r="BJ71" s="64"/>
      <c r="BK71" s="69"/>
      <c r="BL71" s="127"/>
      <c r="BN71" s="21"/>
      <c r="BO71" s="128"/>
      <c r="BP71" s="54"/>
      <c r="BQ71" s="64"/>
      <c r="BR71" s="69"/>
      <c r="BS71" s="127"/>
    </row>
    <row r="72" spans="1:71" x14ac:dyDescent="0.15">
      <c r="A72" s="2" t="s">
        <v>7</v>
      </c>
      <c r="B72">
        <v>2</v>
      </c>
      <c r="C72" s="21">
        <v>1</v>
      </c>
      <c r="D72" s="128">
        <v>1</v>
      </c>
      <c r="E72" s="54">
        <v>1</v>
      </c>
      <c r="F72" s="64">
        <v>1</v>
      </c>
      <c r="G72" s="69"/>
      <c r="H72" s="127">
        <v>2</v>
      </c>
      <c r="J72" s="21">
        <v>1</v>
      </c>
      <c r="K72" s="128">
        <v>1</v>
      </c>
      <c r="L72" s="54">
        <v>1</v>
      </c>
      <c r="M72" s="64">
        <v>1</v>
      </c>
      <c r="N72" s="69">
        <v>1</v>
      </c>
      <c r="O72" s="127">
        <v>1</v>
      </c>
      <c r="Q72" s="21"/>
      <c r="R72" s="128">
        <v>1</v>
      </c>
      <c r="S72" s="54">
        <v>1</v>
      </c>
      <c r="T72" s="64">
        <v>1</v>
      </c>
      <c r="U72" s="69">
        <v>1</v>
      </c>
      <c r="V72" s="127">
        <v>1</v>
      </c>
      <c r="X72" s="21"/>
      <c r="Y72" s="128"/>
      <c r="Z72" s="54">
        <v>1</v>
      </c>
      <c r="AA72" s="64">
        <v>1</v>
      </c>
      <c r="AB72" s="69">
        <v>1</v>
      </c>
      <c r="AC72" s="127">
        <v>1</v>
      </c>
      <c r="AD72">
        <v>1</v>
      </c>
      <c r="AE72" s="21"/>
      <c r="AF72" s="128"/>
      <c r="AG72" s="54">
        <v>1</v>
      </c>
      <c r="AH72" s="64">
        <v>1</v>
      </c>
      <c r="AI72" s="69"/>
      <c r="AJ72" s="127"/>
      <c r="AK72">
        <v>2</v>
      </c>
      <c r="AL72" s="21">
        <v>1</v>
      </c>
      <c r="AM72" s="128">
        <v>1</v>
      </c>
      <c r="AN72" s="54">
        <v>1</v>
      </c>
      <c r="AO72" s="64">
        <v>1</v>
      </c>
      <c r="AP72" s="69">
        <v>1</v>
      </c>
      <c r="AQ72" s="127">
        <v>1</v>
      </c>
      <c r="AS72" s="21"/>
      <c r="AT72" s="128">
        <v>1</v>
      </c>
      <c r="AU72" s="54"/>
      <c r="AV72" s="64">
        <v>1</v>
      </c>
      <c r="AW72" s="69">
        <v>1</v>
      </c>
      <c r="AX72" s="127">
        <v>1</v>
      </c>
      <c r="AY72">
        <v>1</v>
      </c>
      <c r="AZ72" s="21">
        <v>2</v>
      </c>
      <c r="BA72" s="128">
        <v>1</v>
      </c>
      <c r="BB72" s="54">
        <v>2</v>
      </c>
      <c r="BC72" s="64">
        <v>2</v>
      </c>
      <c r="BD72" s="69">
        <v>1</v>
      </c>
      <c r="BE72" s="127">
        <v>1</v>
      </c>
      <c r="BF72">
        <v>2</v>
      </c>
      <c r="BG72" s="21">
        <v>2</v>
      </c>
      <c r="BH72" s="128">
        <v>1</v>
      </c>
      <c r="BI72" s="54">
        <v>1</v>
      </c>
      <c r="BJ72" s="64"/>
      <c r="BK72" s="69">
        <v>1</v>
      </c>
      <c r="BL72" s="127">
        <v>1</v>
      </c>
      <c r="BN72" s="21"/>
      <c r="BO72" s="128"/>
      <c r="BP72" s="54"/>
      <c r="BQ72" s="64"/>
      <c r="BR72" s="69"/>
      <c r="BS72" s="127"/>
    </row>
    <row r="73" spans="1:71" x14ac:dyDescent="0.15">
      <c r="A73" s="2" t="s">
        <v>32</v>
      </c>
      <c r="C73" s="21"/>
      <c r="D73" s="128"/>
      <c r="E73" s="54"/>
      <c r="F73" s="64"/>
      <c r="G73" s="69"/>
      <c r="H73" s="127"/>
      <c r="J73" s="21"/>
      <c r="K73" s="128"/>
      <c r="L73" s="54"/>
      <c r="M73" s="64"/>
      <c r="N73" s="69"/>
      <c r="O73" s="127"/>
      <c r="Q73" s="21"/>
      <c r="R73" s="128"/>
      <c r="S73" s="54"/>
      <c r="T73" s="64"/>
      <c r="U73" s="69"/>
      <c r="V73" s="127"/>
      <c r="W73">
        <v>1</v>
      </c>
      <c r="X73" s="21"/>
      <c r="Y73" s="128"/>
      <c r="Z73" s="54"/>
      <c r="AA73" s="64"/>
      <c r="AB73" s="69"/>
      <c r="AC73" s="127">
        <v>1</v>
      </c>
      <c r="AE73" s="21"/>
      <c r="AF73" s="128"/>
      <c r="AG73" s="54"/>
      <c r="AH73" s="64"/>
      <c r="AI73" s="69"/>
      <c r="AJ73" s="127"/>
      <c r="AK73">
        <v>1</v>
      </c>
      <c r="AL73" s="21"/>
      <c r="AM73" s="128"/>
      <c r="AN73" s="54"/>
      <c r="AO73" s="64"/>
      <c r="AP73" s="69"/>
      <c r="AQ73" s="127"/>
      <c r="AS73" s="21"/>
      <c r="AT73" s="128"/>
      <c r="AU73" s="54"/>
      <c r="AV73" s="64"/>
      <c r="AW73" s="69"/>
      <c r="AX73" s="127"/>
      <c r="AZ73" s="21"/>
      <c r="BA73" s="128"/>
      <c r="BB73" s="54"/>
      <c r="BC73" s="64"/>
      <c r="BD73" s="69"/>
      <c r="BE73" s="127"/>
      <c r="BF73">
        <v>1</v>
      </c>
      <c r="BG73" s="21"/>
      <c r="BH73" s="128"/>
      <c r="BI73" s="54"/>
      <c r="BJ73" s="64"/>
      <c r="BK73" s="69"/>
      <c r="BL73" s="127"/>
      <c r="BN73" s="21">
        <v>1</v>
      </c>
      <c r="BO73" s="128"/>
      <c r="BP73" s="54"/>
      <c r="BQ73" s="64"/>
      <c r="BR73" s="69"/>
      <c r="BS73" s="127"/>
    </row>
    <row r="74" spans="1:71" x14ac:dyDescent="0.15">
      <c r="A74" s="5" t="s">
        <v>72</v>
      </c>
      <c r="C74" s="21"/>
      <c r="D74" s="128"/>
      <c r="E74" s="54"/>
      <c r="F74" s="64"/>
      <c r="G74" s="69"/>
      <c r="H74" s="127"/>
      <c r="J74" s="21"/>
      <c r="K74" s="128"/>
      <c r="L74" s="54"/>
      <c r="M74" s="64"/>
      <c r="N74" s="69"/>
      <c r="O74" s="127"/>
      <c r="Q74" s="21"/>
      <c r="R74" s="128"/>
      <c r="S74" s="54"/>
      <c r="T74" s="64"/>
      <c r="U74" s="69"/>
      <c r="V74" s="127"/>
      <c r="X74" s="21"/>
      <c r="Y74" s="128"/>
      <c r="Z74" s="54"/>
      <c r="AA74" s="64"/>
      <c r="AB74" s="69"/>
      <c r="AC74" s="127"/>
      <c r="AD74">
        <v>1</v>
      </c>
      <c r="AE74" s="21">
        <v>2</v>
      </c>
      <c r="AF74" s="128">
        <v>1</v>
      </c>
      <c r="AG74" s="54"/>
      <c r="AH74" s="64"/>
      <c r="AI74" s="69"/>
      <c r="AJ74" s="127"/>
      <c r="AL74" s="21"/>
      <c r="AM74" s="128">
        <v>1</v>
      </c>
      <c r="AN74" s="54">
        <v>1</v>
      </c>
      <c r="AO74" s="64"/>
      <c r="AP74" s="69"/>
      <c r="AQ74" s="127"/>
      <c r="AS74" s="21"/>
      <c r="AT74" s="128"/>
      <c r="AU74" s="54">
        <v>1</v>
      </c>
      <c r="AV74" s="64"/>
      <c r="AW74" s="69"/>
      <c r="AX74" s="127"/>
      <c r="AZ74" s="21"/>
      <c r="BA74" s="128">
        <v>1</v>
      </c>
      <c r="BB74" s="54"/>
      <c r="BC74" s="64"/>
      <c r="BD74" s="69"/>
      <c r="BE74" s="127"/>
      <c r="BG74" s="21"/>
      <c r="BH74" s="128"/>
      <c r="BI74" s="54"/>
      <c r="BJ74" s="64"/>
      <c r="BK74" s="69"/>
      <c r="BL74" s="127"/>
      <c r="BN74" s="21"/>
      <c r="BO74" s="128"/>
      <c r="BP74" s="54"/>
      <c r="BQ74" s="64"/>
      <c r="BR74" s="69"/>
      <c r="BS74" s="127"/>
    </row>
    <row r="75" spans="1:71" x14ac:dyDescent="0.15">
      <c r="A75" s="5" t="s">
        <v>61</v>
      </c>
      <c r="B75" s="17"/>
      <c r="C75" s="21"/>
      <c r="D75" s="128">
        <v>1</v>
      </c>
      <c r="E75" s="54"/>
      <c r="F75" s="64">
        <v>1</v>
      </c>
      <c r="G75" s="69"/>
      <c r="H75" s="127"/>
      <c r="J75" s="21"/>
      <c r="K75" s="128"/>
      <c r="L75" s="54"/>
      <c r="M75" s="64"/>
      <c r="N75" s="69"/>
      <c r="O75" s="127"/>
      <c r="Q75" s="21"/>
      <c r="R75" s="128"/>
      <c r="S75" s="54">
        <v>1</v>
      </c>
      <c r="T75" s="64">
        <v>1</v>
      </c>
      <c r="U75" s="69">
        <v>1</v>
      </c>
      <c r="V75" s="127">
        <v>1</v>
      </c>
      <c r="X75" s="21"/>
      <c r="Y75" s="128"/>
      <c r="Z75" s="54"/>
      <c r="AA75" s="64"/>
      <c r="AB75" s="69"/>
      <c r="AC75" s="127"/>
      <c r="AE75" s="21"/>
      <c r="AF75" s="128"/>
      <c r="AG75" s="54"/>
      <c r="AH75" s="64"/>
      <c r="AI75" s="69">
        <v>1</v>
      </c>
      <c r="AJ75" s="127">
        <v>1</v>
      </c>
      <c r="AL75" s="21"/>
      <c r="AM75" s="128"/>
      <c r="AN75" s="54"/>
      <c r="AO75" s="64"/>
      <c r="AP75" s="69"/>
      <c r="AQ75" s="127"/>
      <c r="AS75" s="21"/>
      <c r="AT75" s="128"/>
      <c r="AU75" s="54"/>
      <c r="AV75" s="64"/>
      <c r="AW75" s="69"/>
      <c r="AX75" s="127"/>
      <c r="AZ75" s="21"/>
      <c r="BA75" s="128"/>
      <c r="BB75" s="54"/>
      <c r="BC75" s="64"/>
      <c r="BD75" s="69"/>
      <c r="BE75" s="127"/>
      <c r="BG75" s="21"/>
      <c r="BH75" s="128"/>
      <c r="BI75" s="54"/>
      <c r="BJ75" s="64"/>
      <c r="BK75" s="69"/>
      <c r="BL75" s="127"/>
      <c r="BN75" s="21"/>
      <c r="BO75" s="128"/>
      <c r="BP75" s="54"/>
      <c r="BQ75" s="64"/>
      <c r="BR75" s="69"/>
      <c r="BS75" s="127"/>
    </row>
    <row r="76" spans="1:71" x14ac:dyDescent="0.15">
      <c r="A76" s="5" t="s">
        <v>42</v>
      </c>
      <c r="B76" s="17"/>
      <c r="C76" s="21"/>
      <c r="D76" s="128"/>
      <c r="E76" s="54"/>
      <c r="F76" s="64"/>
      <c r="G76" s="69"/>
      <c r="H76" s="127"/>
      <c r="J76" s="21"/>
      <c r="K76" s="128"/>
      <c r="L76" s="54"/>
      <c r="M76" s="64"/>
      <c r="N76" s="69"/>
      <c r="O76" s="127">
        <v>1</v>
      </c>
      <c r="Q76" s="21"/>
      <c r="R76" s="128"/>
      <c r="S76" s="54">
        <v>1</v>
      </c>
      <c r="T76" s="64">
        <v>1</v>
      </c>
      <c r="U76" s="69"/>
      <c r="V76" s="127"/>
      <c r="X76" s="21"/>
      <c r="Y76" s="128"/>
      <c r="Z76" s="54"/>
      <c r="AA76" s="64"/>
      <c r="AB76" s="69"/>
      <c r="AC76" s="127"/>
      <c r="AE76" s="21"/>
      <c r="AF76" s="128"/>
      <c r="AG76" s="54"/>
      <c r="AH76" s="64"/>
      <c r="AI76" s="69"/>
      <c r="AJ76" s="127"/>
      <c r="AL76" s="21"/>
      <c r="AM76" s="128"/>
      <c r="AN76" s="54"/>
      <c r="AO76" s="64"/>
      <c r="AP76" s="69"/>
      <c r="AQ76" s="127"/>
      <c r="AS76" s="21"/>
      <c r="AT76" s="128"/>
      <c r="AU76" s="54">
        <v>1</v>
      </c>
      <c r="AV76" s="64"/>
      <c r="AW76" s="69"/>
      <c r="AX76" s="127"/>
      <c r="AZ76" s="21"/>
      <c r="BA76" s="128"/>
      <c r="BB76" s="54"/>
      <c r="BC76" s="64"/>
      <c r="BD76" s="69"/>
      <c r="BE76" s="127"/>
      <c r="BG76" s="21"/>
      <c r="BH76" s="128"/>
      <c r="BI76" s="54"/>
      <c r="BJ76" s="64"/>
      <c r="BK76" s="69"/>
      <c r="BL76" s="127"/>
      <c r="BN76" s="21"/>
      <c r="BO76" s="128"/>
      <c r="BP76" s="54"/>
      <c r="BQ76" s="64"/>
      <c r="BR76" s="69">
        <v>1</v>
      </c>
      <c r="BS76" s="127"/>
    </row>
    <row r="77" spans="1:71" x14ac:dyDescent="0.15">
      <c r="A77" s="5" t="s">
        <v>205</v>
      </c>
      <c r="B77" s="17"/>
      <c r="C77" s="21"/>
      <c r="D77" s="128"/>
      <c r="E77" s="54"/>
      <c r="F77" s="64"/>
      <c r="G77" s="69"/>
      <c r="H77" s="127"/>
      <c r="J77" s="21"/>
      <c r="K77" s="128"/>
      <c r="L77" s="54"/>
      <c r="M77" s="64"/>
      <c r="N77" s="69"/>
      <c r="O77" s="127"/>
      <c r="Q77" s="21"/>
      <c r="R77" s="128"/>
      <c r="S77" s="54"/>
      <c r="T77" s="64"/>
      <c r="U77" s="69"/>
      <c r="V77" s="127"/>
      <c r="X77" s="21"/>
      <c r="Y77" s="128"/>
      <c r="Z77" s="54"/>
      <c r="AA77" s="64"/>
      <c r="AB77" s="69"/>
      <c r="AC77" s="127"/>
      <c r="AE77" s="21"/>
      <c r="AF77" s="128"/>
      <c r="AG77" s="54"/>
      <c r="AH77" s="64"/>
      <c r="AI77" s="69"/>
      <c r="AJ77" s="127"/>
      <c r="AL77" s="21"/>
      <c r="AM77" s="128"/>
      <c r="AN77" s="54"/>
      <c r="AO77" s="64"/>
      <c r="AP77" s="69"/>
      <c r="AQ77" s="127"/>
      <c r="AS77" s="21"/>
      <c r="AT77" s="128"/>
      <c r="AU77" s="54"/>
      <c r="AV77" s="64"/>
      <c r="AW77" s="69"/>
      <c r="AX77" s="127"/>
      <c r="AZ77" s="21"/>
      <c r="BA77" s="128"/>
      <c r="BB77" s="54"/>
      <c r="BC77" s="64"/>
      <c r="BD77" s="69"/>
      <c r="BE77" s="127"/>
      <c r="BG77" s="21"/>
      <c r="BH77" s="128"/>
      <c r="BI77" s="54"/>
      <c r="BJ77" s="64"/>
      <c r="BK77" s="69"/>
      <c r="BL77" s="127"/>
      <c r="BN77" s="21"/>
      <c r="BO77" s="128"/>
      <c r="BP77" s="54"/>
      <c r="BQ77" s="64"/>
      <c r="BR77" s="69"/>
      <c r="BS77" s="127"/>
    </row>
    <row r="78" spans="1:71" x14ac:dyDescent="0.15">
      <c r="A78" s="2" t="s">
        <v>213</v>
      </c>
      <c r="B78" s="17"/>
      <c r="C78" s="21"/>
      <c r="D78" s="128"/>
      <c r="E78" s="54"/>
      <c r="F78" s="64"/>
      <c r="G78" s="69"/>
      <c r="H78" s="127"/>
      <c r="J78" s="21"/>
      <c r="K78" s="128"/>
      <c r="L78" s="54"/>
      <c r="M78" s="64"/>
      <c r="N78" s="69"/>
      <c r="O78" s="127"/>
      <c r="Q78" s="21"/>
      <c r="R78" s="128"/>
      <c r="S78" s="54"/>
      <c r="T78" s="64"/>
      <c r="U78" s="69"/>
      <c r="V78" s="127"/>
      <c r="X78" s="21"/>
      <c r="Y78" s="128"/>
      <c r="Z78" s="54"/>
      <c r="AA78" s="64"/>
      <c r="AB78" s="69"/>
      <c r="AC78" s="127"/>
      <c r="AE78" s="21"/>
      <c r="AF78" s="128"/>
      <c r="AG78" s="54"/>
      <c r="AH78" s="64"/>
      <c r="AI78" s="69"/>
      <c r="AJ78" s="127"/>
      <c r="AL78" s="21"/>
      <c r="AM78" s="128"/>
      <c r="AN78" s="54"/>
      <c r="AO78" s="64"/>
      <c r="AP78" s="69"/>
      <c r="AQ78" s="127"/>
      <c r="AS78" s="21"/>
      <c r="AT78" s="128"/>
      <c r="AU78" s="54"/>
      <c r="AV78" s="64"/>
      <c r="AW78" s="69"/>
      <c r="AX78" s="127"/>
      <c r="AZ78" s="21"/>
      <c r="BA78" s="128"/>
      <c r="BB78" s="54"/>
      <c r="BC78" s="64"/>
      <c r="BD78" s="69"/>
      <c r="BE78" s="127"/>
      <c r="BG78" s="21"/>
      <c r="BH78" s="128"/>
      <c r="BI78" s="54"/>
      <c r="BJ78" s="64"/>
      <c r="BK78" s="69"/>
      <c r="BL78" s="127"/>
      <c r="BN78" s="21"/>
      <c r="BO78" s="128"/>
      <c r="BP78" s="54"/>
      <c r="BQ78" s="64"/>
      <c r="BR78" s="69"/>
      <c r="BS78" s="127"/>
    </row>
    <row r="79" spans="1:71" x14ac:dyDescent="0.15">
      <c r="A79" s="5" t="s">
        <v>96</v>
      </c>
      <c r="B79" s="17"/>
      <c r="C79" s="21"/>
      <c r="D79" s="128"/>
      <c r="E79" s="54"/>
      <c r="F79" s="64"/>
      <c r="G79" s="69"/>
      <c r="H79" s="127"/>
      <c r="J79" s="21"/>
      <c r="K79" s="128"/>
      <c r="L79" s="54"/>
      <c r="M79" s="64"/>
      <c r="N79" s="69"/>
      <c r="O79" s="127"/>
      <c r="Q79" s="21"/>
      <c r="R79" s="128"/>
      <c r="S79" s="54"/>
      <c r="T79" s="64"/>
      <c r="U79" s="69"/>
      <c r="V79" s="127"/>
      <c r="X79" s="21"/>
      <c r="Y79" s="128"/>
      <c r="Z79" s="54"/>
      <c r="AA79" s="64"/>
      <c r="AB79" s="69"/>
      <c r="AC79" s="127"/>
      <c r="AE79" s="21"/>
      <c r="AF79" s="128"/>
      <c r="AG79" s="54"/>
      <c r="AH79" s="64"/>
      <c r="AI79" s="69"/>
      <c r="AJ79" s="127"/>
      <c r="AL79" s="21"/>
      <c r="AM79" s="128"/>
      <c r="AN79" s="54">
        <v>1</v>
      </c>
      <c r="AO79" s="64"/>
      <c r="AP79" s="69"/>
      <c r="AQ79" s="127"/>
      <c r="AS79" s="21"/>
      <c r="AT79" s="128"/>
      <c r="AU79" s="54"/>
      <c r="AV79" s="64"/>
      <c r="AW79" s="69"/>
      <c r="AX79" s="127"/>
      <c r="AZ79" s="21"/>
      <c r="BA79" s="128"/>
      <c r="BB79" s="54"/>
      <c r="BC79" s="64"/>
      <c r="BD79" s="69"/>
      <c r="BE79" s="127"/>
      <c r="BG79" s="21"/>
      <c r="BH79" s="128"/>
      <c r="BI79" s="54"/>
      <c r="BJ79" s="64">
        <v>1</v>
      </c>
      <c r="BK79" s="69"/>
      <c r="BL79" s="127"/>
      <c r="BN79" s="21"/>
      <c r="BO79" s="128"/>
      <c r="BP79" s="54"/>
      <c r="BQ79" s="64"/>
      <c r="BR79" s="69"/>
      <c r="BS79" s="127"/>
    </row>
    <row r="80" spans="1:71" x14ac:dyDescent="0.15">
      <c r="A80" s="2" t="s">
        <v>175</v>
      </c>
      <c r="B80" s="17"/>
      <c r="C80" s="21"/>
      <c r="D80" s="128"/>
      <c r="E80" s="54"/>
      <c r="F80" s="64"/>
      <c r="G80" s="69"/>
      <c r="H80" s="127"/>
      <c r="J80" s="21"/>
      <c r="K80" s="128"/>
      <c r="L80" s="54"/>
      <c r="M80" s="64"/>
      <c r="N80" s="69"/>
      <c r="O80" s="127"/>
      <c r="Q80" s="21"/>
      <c r="R80" s="128"/>
      <c r="S80" s="54"/>
      <c r="T80" s="64"/>
      <c r="U80" s="69"/>
      <c r="V80" s="127"/>
      <c r="X80" s="21"/>
      <c r="Y80" s="128"/>
      <c r="Z80" s="54"/>
      <c r="AA80" s="64"/>
      <c r="AB80" s="69"/>
      <c r="AC80" s="127"/>
      <c r="AE80" s="21"/>
      <c r="AF80" s="128"/>
      <c r="AG80" s="54"/>
      <c r="AH80" s="64"/>
      <c r="AI80" s="69"/>
      <c r="AJ80" s="127"/>
      <c r="AL80" s="21"/>
      <c r="AM80" s="128"/>
      <c r="AN80" s="54"/>
      <c r="AO80" s="64"/>
      <c r="AP80" s="69"/>
      <c r="AQ80" s="127"/>
      <c r="AS80" s="21"/>
      <c r="AT80" s="128"/>
      <c r="AU80" s="54"/>
      <c r="AV80" s="64"/>
      <c r="AW80" s="69"/>
      <c r="AX80" s="127"/>
      <c r="AZ80" s="21"/>
      <c r="BA80" s="128"/>
      <c r="BB80" s="54"/>
      <c r="BC80" s="64"/>
      <c r="BD80" s="69"/>
      <c r="BE80" s="127"/>
      <c r="BG80" s="21"/>
      <c r="BH80" s="128"/>
      <c r="BI80" s="54"/>
      <c r="BJ80" s="64"/>
      <c r="BK80" s="69"/>
      <c r="BL80" s="127"/>
      <c r="BN80" s="21"/>
      <c r="BO80" s="128"/>
      <c r="BP80" s="54"/>
      <c r="BQ80" s="64"/>
      <c r="BR80" s="69"/>
      <c r="BS80" s="127"/>
    </row>
    <row r="81" spans="1:71" x14ac:dyDescent="0.15">
      <c r="A81" s="2" t="s">
        <v>24</v>
      </c>
      <c r="B81">
        <v>1</v>
      </c>
      <c r="C81" s="21">
        <v>3</v>
      </c>
      <c r="D81" s="128">
        <v>2</v>
      </c>
      <c r="E81" s="54">
        <v>1</v>
      </c>
      <c r="F81" s="64">
        <v>2</v>
      </c>
      <c r="G81" s="69">
        <v>1</v>
      </c>
      <c r="H81" s="127"/>
      <c r="I81">
        <v>3</v>
      </c>
      <c r="J81" s="21">
        <v>2</v>
      </c>
      <c r="K81" s="128">
        <v>3</v>
      </c>
      <c r="L81" s="54">
        <v>1</v>
      </c>
      <c r="M81" s="64">
        <v>1</v>
      </c>
      <c r="N81" s="69">
        <v>1</v>
      </c>
      <c r="O81" s="127"/>
      <c r="P81">
        <v>2</v>
      </c>
      <c r="Q81" s="21">
        <v>2</v>
      </c>
      <c r="R81" s="128">
        <v>2</v>
      </c>
      <c r="S81" s="54">
        <v>1</v>
      </c>
      <c r="T81" s="64">
        <v>2</v>
      </c>
      <c r="U81" s="69">
        <v>1</v>
      </c>
      <c r="V81" s="127">
        <v>1</v>
      </c>
      <c r="W81">
        <v>2</v>
      </c>
      <c r="X81" s="21">
        <v>2</v>
      </c>
      <c r="Y81" s="128">
        <v>2</v>
      </c>
      <c r="Z81" s="54"/>
      <c r="AA81" s="64"/>
      <c r="AB81" s="69">
        <v>1</v>
      </c>
      <c r="AC81" s="127">
        <v>2</v>
      </c>
      <c r="AD81">
        <v>2</v>
      </c>
      <c r="AE81" s="21">
        <v>1</v>
      </c>
      <c r="AF81" s="128">
        <v>1</v>
      </c>
      <c r="AG81" s="54"/>
      <c r="AH81" s="64"/>
      <c r="AI81" s="69"/>
      <c r="AJ81" s="127"/>
      <c r="AL81" s="21">
        <v>2</v>
      </c>
      <c r="AM81" s="128">
        <v>1</v>
      </c>
      <c r="AN81" s="54"/>
      <c r="AO81" s="64"/>
      <c r="AP81" s="69"/>
      <c r="AQ81" s="127"/>
      <c r="AR81">
        <v>2</v>
      </c>
      <c r="AS81" s="21">
        <v>2</v>
      </c>
      <c r="AT81" s="128">
        <v>1</v>
      </c>
      <c r="AU81" s="54"/>
      <c r="AV81" s="64"/>
      <c r="AW81" s="69"/>
      <c r="AX81" s="127"/>
      <c r="AY81">
        <v>2</v>
      </c>
      <c r="AZ81" s="21">
        <v>2</v>
      </c>
      <c r="BA81" s="128">
        <v>2</v>
      </c>
      <c r="BB81" s="54">
        <v>1</v>
      </c>
      <c r="BC81" s="64"/>
      <c r="BD81" s="69">
        <v>1</v>
      </c>
      <c r="BE81" s="127"/>
      <c r="BF81">
        <v>2</v>
      </c>
      <c r="BG81" s="21">
        <v>1</v>
      </c>
      <c r="BH81" s="128">
        <v>2</v>
      </c>
      <c r="BI81" s="54"/>
      <c r="BJ81" s="64">
        <v>1</v>
      </c>
      <c r="BK81" s="69">
        <v>1</v>
      </c>
      <c r="BL81" s="127"/>
      <c r="BN81" s="21"/>
      <c r="BO81" s="128"/>
      <c r="BP81" s="54"/>
      <c r="BQ81" s="64"/>
      <c r="BR81" s="69"/>
      <c r="BS81" s="127"/>
    </row>
    <row r="82" spans="1:71" x14ac:dyDescent="0.15">
      <c r="A82" s="2" t="s">
        <v>189</v>
      </c>
      <c r="B82" s="17"/>
      <c r="C82" s="21"/>
      <c r="D82" s="128">
        <v>1</v>
      </c>
      <c r="E82" s="54">
        <v>2</v>
      </c>
      <c r="F82" s="64">
        <v>1</v>
      </c>
      <c r="G82" s="69">
        <v>1</v>
      </c>
      <c r="H82" s="127"/>
      <c r="J82" s="21"/>
      <c r="K82" s="128"/>
      <c r="L82" s="54">
        <v>2</v>
      </c>
      <c r="M82" s="64">
        <v>2</v>
      </c>
      <c r="N82" s="69">
        <v>2</v>
      </c>
      <c r="O82" s="127"/>
      <c r="Q82" s="21"/>
      <c r="R82" s="128"/>
      <c r="S82" s="54">
        <v>1</v>
      </c>
      <c r="T82" s="64">
        <v>1</v>
      </c>
      <c r="U82" s="69">
        <v>2</v>
      </c>
      <c r="V82" s="127"/>
      <c r="X82" s="21"/>
      <c r="Y82" s="128"/>
      <c r="Z82" s="54">
        <v>1</v>
      </c>
      <c r="AA82" s="64">
        <v>2</v>
      </c>
      <c r="AB82" s="69">
        <v>2</v>
      </c>
      <c r="AC82" s="127">
        <v>2</v>
      </c>
      <c r="AE82" s="21"/>
      <c r="AF82" s="128"/>
      <c r="AG82" s="54">
        <v>1</v>
      </c>
      <c r="AH82" s="64">
        <v>2</v>
      </c>
      <c r="AI82" s="69">
        <v>2</v>
      </c>
      <c r="AJ82" s="127">
        <v>2</v>
      </c>
      <c r="AL82" s="21"/>
      <c r="AM82" s="128"/>
      <c r="AN82" s="54">
        <v>1</v>
      </c>
      <c r="AO82" s="64">
        <v>1</v>
      </c>
      <c r="AP82" s="69">
        <v>1</v>
      </c>
      <c r="AQ82" s="127">
        <v>1</v>
      </c>
      <c r="AS82" s="21"/>
      <c r="AT82" s="128"/>
      <c r="AU82" s="54">
        <v>1</v>
      </c>
      <c r="AV82" s="64">
        <v>1</v>
      </c>
      <c r="AW82" s="69">
        <v>1</v>
      </c>
      <c r="AX82" s="127">
        <v>1</v>
      </c>
      <c r="AZ82" s="21"/>
      <c r="BA82" s="128"/>
      <c r="BB82" s="54"/>
      <c r="BC82" s="64">
        <v>2</v>
      </c>
      <c r="BD82" s="69">
        <v>2</v>
      </c>
      <c r="BE82" s="127">
        <v>1</v>
      </c>
      <c r="BG82" s="21"/>
      <c r="BH82" s="128"/>
      <c r="BI82" s="54">
        <v>2</v>
      </c>
      <c r="BJ82" s="64">
        <v>2</v>
      </c>
      <c r="BK82" s="69">
        <v>2</v>
      </c>
      <c r="BL82" s="127">
        <v>1</v>
      </c>
      <c r="BN82" s="21">
        <v>2</v>
      </c>
      <c r="BO82" s="128">
        <v>2</v>
      </c>
      <c r="BP82" s="54">
        <v>2</v>
      </c>
      <c r="BQ82" s="64">
        <v>1</v>
      </c>
      <c r="BR82" s="69">
        <v>2</v>
      </c>
      <c r="BS82" s="127">
        <v>2</v>
      </c>
    </row>
    <row r="83" spans="1:71" x14ac:dyDescent="0.15">
      <c r="A83" s="196" t="s">
        <v>202</v>
      </c>
      <c r="B83" s="6"/>
      <c r="C83" s="197"/>
      <c r="D83" s="198"/>
      <c r="E83" s="199"/>
      <c r="F83" s="200"/>
      <c r="G83" s="201"/>
      <c r="H83" s="202"/>
      <c r="I83" s="6"/>
      <c r="J83" s="197"/>
      <c r="K83" s="198"/>
      <c r="L83" s="199"/>
      <c r="M83" s="200"/>
      <c r="N83" s="201"/>
      <c r="O83" s="202"/>
      <c r="P83" s="6"/>
      <c r="Q83" s="197"/>
      <c r="R83" s="198"/>
      <c r="S83" s="199"/>
      <c r="T83" s="200"/>
      <c r="U83" s="201"/>
      <c r="V83" s="202"/>
      <c r="W83" s="6"/>
      <c r="X83" s="197"/>
      <c r="Y83" s="198"/>
      <c r="Z83" s="199"/>
      <c r="AA83" s="200"/>
      <c r="AB83" s="201"/>
      <c r="AC83" s="202"/>
      <c r="AD83" s="6"/>
      <c r="AE83" s="197"/>
      <c r="AF83" s="198"/>
      <c r="AG83" s="199"/>
      <c r="AH83" s="200"/>
      <c r="AI83" s="201"/>
      <c r="AJ83" s="202"/>
      <c r="AK83" s="6"/>
      <c r="AL83" s="197"/>
      <c r="AM83" s="198"/>
      <c r="AN83" s="199"/>
      <c r="AO83" s="200"/>
      <c r="AP83" s="201"/>
      <c r="AQ83" s="202"/>
      <c r="AR83" s="6"/>
      <c r="AS83" s="197"/>
      <c r="AT83" s="198"/>
      <c r="AU83" s="199"/>
      <c r="AV83" s="200"/>
      <c r="AW83" s="201"/>
      <c r="AX83" s="202"/>
      <c r="AY83" s="6"/>
      <c r="AZ83" s="197"/>
      <c r="BA83" s="198"/>
      <c r="BB83" s="199"/>
      <c r="BC83" s="200"/>
      <c r="BD83" s="201"/>
      <c r="BE83" s="202"/>
      <c r="BF83" s="6"/>
      <c r="BG83" s="197"/>
      <c r="BH83" s="198"/>
      <c r="BI83" s="199"/>
      <c r="BJ83" s="200"/>
      <c r="BK83" s="201"/>
      <c r="BL83" s="202"/>
      <c r="BM83" s="6"/>
      <c r="BN83" s="197"/>
      <c r="BO83" s="198"/>
      <c r="BP83" s="199"/>
      <c r="BQ83" s="200"/>
      <c r="BR83" s="201"/>
      <c r="BS83" s="202"/>
    </row>
    <row r="87" spans="1:71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</row>
    <row r="88" spans="1:71" ht="16.5" customHeight="1" x14ac:dyDescent="0.15">
      <c r="A88" t="s">
        <v>0</v>
      </c>
      <c r="B88" s="242">
        <v>11</v>
      </c>
      <c r="C88" s="242"/>
      <c r="D88" s="242"/>
      <c r="E88" s="242"/>
      <c r="F88" s="242"/>
      <c r="G88" s="242"/>
      <c r="H88" s="242"/>
      <c r="I88" s="242">
        <v>12</v>
      </c>
      <c r="J88" s="242"/>
      <c r="K88" s="242"/>
      <c r="L88" s="242"/>
      <c r="M88" s="242"/>
      <c r="N88" s="242"/>
      <c r="O88" s="242"/>
      <c r="P88" s="242">
        <v>13</v>
      </c>
      <c r="Q88" s="242"/>
      <c r="R88" s="242"/>
      <c r="S88" s="242"/>
      <c r="T88" s="242"/>
      <c r="U88" s="242"/>
      <c r="V88" s="242"/>
      <c r="W88" s="242">
        <v>14</v>
      </c>
      <c r="X88" s="242"/>
      <c r="Y88" s="242"/>
      <c r="Z88" s="242"/>
      <c r="AA88" s="242"/>
      <c r="AB88" s="242"/>
      <c r="AC88" s="242">
        <v>15</v>
      </c>
      <c r="AD88" s="242"/>
      <c r="AE88" s="242"/>
      <c r="AF88" s="242"/>
      <c r="AG88" s="242"/>
      <c r="AH88" s="242"/>
      <c r="AI88" s="242">
        <v>16</v>
      </c>
      <c r="AJ88" s="242"/>
      <c r="AK88" s="242"/>
      <c r="AL88" s="242"/>
      <c r="AM88" s="242"/>
      <c r="AN88" s="242"/>
      <c r="AO88" s="242">
        <v>17</v>
      </c>
      <c r="AP88" s="242"/>
      <c r="AQ88" s="242"/>
      <c r="AR88" s="242"/>
      <c r="AS88" s="242"/>
      <c r="AT88" s="242"/>
      <c r="AU88" s="242">
        <v>18</v>
      </c>
      <c r="AV88" s="242"/>
      <c r="AW88" s="242"/>
      <c r="AX88" s="242"/>
      <c r="AY88" s="242"/>
      <c r="AZ88" s="242"/>
      <c r="BA88" s="242">
        <v>19</v>
      </c>
      <c r="BB88" s="242"/>
      <c r="BC88" s="242"/>
      <c r="BD88" s="242"/>
      <c r="BE88" s="242"/>
      <c r="BF88" s="242"/>
      <c r="BG88" s="242">
        <v>20</v>
      </c>
      <c r="BH88" s="242"/>
      <c r="BI88" s="242"/>
      <c r="BJ88" s="242"/>
      <c r="BK88" s="242"/>
      <c r="BL88" s="242"/>
    </row>
    <row r="89" spans="1:71" x14ac:dyDescent="0.15">
      <c r="A89" s="6" t="s">
        <v>1</v>
      </c>
      <c r="B89" s="243" t="s">
        <v>129</v>
      </c>
      <c r="C89" s="243"/>
      <c r="D89" s="243"/>
      <c r="E89" s="243"/>
      <c r="F89" s="243"/>
      <c r="G89" s="243"/>
      <c r="H89" s="243"/>
      <c r="I89" s="243" t="s">
        <v>234</v>
      </c>
      <c r="J89" s="243"/>
      <c r="K89" s="243"/>
      <c r="L89" s="243"/>
      <c r="M89" s="243"/>
      <c r="N89" s="243"/>
      <c r="O89" s="243"/>
      <c r="P89" s="243" t="s">
        <v>235</v>
      </c>
      <c r="Q89" s="243"/>
      <c r="R89" s="243"/>
      <c r="S89" s="243"/>
      <c r="T89" s="243"/>
      <c r="U89" s="243"/>
      <c r="V89" s="243"/>
      <c r="W89" s="243" t="s">
        <v>135</v>
      </c>
      <c r="X89" s="243"/>
      <c r="Y89" s="243"/>
      <c r="Z89" s="243"/>
      <c r="AA89" s="243"/>
      <c r="AB89" s="243"/>
      <c r="AC89" s="243" t="s">
        <v>157</v>
      </c>
      <c r="AD89" s="243"/>
      <c r="AE89" s="243"/>
      <c r="AF89" s="243"/>
      <c r="AG89" s="243"/>
      <c r="AH89" s="243"/>
      <c r="AI89" s="243" t="s">
        <v>136</v>
      </c>
      <c r="AJ89" s="243"/>
      <c r="AK89" s="243"/>
      <c r="AL89" s="243"/>
      <c r="AM89" s="243"/>
      <c r="AN89" s="243"/>
      <c r="AO89" s="243" t="s">
        <v>158</v>
      </c>
      <c r="AP89" s="243"/>
      <c r="AQ89" s="243"/>
      <c r="AR89" s="243"/>
      <c r="AS89" s="243"/>
      <c r="AT89" s="243"/>
      <c r="AU89" s="243" t="s">
        <v>159</v>
      </c>
      <c r="AV89" s="243"/>
      <c r="AW89" s="243"/>
      <c r="AX89" s="243"/>
      <c r="AY89" s="243"/>
      <c r="AZ89" s="243"/>
      <c r="BA89" s="243" t="s">
        <v>160</v>
      </c>
      <c r="BB89" s="243"/>
      <c r="BC89" s="243"/>
      <c r="BD89" s="243"/>
      <c r="BE89" s="243"/>
      <c r="BF89" s="243"/>
      <c r="BG89" s="243" t="s">
        <v>137</v>
      </c>
      <c r="BH89" s="243"/>
      <c r="BI89" s="243"/>
      <c r="BJ89" s="243"/>
      <c r="BK89" s="243"/>
      <c r="BL89" s="243"/>
    </row>
    <row r="90" spans="1:71" x14ac:dyDescent="0.15">
      <c r="A90" s="8"/>
      <c r="B90" s="94" t="s">
        <v>65</v>
      </c>
      <c r="C90" s="95" t="s">
        <v>63</v>
      </c>
      <c r="D90" s="96" t="s">
        <v>64</v>
      </c>
      <c r="E90" s="97" t="s">
        <v>100</v>
      </c>
      <c r="F90" s="98" t="s">
        <v>114</v>
      </c>
      <c r="G90" s="144" t="s">
        <v>187</v>
      </c>
      <c r="H90" s="168" t="s">
        <v>220</v>
      </c>
      <c r="I90" s="94" t="s">
        <v>65</v>
      </c>
      <c r="J90" s="95" t="s">
        <v>63</v>
      </c>
      <c r="K90" s="96" t="s">
        <v>64</v>
      </c>
      <c r="L90" s="97" t="s">
        <v>100</v>
      </c>
      <c r="M90" s="98" t="s">
        <v>114</v>
      </c>
      <c r="N90" s="144" t="s">
        <v>187</v>
      </c>
      <c r="O90" s="168" t="s">
        <v>220</v>
      </c>
      <c r="P90" s="94" t="s">
        <v>65</v>
      </c>
      <c r="Q90" s="95" t="s">
        <v>63</v>
      </c>
      <c r="R90" s="96" t="s">
        <v>64</v>
      </c>
      <c r="S90" s="97" t="s">
        <v>100</v>
      </c>
      <c r="T90" s="98" t="s">
        <v>114</v>
      </c>
      <c r="U90" s="144" t="s">
        <v>187</v>
      </c>
      <c r="V90" s="168" t="s">
        <v>220</v>
      </c>
      <c r="W90" s="94" t="s">
        <v>169</v>
      </c>
      <c r="X90" s="95" t="s">
        <v>170</v>
      </c>
      <c r="Y90" s="96" t="s">
        <v>92</v>
      </c>
      <c r="Z90" s="97" t="s">
        <v>121</v>
      </c>
      <c r="AA90" s="98" t="s">
        <v>171</v>
      </c>
      <c r="AB90" s="144" t="s">
        <v>204</v>
      </c>
      <c r="AC90" s="94" t="s">
        <v>169</v>
      </c>
      <c r="AD90" s="95" t="s">
        <v>170</v>
      </c>
      <c r="AE90" s="96" t="s">
        <v>92</v>
      </c>
      <c r="AF90" s="97" t="s">
        <v>121</v>
      </c>
      <c r="AG90" s="98" t="s">
        <v>171</v>
      </c>
      <c r="AH90" s="144" t="s">
        <v>204</v>
      </c>
      <c r="AI90" s="94" t="s">
        <v>169</v>
      </c>
      <c r="AJ90" s="95" t="s">
        <v>170</v>
      </c>
      <c r="AK90" s="96" t="s">
        <v>92</v>
      </c>
      <c r="AL90" s="97" t="s">
        <v>121</v>
      </c>
      <c r="AM90" s="98" t="s">
        <v>171</v>
      </c>
      <c r="AN90" s="144" t="s">
        <v>204</v>
      </c>
      <c r="AO90" s="94" t="s">
        <v>169</v>
      </c>
      <c r="AP90" s="95" t="s">
        <v>170</v>
      </c>
      <c r="AQ90" s="96" t="s">
        <v>92</v>
      </c>
      <c r="AR90" s="97" t="s">
        <v>121</v>
      </c>
      <c r="AS90" s="98" t="s">
        <v>171</v>
      </c>
      <c r="AT90" s="144" t="s">
        <v>204</v>
      </c>
      <c r="AU90" s="94" t="s">
        <v>169</v>
      </c>
      <c r="AV90" s="95" t="s">
        <v>170</v>
      </c>
      <c r="AW90" s="96" t="s">
        <v>92</v>
      </c>
      <c r="AX90" s="97" t="s">
        <v>121</v>
      </c>
      <c r="AY90" s="98" t="s">
        <v>171</v>
      </c>
      <c r="AZ90" s="144" t="s">
        <v>204</v>
      </c>
      <c r="BA90" s="94" t="s">
        <v>169</v>
      </c>
      <c r="BB90" s="95" t="s">
        <v>170</v>
      </c>
      <c r="BC90" s="96" t="s">
        <v>92</v>
      </c>
      <c r="BD90" s="97" t="s">
        <v>121</v>
      </c>
      <c r="BE90" s="98" t="s">
        <v>171</v>
      </c>
      <c r="BF90" s="144" t="s">
        <v>204</v>
      </c>
      <c r="BG90" s="94" t="s">
        <v>169</v>
      </c>
      <c r="BH90" s="95" t="s">
        <v>170</v>
      </c>
      <c r="BI90" s="96" t="s">
        <v>92</v>
      </c>
      <c r="BJ90" s="97" t="s">
        <v>121</v>
      </c>
      <c r="BK90" s="98" t="s">
        <v>171</v>
      </c>
      <c r="BL90" s="144" t="s">
        <v>204</v>
      </c>
    </row>
    <row r="91" spans="1:71" ht="13.5" customHeight="1" x14ac:dyDescent="0.15">
      <c r="A91" s="26" t="s">
        <v>59</v>
      </c>
      <c r="B91" s="42">
        <f t="shared" ref="B91:V91" si="2">COUNT(B92:B169)</f>
        <v>7</v>
      </c>
      <c r="C91" s="43">
        <f t="shared" si="2"/>
        <v>9</v>
      </c>
      <c r="D91" s="102">
        <f t="shared" si="2"/>
        <v>16</v>
      </c>
      <c r="E91" s="52">
        <f t="shared" si="2"/>
        <v>21</v>
      </c>
      <c r="F91" s="62">
        <f t="shared" si="2"/>
        <v>23</v>
      </c>
      <c r="G91" s="68">
        <f t="shared" si="2"/>
        <v>22</v>
      </c>
      <c r="H91" s="110">
        <f t="shared" si="2"/>
        <v>21</v>
      </c>
      <c r="I91" s="42">
        <f t="shared" si="2"/>
        <v>10</v>
      </c>
      <c r="J91" s="43">
        <f t="shared" si="2"/>
        <v>17</v>
      </c>
      <c r="K91" s="102">
        <f t="shared" si="2"/>
        <v>18</v>
      </c>
      <c r="L91" s="52">
        <f t="shared" si="2"/>
        <v>17</v>
      </c>
      <c r="M91" s="62">
        <f t="shared" si="2"/>
        <v>17</v>
      </c>
      <c r="N91" s="68">
        <f t="shared" si="2"/>
        <v>17</v>
      </c>
      <c r="O91" s="110">
        <f t="shared" si="2"/>
        <v>19</v>
      </c>
      <c r="P91" s="42">
        <f t="shared" si="2"/>
        <v>8</v>
      </c>
      <c r="Q91" s="43">
        <f t="shared" si="2"/>
        <v>11</v>
      </c>
      <c r="R91" s="102">
        <f t="shared" si="2"/>
        <v>12</v>
      </c>
      <c r="S91" s="52">
        <f t="shared" si="2"/>
        <v>13</v>
      </c>
      <c r="T91" s="62">
        <f t="shared" si="2"/>
        <v>12</v>
      </c>
      <c r="U91" s="68">
        <f t="shared" si="2"/>
        <v>15</v>
      </c>
      <c r="V91" s="110">
        <f t="shared" si="2"/>
        <v>13</v>
      </c>
      <c r="W91" s="103">
        <f t="shared" ref="W91:BL91" si="3">COUNT(W92:W168)</f>
        <v>6</v>
      </c>
      <c r="X91" s="104">
        <f t="shared" si="3"/>
        <v>9</v>
      </c>
      <c r="Y91" s="105">
        <f t="shared" si="3"/>
        <v>7</v>
      </c>
      <c r="Z91" s="106">
        <f t="shared" si="3"/>
        <v>11</v>
      </c>
      <c r="AA91" s="62">
        <f t="shared" si="3"/>
        <v>12</v>
      </c>
      <c r="AB91" s="68">
        <f t="shared" si="3"/>
        <v>11</v>
      </c>
      <c r="AC91" s="103">
        <f t="shared" si="3"/>
        <v>10</v>
      </c>
      <c r="AD91" s="104">
        <f t="shared" si="3"/>
        <v>12</v>
      </c>
      <c r="AE91" s="105">
        <f t="shared" si="3"/>
        <v>12</v>
      </c>
      <c r="AF91" s="106">
        <f t="shared" si="3"/>
        <v>11</v>
      </c>
      <c r="AG91" s="62">
        <f t="shared" si="3"/>
        <v>12</v>
      </c>
      <c r="AH91" s="68">
        <f t="shared" si="3"/>
        <v>10</v>
      </c>
      <c r="AI91" s="103">
        <f t="shared" si="3"/>
        <v>7</v>
      </c>
      <c r="AJ91" s="104">
        <f t="shared" si="3"/>
        <v>10</v>
      </c>
      <c r="AK91" s="105">
        <f t="shared" si="3"/>
        <v>16</v>
      </c>
      <c r="AL91" s="106">
        <f t="shared" si="3"/>
        <v>14</v>
      </c>
      <c r="AM91" s="62">
        <f t="shared" si="3"/>
        <v>17</v>
      </c>
      <c r="AN91" s="68">
        <f t="shared" si="3"/>
        <v>19</v>
      </c>
      <c r="AO91" s="103">
        <f t="shared" si="3"/>
        <v>8</v>
      </c>
      <c r="AP91" s="104">
        <f t="shared" si="3"/>
        <v>8</v>
      </c>
      <c r="AQ91" s="105">
        <f t="shared" si="3"/>
        <v>10</v>
      </c>
      <c r="AR91" s="106">
        <f t="shared" si="3"/>
        <v>14</v>
      </c>
      <c r="AS91" s="62">
        <f t="shared" si="3"/>
        <v>13</v>
      </c>
      <c r="AT91" s="68">
        <f t="shared" si="3"/>
        <v>13</v>
      </c>
      <c r="AU91" s="103">
        <f t="shared" si="3"/>
        <v>6</v>
      </c>
      <c r="AV91" s="104">
        <f t="shared" si="3"/>
        <v>6</v>
      </c>
      <c r="AW91" s="105">
        <f t="shared" si="3"/>
        <v>10</v>
      </c>
      <c r="AX91" s="106">
        <f t="shared" si="3"/>
        <v>10</v>
      </c>
      <c r="AY91" s="62">
        <f t="shared" si="3"/>
        <v>11</v>
      </c>
      <c r="AZ91" s="68">
        <f t="shared" si="3"/>
        <v>12</v>
      </c>
      <c r="BA91" s="103">
        <f t="shared" si="3"/>
        <v>4</v>
      </c>
      <c r="BB91" s="104">
        <f t="shared" si="3"/>
        <v>4</v>
      </c>
      <c r="BC91" s="105">
        <f t="shared" si="3"/>
        <v>6</v>
      </c>
      <c r="BD91" s="106">
        <f t="shared" si="3"/>
        <v>6</v>
      </c>
      <c r="BE91" s="62">
        <f t="shared" si="3"/>
        <v>8</v>
      </c>
      <c r="BF91" s="68">
        <f t="shared" si="3"/>
        <v>8</v>
      </c>
      <c r="BG91" s="103">
        <f t="shared" si="3"/>
        <v>9</v>
      </c>
      <c r="BH91" s="104">
        <f t="shared" si="3"/>
        <v>7</v>
      </c>
      <c r="BI91" s="105">
        <f t="shared" si="3"/>
        <v>11</v>
      </c>
      <c r="BJ91" s="106">
        <f t="shared" si="3"/>
        <v>12</v>
      </c>
      <c r="BK91" s="62">
        <f t="shared" si="3"/>
        <v>11</v>
      </c>
      <c r="BL91" s="68">
        <f t="shared" si="3"/>
        <v>14</v>
      </c>
    </row>
    <row r="92" spans="1:71" x14ac:dyDescent="0.15">
      <c r="A92" s="27" t="s">
        <v>60</v>
      </c>
      <c r="B92" s="114"/>
      <c r="C92" s="115"/>
      <c r="D92" s="111"/>
      <c r="E92" s="112"/>
      <c r="F92" s="113"/>
      <c r="G92" s="145"/>
      <c r="H92" s="169"/>
      <c r="I92" s="114"/>
      <c r="J92" s="115"/>
      <c r="K92" s="111"/>
      <c r="L92" s="112"/>
      <c r="M92" s="113"/>
      <c r="N92" s="145"/>
      <c r="O92" s="169"/>
      <c r="P92" s="114"/>
      <c r="Q92" s="115"/>
      <c r="R92" s="119"/>
      <c r="S92" s="112"/>
      <c r="T92" s="113"/>
      <c r="U92" s="145"/>
      <c r="V92" s="169"/>
      <c r="X92" s="120"/>
      <c r="Y92" s="119"/>
      <c r="Z92" s="121"/>
      <c r="AA92" s="122"/>
      <c r="AB92" s="150"/>
      <c r="AC92" s="123"/>
      <c r="AD92" s="115"/>
      <c r="AE92" s="111"/>
      <c r="AF92" s="112"/>
      <c r="AG92" s="113"/>
      <c r="AH92" s="145"/>
      <c r="AI92" s="114"/>
      <c r="AJ92" s="115"/>
      <c r="AK92" s="116">
        <v>1</v>
      </c>
      <c r="AL92" s="117"/>
      <c r="AM92" s="118"/>
      <c r="AN92" s="146">
        <v>1</v>
      </c>
      <c r="AO92" s="114"/>
      <c r="AP92" s="115"/>
      <c r="AQ92" s="111"/>
      <c r="AR92" s="112"/>
      <c r="AS92" s="113"/>
      <c r="AT92" s="145"/>
      <c r="AU92" s="114"/>
      <c r="AV92" s="115"/>
      <c r="AW92" s="111"/>
      <c r="AX92" s="112"/>
      <c r="AY92" s="113"/>
      <c r="AZ92" s="145"/>
      <c r="BA92" s="114"/>
      <c r="BB92" s="115"/>
      <c r="BC92" s="111"/>
      <c r="BD92" s="112"/>
      <c r="BE92" s="113"/>
      <c r="BF92" s="145"/>
      <c r="BG92" s="114"/>
      <c r="BH92" s="115"/>
      <c r="BI92" s="111"/>
      <c r="BJ92" s="112"/>
      <c r="BK92" s="113"/>
      <c r="BL92" s="145"/>
    </row>
    <row r="93" spans="1:71" x14ac:dyDescent="0.15">
      <c r="A93" s="27" t="s">
        <v>105</v>
      </c>
      <c r="B93" s="114"/>
      <c r="C93" s="115"/>
      <c r="D93" s="111"/>
      <c r="E93" s="112"/>
      <c r="F93" s="113"/>
      <c r="G93" s="145"/>
      <c r="H93" s="169"/>
      <c r="I93" s="114"/>
      <c r="J93" s="115"/>
      <c r="K93" s="111"/>
      <c r="L93" s="112"/>
      <c r="M93" s="113"/>
      <c r="N93" s="145"/>
      <c r="O93" s="169"/>
      <c r="P93" s="114"/>
      <c r="Q93" s="115"/>
      <c r="R93" s="111"/>
      <c r="S93" s="112"/>
      <c r="T93" s="113"/>
      <c r="U93" s="145"/>
      <c r="V93" s="169"/>
      <c r="X93" s="120"/>
      <c r="Y93" s="119"/>
      <c r="Z93" s="121"/>
      <c r="AA93" s="122"/>
      <c r="AB93" s="150"/>
      <c r="AC93" s="123"/>
      <c r="AD93" s="115"/>
      <c r="AE93" s="111"/>
      <c r="AF93" s="112"/>
      <c r="AG93" s="113"/>
      <c r="AH93" s="145"/>
      <c r="AI93" s="114"/>
      <c r="AJ93" s="115"/>
      <c r="AK93" s="111"/>
      <c r="AL93" s="112"/>
      <c r="AM93" s="113"/>
      <c r="AN93" s="145"/>
      <c r="AO93" s="114"/>
      <c r="AP93" s="115"/>
      <c r="AQ93" s="111"/>
      <c r="AR93" s="112"/>
      <c r="AS93" s="113"/>
      <c r="AT93" s="145"/>
      <c r="AU93" s="114"/>
      <c r="AV93" s="115"/>
      <c r="AW93" s="111"/>
      <c r="AX93" s="112"/>
      <c r="AY93" s="113"/>
      <c r="AZ93" s="145"/>
      <c r="BA93" s="114"/>
      <c r="BB93" s="115"/>
      <c r="BC93" s="111"/>
      <c r="BD93" s="112"/>
      <c r="BE93" s="113"/>
      <c r="BF93" s="145"/>
      <c r="BG93" s="114"/>
      <c r="BH93" s="115"/>
      <c r="BI93" s="111"/>
      <c r="BJ93" s="112"/>
      <c r="BK93" s="113"/>
      <c r="BL93" s="145"/>
    </row>
    <row r="94" spans="1:71" x14ac:dyDescent="0.15">
      <c r="A94" s="2" t="s">
        <v>43</v>
      </c>
      <c r="C94" s="21"/>
      <c r="D94" s="128"/>
      <c r="E94" s="54"/>
      <c r="F94" s="64">
        <v>1</v>
      </c>
      <c r="G94" s="69">
        <v>1</v>
      </c>
      <c r="H94" s="127">
        <v>1</v>
      </c>
      <c r="J94" s="21"/>
      <c r="K94" s="128"/>
      <c r="L94" s="54"/>
      <c r="M94" s="64"/>
      <c r="N94" s="69"/>
      <c r="O94" s="127"/>
      <c r="Q94" s="21"/>
      <c r="R94" s="128"/>
      <c r="S94" s="54"/>
      <c r="T94" s="64"/>
      <c r="U94" s="69"/>
      <c r="V94" s="127"/>
      <c r="X94" s="120"/>
      <c r="Y94" s="119"/>
      <c r="Z94" s="121"/>
      <c r="AA94" s="122"/>
      <c r="AB94" s="150"/>
      <c r="AC94" s="123"/>
      <c r="AD94" s="130">
        <v>1</v>
      </c>
      <c r="AE94" s="131">
        <v>1</v>
      </c>
      <c r="AF94" s="112"/>
      <c r="AG94" s="132">
        <v>1</v>
      </c>
      <c r="AH94" s="147"/>
      <c r="AI94" s="114"/>
      <c r="AJ94" s="115"/>
      <c r="AK94" s="111"/>
      <c r="AL94" s="112"/>
      <c r="AM94" s="132">
        <v>1</v>
      </c>
      <c r="AN94" s="147">
        <v>2</v>
      </c>
      <c r="AO94" s="114"/>
      <c r="AP94" s="115"/>
      <c r="AQ94" s="111"/>
      <c r="AR94" s="112"/>
      <c r="AS94" s="132">
        <v>1</v>
      </c>
      <c r="AT94" s="147"/>
      <c r="AU94" s="114"/>
      <c r="AV94" s="115"/>
      <c r="AW94" s="111"/>
      <c r="AX94" s="112"/>
      <c r="AY94" s="132">
        <v>1</v>
      </c>
      <c r="AZ94" s="147">
        <v>2</v>
      </c>
      <c r="BA94" s="114"/>
      <c r="BB94" s="115"/>
      <c r="BC94" s="111"/>
      <c r="BD94" s="112"/>
      <c r="BE94" s="113"/>
      <c r="BF94" s="145"/>
      <c r="BG94" s="114"/>
      <c r="BH94" s="115"/>
      <c r="BI94" s="111"/>
      <c r="BJ94" s="112"/>
      <c r="BK94" s="113"/>
      <c r="BL94" s="145"/>
    </row>
    <row r="95" spans="1:71" x14ac:dyDescent="0.15">
      <c r="A95" s="27" t="s">
        <v>53</v>
      </c>
      <c r="B95" s="114"/>
      <c r="C95" s="115"/>
      <c r="D95" s="116">
        <v>1</v>
      </c>
      <c r="E95" s="117">
        <v>2</v>
      </c>
      <c r="F95" s="118"/>
      <c r="G95" s="146"/>
      <c r="H95" s="170"/>
      <c r="I95" s="114"/>
      <c r="J95" s="115"/>
      <c r="K95" s="111"/>
      <c r="L95" s="112"/>
      <c r="M95" s="132">
        <v>2</v>
      </c>
      <c r="N95" s="147">
        <v>2</v>
      </c>
      <c r="O95" s="171">
        <v>1</v>
      </c>
      <c r="P95" s="114"/>
      <c r="Q95" s="115"/>
      <c r="R95" s="111"/>
      <c r="S95" s="112"/>
      <c r="T95" s="113"/>
      <c r="U95" s="145"/>
      <c r="V95" s="169"/>
      <c r="X95" s="120"/>
      <c r="Y95" s="119"/>
      <c r="Z95" s="54">
        <v>1</v>
      </c>
      <c r="AA95" s="64">
        <v>1</v>
      </c>
      <c r="AB95" s="69">
        <v>1</v>
      </c>
      <c r="AC95" s="123"/>
      <c r="AD95" s="115"/>
      <c r="AE95" s="111"/>
      <c r="AF95" s="112"/>
      <c r="AG95" s="113"/>
      <c r="AH95" s="145"/>
      <c r="AI95" s="114"/>
      <c r="AJ95" s="115"/>
      <c r="AK95" s="111"/>
      <c r="AL95" s="112"/>
      <c r="AM95" s="113"/>
      <c r="AN95" s="145"/>
      <c r="AO95" s="114"/>
      <c r="AP95" s="115"/>
      <c r="AQ95" s="111"/>
      <c r="AR95" s="112"/>
      <c r="AS95" s="113"/>
      <c r="AT95" s="145"/>
      <c r="AU95" s="114"/>
      <c r="AV95" s="115"/>
      <c r="AW95" s="111"/>
      <c r="AX95" s="112"/>
      <c r="AY95" s="113"/>
      <c r="AZ95" s="145"/>
      <c r="BA95" s="114"/>
      <c r="BB95" s="115"/>
      <c r="BC95" s="111"/>
      <c r="BD95" s="112"/>
      <c r="BE95" s="113"/>
      <c r="BF95" s="145"/>
      <c r="BG95" s="114"/>
      <c r="BH95" s="115"/>
      <c r="BI95" s="111"/>
      <c r="BJ95" s="112"/>
      <c r="BK95" s="113"/>
      <c r="BL95" s="145"/>
    </row>
    <row r="96" spans="1:71" x14ac:dyDescent="0.15">
      <c r="A96" s="2" t="s">
        <v>12</v>
      </c>
      <c r="C96" s="21">
        <v>1</v>
      </c>
      <c r="D96" s="128">
        <v>2</v>
      </c>
      <c r="E96" s="54">
        <v>2</v>
      </c>
      <c r="F96" s="64">
        <v>2</v>
      </c>
      <c r="G96" s="69">
        <v>2</v>
      </c>
      <c r="H96" s="127">
        <v>2</v>
      </c>
      <c r="I96">
        <v>3</v>
      </c>
      <c r="J96" s="21">
        <v>1</v>
      </c>
      <c r="K96" s="128">
        <v>1</v>
      </c>
      <c r="L96" s="54">
        <v>1</v>
      </c>
      <c r="M96" s="64">
        <v>1</v>
      </c>
      <c r="N96" s="69">
        <v>1</v>
      </c>
      <c r="O96" s="127">
        <v>1</v>
      </c>
      <c r="P96">
        <v>2</v>
      </c>
      <c r="Q96" s="21">
        <v>1</v>
      </c>
      <c r="R96" s="128">
        <v>1</v>
      </c>
      <c r="S96" s="54">
        <v>1</v>
      </c>
      <c r="T96" s="64">
        <v>1</v>
      </c>
      <c r="U96" s="69">
        <v>1</v>
      </c>
      <c r="V96" s="127">
        <v>1</v>
      </c>
      <c r="W96">
        <v>1</v>
      </c>
      <c r="X96" s="21">
        <v>2</v>
      </c>
      <c r="Y96" s="128">
        <v>2</v>
      </c>
      <c r="Z96" s="54">
        <v>2</v>
      </c>
      <c r="AA96" s="64">
        <v>2</v>
      </c>
      <c r="AB96" s="69">
        <v>2</v>
      </c>
      <c r="AC96">
        <v>3</v>
      </c>
      <c r="AD96" s="21">
        <v>3</v>
      </c>
      <c r="AE96" s="128">
        <v>2</v>
      </c>
      <c r="AF96" s="54">
        <v>2</v>
      </c>
      <c r="AG96" s="64">
        <v>2</v>
      </c>
      <c r="AH96" s="69">
        <v>2</v>
      </c>
      <c r="AI96">
        <v>4</v>
      </c>
      <c r="AJ96" s="21">
        <v>2</v>
      </c>
      <c r="AK96" s="128">
        <v>1</v>
      </c>
      <c r="AL96" s="54">
        <v>1</v>
      </c>
      <c r="AM96" s="64">
        <v>2</v>
      </c>
      <c r="AN96" s="69">
        <v>1</v>
      </c>
      <c r="AO96">
        <v>4</v>
      </c>
      <c r="AP96" s="21">
        <v>4</v>
      </c>
      <c r="AQ96" s="128">
        <v>1</v>
      </c>
      <c r="AR96" s="54">
        <v>4</v>
      </c>
      <c r="AS96" s="64">
        <v>3</v>
      </c>
      <c r="AT96" s="69">
        <v>4</v>
      </c>
      <c r="AU96">
        <v>3</v>
      </c>
      <c r="AV96" s="21">
        <v>3</v>
      </c>
      <c r="AW96" s="128">
        <v>2</v>
      </c>
      <c r="AX96" s="54">
        <v>2</v>
      </c>
      <c r="AY96" s="64">
        <v>1</v>
      </c>
      <c r="AZ96" s="69">
        <v>1</v>
      </c>
      <c r="BA96">
        <v>3</v>
      </c>
      <c r="BB96" s="21">
        <v>3</v>
      </c>
      <c r="BC96" s="128">
        <v>3</v>
      </c>
      <c r="BD96" s="54">
        <v>3</v>
      </c>
      <c r="BE96" s="64">
        <v>3</v>
      </c>
      <c r="BF96" s="69">
        <v>3</v>
      </c>
      <c r="BH96" s="21"/>
      <c r="BI96" s="128">
        <v>1</v>
      </c>
      <c r="BJ96" s="54">
        <v>1</v>
      </c>
      <c r="BK96" s="64">
        <v>1</v>
      </c>
      <c r="BL96" s="69">
        <v>1</v>
      </c>
    </row>
    <row r="97" spans="1:64" x14ac:dyDescent="0.15">
      <c r="A97" s="2" t="s">
        <v>93</v>
      </c>
      <c r="C97" s="21"/>
      <c r="D97" s="128"/>
      <c r="E97" s="54">
        <v>1</v>
      </c>
      <c r="F97" s="64">
        <v>1</v>
      </c>
      <c r="G97" s="69">
        <v>1</v>
      </c>
      <c r="H97" s="127">
        <v>1</v>
      </c>
      <c r="J97" s="21"/>
      <c r="K97" s="128"/>
      <c r="L97" s="54"/>
      <c r="M97" s="64"/>
      <c r="N97" s="69"/>
      <c r="O97" s="127"/>
      <c r="Q97" s="21"/>
      <c r="R97" s="128"/>
      <c r="S97" s="54">
        <v>1</v>
      </c>
      <c r="T97" s="64">
        <v>1</v>
      </c>
      <c r="U97" s="69">
        <v>1</v>
      </c>
      <c r="V97" s="127"/>
      <c r="X97" s="21"/>
      <c r="Y97" s="128"/>
      <c r="Z97" s="54"/>
      <c r="AA97" s="64"/>
      <c r="AB97" s="69"/>
      <c r="AD97" s="21"/>
      <c r="AE97" s="128"/>
      <c r="AF97" s="54"/>
      <c r="AG97" s="64"/>
      <c r="AH97" s="69"/>
      <c r="AJ97" s="21"/>
      <c r="AK97" s="128"/>
      <c r="AL97" s="54"/>
      <c r="AM97" s="64">
        <v>1</v>
      </c>
      <c r="AN97" s="69">
        <v>2</v>
      </c>
      <c r="AP97" s="21"/>
      <c r="AQ97" s="128"/>
      <c r="AR97" s="54"/>
      <c r="AS97" s="64"/>
      <c r="AT97" s="69"/>
      <c r="AV97" s="21"/>
      <c r="AW97" s="128"/>
      <c r="AX97" s="54"/>
      <c r="AY97" s="64"/>
      <c r="AZ97" s="69"/>
      <c r="BB97" s="21"/>
      <c r="BC97" s="128"/>
      <c r="BD97" s="54">
        <v>1</v>
      </c>
      <c r="BE97" s="64">
        <v>1</v>
      </c>
      <c r="BF97" s="69">
        <v>1</v>
      </c>
      <c r="BH97" s="21"/>
      <c r="BI97" s="128"/>
      <c r="BJ97" s="54"/>
      <c r="BK97" s="64"/>
      <c r="BL97" s="69"/>
    </row>
    <row r="98" spans="1:64" x14ac:dyDescent="0.15">
      <c r="A98" s="2" t="s">
        <v>33</v>
      </c>
      <c r="C98" s="21"/>
      <c r="D98" s="128"/>
      <c r="E98" s="54"/>
      <c r="F98" s="64"/>
      <c r="G98" s="69"/>
      <c r="H98" s="127"/>
      <c r="J98" s="21"/>
      <c r="K98" s="128"/>
      <c r="L98" s="54"/>
      <c r="M98" s="64"/>
      <c r="N98" s="69"/>
      <c r="O98" s="127"/>
      <c r="Q98" s="21"/>
      <c r="R98" s="128"/>
      <c r="S98" s="54"/>
      <c r="T98" s="64"/>
      <c r="U98" s="69"/>
      <c r="V98" s="127"/>
      <c r="X98" s="21"/>
      <c r="Y98" s="128"/>
      <c r="Z98" s="54"/>
      <c r="AA98" s="64"/>
      <c r="AB98" s="69"/>
      <c r="AD98" s="21"/>
      <c r="AE98" s="128"/>
      <c r="AF98" s="54"/>
      <c r="AG98" s="64"/>
      <c r="AH98" s="69"/>
      <c r="AJ98" s="21"/>
      <c r="AK98" s="128"/>
      <c r="AL98" s="54"/>
      <c r="AM98" s="64"/>
      <c r="AN98" s="69"/>
      <c r="AP98" s="21"/>
      <c r="AQ98" s="128"/>
      <c r="AR98" s="54"/>
      <c r="AS98" s="64"/>
      <c r="AT98" s="69"/>
      <c r="AV98" s="21"/>
      <c r="AW98" s="128"/>
      <c r="AX98" s="54"/>
      <c r="AY98" s="64"/>
      <c r="AZ98" s="69"/>
      <c r="BB98" s="21"/>
      <c r="BC98" s="128"/>
      <c r="BD98" s="54"/>
      <c r="BE98" s="64"/>
      <c r="BF98" s="69"/>
      <c r="BH98" s="21"/>
      <c r="BI98" s="128"/>
      <c r="BJ98" s="54"/>
      <c r="BK98" s="64"/>
      <c r="BL98" s="69"/>
    </row>
    <row r="99" spans="1:64" x14ac:dyDescent="0.15">
      <c r="A99" s="2" t="s">
        <v>13</v>
      </c>
      <c r="C99" s="21"/>
      <c r="D99" s="128"/>
      <c r="E99" s="54"/>
      <c r="F99" s="64"/>
      <c r="G99" s="69"/>
      <c r="H99" s="127"/>
      <c r="J99" s="21"/>
      <c r="K99" s="128"/>
      <c r="L99" s="54"/>
      <c r="M99" s="64"/>
      <c r="N99" s="69"/>
      <c r="O99" s="127"/>
      <c r="Q99" s="21"/>
      <c r="R99" s="128"/>
      <c r="S99" s="54"/>
      <c r="T99" s="64"/>
      <c r="U99" s="69"/>
      <c r="V99" s="127"/>
      <c r="X99" s="21"/>
      <c r="Y99" s="128"/>
      <c r="Z99" s="54"/>
      <c r="AA99" s="64"/>
      <c r="AB99" s="69"/>
      <c r="AD99" s="21"/>
      <c r="AE99" s="128"/>
      <c r="AF99" s="54"/>
      <c r="AG99" s="64"/>
      <c r="AH99" s="69"/>
      <c r="AJ99" s="21">
        <v>1</v>
      </c>
      <c r="AK99" s="128">
        <v>1</v>
      </c>
      <c r="AL99" s="54">
        <v>1</v>
      </c>
      <c r="AM99" s="64">
        <v>1</v>
      </c>
      <c r="AN99" s="69">
        <v>1</v>
      </c>
      <c r="AP99" s="21"/>
      <c r="AQ99" s="128"/>
      <c r="AR99" s="54"/>
      <c r="AS99" s="64"/>
      <c r="AT99" s="69"/>
      <c r="AV99" s="21"/>
      <c r="AW99" s="128"/>
      <c r="AX99" s="54"/>
      <c r="AY99" s="64"/>
      <c r="AZ99" s="69"/>
      <c r="BB99" s="21"/>
      <c r="BC99" s="128"/>
      <c r="BD99" s="54"/>
      <c r="BE99" s="64">
        <v>1</v>
      </c>
      <c r="BF99" s="69"/>
      <c r="BH99" s="21"/>
      <c r="BI99" s="128"/>
      <c r="BJ99" s="54"/>
      <c r="BK99" s="64"/>
      <c r="BL99" s="69"/>
    </row>
    <row r="100" spans="1:64" x14ac:dyDescent="0.15">
      <c r="A100" s="2" t="s">
        <v>190</v>
      </c>
      <c r="C100" s="21"/>
      <c r="D100" s="128"/>
      <c r="E100" s="54"/>
      <c r="F100" s="64">
        <v>1</v>
      </c>
      <c r="G100" s="69"/>
      <c r="H100" s="127"/>
      <c r="J100" s="21"/>
      <c r="K100" s="128"/>
      <c r="L100" s="54"/>
      <c r="M100" s="64"/>
      <c r="N100" s="69"/>
      <c r="O100" s="127"/>
      <c r="Q100" s="21"/>
      <c r="R100" s="128"/>
      <c r="S100" s="54"/>
      <c r="T100" s="64"/>
      <c r="U100" s="69"/>
      <c r="V100" s="127"/>
      <c r="X100" s="21"/>
      <c r="Y100" s="128"/>
      <c r="Z100" s="54"/>
      <c r="AA100" s="64"/>
      <c r="AB100" s="69"/>
      <c r="AD100" s="21"/>
      <c r="AE100" s="128"/>
      <c r="AF100" s="54"/>
      <c r="AG100" s="64"/>
      <c r="AH100" s="69"/>
      <c r="AJ100" s="21"/>
      <c r="AK100" s="128"/>
      <c r="AL100" s="54"/>
      <c r="AM100" s="64"/>
      <c r="AN100" s="69"/>
      <c r="AP100" s="21"/>
      <c r="AQ100" s="128"/>
      <c r="AR100" s="54"/>
      <c r="AS100" s="64"/>
      <c r="AT100" s="69"/>
      <c r="AV100" s="21"/>
      <c r="AW100" s="128"/>
      <c r="AX100" s="54"/>
      <c r="AY100" s="64"/>
      <c r="AZ100" s="69"/>
      <c r="BB100" s="21"/>
      <c r="BC100" s="128"/>
      <c r="BD100" s="54"/>
      <c r="BE100" s="64"/>
      <c r="BF100" s="69"/>
      <c r="BH100" s="21"/>
      <c r="BI100" s="128"/>
      <c r="BJ100" s="54"/>
      <c r="BK100" s="64"/>
      <c r="BL100" s="69"/>
    </row>
    <row r="101" spans="1:64" x14ac:dyDescent="0.15">
      <c r="A101" s="2" t="s">
        <v>14</v>
      </c>
      <c r="B101">
        <v>3</v>
      </c>
      <c r="C101" s="21"/>
      <c r="D101" s="128">
        <v>1</v>
      </c>
      <c r="E101" s="54">
        <v>1</v>
      </c>
      <c r="F101" s="64">
        <v>2</v>
      </c>
      <c r="G101" s="69">
        <v>2</v>
      </c>
      <c r="H101" s="127">
        <v>3</v>
      </c>
      <c r="I101">
        <v>3</v>
      </c>
      <c r="J101" s="21">
        <v>2</v>
      </c>
      <c r="K101" s="128">
        <v>2</v>
      </c>
      <c r="L101" s="54">
        <v>2</v>
      </c>
      <c r="M101" s="64">
        <v>3</v>
      </c>
      <c r="N101" s="69">
        <v>2</v>
      </c>
      <c r="O101" s="127">
        <v>1</v>
      </c>
      <c r="P101">
        <v>2</v>
      </c>
      <c r="Q101" s="21">
        <v>1</v>
      </c>
      <c r="R101" s="128">
        <v>1</v>
      </c>
      <c r="S101" s="54">
        <v>1</v>
      </c>
      <c r="T101" s="64"/>
      <c r="U101" s="69">
        <v>2</v>
      </c>
      <c r="V101" s="127">
        <v>1</v>
      </c>
      <c r="X101" s="21"/>
      <c r="Y101" s="128"/>
      <c r="Z101" s="54"/>
      <c r="AA101" s="64"/>
      <c r="AB101" s="69"/>
      <c r="AD101" s="21"/>
      <c r="AE101" s="128"/>
      <c r="AF101" s="54"/>
      <c r="AG101" s="64">
        <v>1</v>
      </c>
      <c r="AH101" s="69"/>
      <c r="AJ101" s="21"/>
      <c r="AK101" s="128"/>
      <c r="AL101" s="54"/>
      <c r="AM101" s="64"/>
      <c r="AN101" s="69"/>
      <c r="AP101" s="21"/>
      <c r="AQ101" s="128"/>
      <c r="AR101" s="54">
        <v>1</v>
      </c>
      <c r="AS101" s="64">
        <v>1</v>
      </c>
      <c r="AT101" s="69"/>
      <c r="AU101">
        <v>3</v>
      </c>
      <c r="AV101" s="21"/>
      <c r="AW101" s="128"/>
      <c r="AX101" s="54"/>
      <c r="AY101" s="64"/>
      <c r="AZ101" s="69"/>
      <c r="BB101" s="21"/>
      <c r="BC101" s="128"/>
      <c r="BD101" s="54"/>
      <c r="BE101" s="64"/>
      <c r="BF101" s="69"/>
      <c r="BG101">
        <v>2</v>
      </c>
      <c r="BH101" s="21"/>
      <c r="BI101" s="128">
        <v>1</v>
      </c>
      <c r="BJ101" s="54">
        <v>1</v>
      </c>
      <c r="BK101" s="64">
        <v>2</v>
      </c>
      <c r="BL101" s="69">
        <v>1</v>
      </c>
    </row>
    <row r="102" spans="1:64" x14ac:dyDescent="0.15">
      <c r="A102" s="2" t="s">
        <v>26</v>
      </c>
      <c r="C102" s="21"/>
      <c r="D102" s="128"/>
      <c r="E102" s="54"/>
      <c r="F102" s="64"/>
      <c r="G102" s="69"/>
      <c r="H102" s="127"/>
      <c r="J102" s="21"/>
      <c r="K102" s="128"/>
      <c r="L102" s="54"/>
      <c r="M102" s="64"/>
      <c r="N102" s="69"/>
      <c r="O102" s="127"/>
      <c r="Q102" s="21"/>
      <c r="R102" s="128"/>
      <c r="S102" s="54"/>
      <c r="T102" s="64"/>
      <c r="U102" s="69"/>
      <c r="V102" s="127"/>
      <c r="X102" s="21"/>
      <c r="Y102" s="128"/>
      <c r="Z102" s="54"/>
      <c r="AA102" s="64"/>
      <c r="AB102" s="69"/>
      <c r="AD102" s="21"/>
      <c r="AE102" s="128"/>
      <c r="AF102" s="54"/>
      <c r="AG102" s="64"/>
      <c r="AH102" s="69"/>
      <c r="AJ102" s="21"/>
      <c r="AK102" s="128"/>
      <c r="AL102" s="54"/>
      <c r="AM102" s="64"/>
      <c r="AN102" s="69"/>
      <c r="AP102" s="21"/>
      <c r="AQ102" s="128"/>
      <c r="AR102" s="54"/>
      <c r="AS102" s="64"/>
      <c r="AT102" s="69"/>
      <c r="AV102" s="21"/>
      <c r="AW102" s="128"/>
      <c r="AX102" s="54"/>
      <c r="AY102" s="64"/>
      <c r="AZ102" s="69"/>
      <c r="BB102" s="21"/>
      <c r="BC102" s="128"/>
      <c r="BD102" s="54"/>
      <c r="BE102" s="64"/>
      <c r="BF102" s="69"/>
      <c r="BH102" s="21"/>
      <c r="BI102" s="128"/>
      <c r="BJ102" s="54"/>
      <c r="BK102" s="64"/>
      <c r="BL102" s="69"/>
    </row>
    <row r="103" spans="1:64" x14ac:dyDescent="0.15">
      <c r="A103" s="2" t="s">
        <v>51</v>
      </c>
      <c r="C103" s="21"/>
      <c r="D103" s="128">
        <v>2</v>
      </c>
      <c r="E103" s="54">
        <v>1</v>
      </c>
      <c r="F103" s="64">
        <v>1</v>
      </c>
      <c r="G103" s="69">
        <v>3</v>
      </c>
      <c r="H103" s="127">
        <v>2</v>
      </c>
      <c r="J103" s="21"/>
      <c r="K103" s="128"/>
      <c r="L103" s="54"/>
      <c r="M103" s="64"/>
      <c r="N103" s="69"/>
      <c r="O103" s="127"/>
      <c r="Q103" s="21"/>
      <c r="R103" s="128"/>
      <c r="S103" s="54"/>
      <c r="T103" s="64"/>
      <c r="U103" s="69">
        <v>1</v>
      </c>
      <c r="V103" s="127"/>
      <c r="X103" s="21"/>
      <c r="Y103" s="128"/>
      <c r="Z103" s="54">
        <v>1</v>
      </c>
      <c r="AA103" s="64">
        <v>1</v>
      </c>
      <c r="AB103" s="69">
        <v>1</v>
      </c>
      <c r="AD103" s="21">
        <v>2</v>
      </c>
      <c r="AE103" s="128">
        <v>2</v>
      </c>
      <c r="AF103" s="54">
        <v>3</v>
      </c>
      <c r="AG103" s="64">
        <v>2</v>
      </c>
      <c r="AH103" s="69"/>
      <c r="AJ103" s="21"/>
      <c r="AK103" s="128">
        <v>2</v>
      </c>
      <c r="AL103" s="54">
        <v>1</v>
      </c>
      <c r="AM103" s="64">
        <v>1</v>
      </c>
      <c r="AN103" s="69">
        <v>1</v>
      </c>
      <c r="AP103" s="21"/>
      <c r="AQ103" s="128"/>
      <c r="AR103" s="54"/>
      <c r="AS103" s="64"/>
      <c r="AT103" s="69"/>
      <c r="AV103" s="21"/>
      <c r="AW103" s="128"/>
      <c r="AX103" s="54"/>
      <c r="AY103" s="64"/>
      <c r="AZ103" s="69"/>
      <c r="BB103" s="21"/>
      <c r="BC103" s="128">
        <v>1</v>
      </c>
      <c r="BD103" s="54">
        <v>1</v>
      </c>
      <c r="BE103" s="64">
        <v>1</v>
      </c>
      <c r="BF103" s="69">
        <v>1</v>
      </c>
      <c r="BH103" s="21"/>
      <c r="BI103" s="128"/>
      <c r="BJ103" s="54"/>
      <c r="BK103" s="64"/>
      <c r="BL103" s="69"/>
    </row>
    <row r="104" spans="1:64" x14ac:dyDescent="0.15">
      <c r="A104" s="2" t="s">
        <v>44</v>
      </c>
      <c r="C104" s="21"/>
      <c r="D104" s="128"/>
      <c r="E104" s="54"/>
      <c r="F104" s="64"/>
      <c r="G104" s="69"/>
      <c r="H104" s="127"/>
      <c r="J104" s="21"/>
      <c r="K104" s="128"/>
      <c r="L104" s="54"/>
      <c r="M104" s="64"/>
      <c r="N104" s="69"/>
      <c r="O104" s="127"/>
      <c r="Q104" s="21"/>
      <c r="R104" s="128"/>
      <c r="S104" s="54"/>
      <c r="T104" s="64"/>
      <c r="U104" s="69">
        <v>1</v>
      </c>
      <c r="V104" s="127">
        <v>1</v>
      </c>
      <c r="X104" s="21"/>
      <c r="Y104" s="128"/>
      <c r="Z104" s="54"/>
      <c r="AA104" s="64"/>
      <c r="AB104" s="69"/>
      <c r="AD104" s="21"/>
      <c r="AE104" s="128"/>
      <c r="AF104" s="54"/>
      <c r="AG104" s="64"/>
      <c r="AH104" s="69"/>
      <c r="AJ104" s="21"/>
      <c r="AK104" s="128"/>
      <c r="AL104" s="54"/>
      <c r="AM104" s="64"/>
      <c r="AN104" s="69"/>
      <c r="AP104" s="21"/>
      <c r="AQ104" s="128"/>
      <c r="AR104" s="54">
        <v>1</v>
      </c>
      <c r="AS104" s="64"/>
      <c r="AT104" s="69">
        <v>1</v>
      </c>
      <c r="AV104" s="21"/>
      <c r="AW104" s="128"/>
      <c r="AX104" s="54">
        <v>1</v>
      </c>
      <c r="AY104" s="64">
        <v>1</v>
      </c>
      <c r="AZ104" s="69"/>
      <c r="BB104" s="21"/>
      <c r="BC104" s="128"/>
      <c r="BD104" s="54">
        <v>1</v>
      </c>
      <c r="BE104" s="64">
        <v>1</v>
      </c>
      <c r="BF104" s="69"/>
      <c r="BH104" s="21">
        <v>2</v>
      </c>
      <c r="BI104" s="128">
        <v>2</v>
      </c>
      <c r="BJ104" s="54">
        <v>2</v>
      </c>
      <c r="BK104" s="64">
        <v>3</v>
      </c>
      <c r="BL104" s="69">
        <v>3</v>
      </c>
    </row>
    <row r="105" spans="1:64" x14ac:dyDescent="0.15">
      <c r="A105" s="2" t="s">
        <v>4</v>
      </c>
      <c r="B105">
        <v>3</v>
      </c>
      <c r="C105" s="21">
        <v>3</v>
      </c>
      <c r="D105" s="128">
        <v>3</v>
      </c>
      <c r="E105" s="54">
        <v>3</v>
      </c>
      <c r="F105" s="64">
        <v>3</v>
      </c>
      <c r="G105" s="69">
        <v>2</v>
      </c>
      <c r="H105" s="127">
        <v>3</v>
      </c>
      <c r="I105">
        <v>2</v>
      </c>
      <c r="J105" s="21">
        <v>3</v>
      </c>
      <c r="K105" s="128">
        <v>3</v>
      </c>
      <c r="L105" s="54">
        <v>3</v>
      </c>
      <c r="M105" s="64">
        <v>3</v>
      </c>
      <c r="N105" s="69">
        <v>4</v>
      </c>
      <c r="O105" s="127">
        <v>3</v>
      </c>
      <c r="P105">
        <v>2</v>
      </c>
      <c r="Q105" s="21">
        <v>3</v>
      </c>
      <c r="R105" s="128">
        <v>2</v>
      </c>
      <c r="S105" s="54">
        <v>2</v>
      </c>
      <c r="T105" s="64">
        <v>2</v>
      </c>
      <c r="U105" s="69">
        <v>3</v>
      </c>
      <c r="V105" s="127">
        <v>3</v>
      </c>
      <c r="W105">
        <v>1</v>
      </c>
      <c r="X105" s="21"/>
      <c r="Y105" s="128"/>
      <c r="Z105" s="54">
        <v>1</v>
      </c>
      <c r="AA105" s="64">
        <v>1</v>
      </c>
      <c r="AB105" s="69">
        <v>1</v>
      </c>
      <c r="AC105">
        <v>3</v>
      </c>
      <c r="AD105" s="21">
        <v>3</v>
      </c>
      <c r="AE105" s="128">
        <v>2</v>
      </c>
      <c r="AF105" s="54">
        <v>3</v>
      </c>
      <c r="AG105" s="64">
        <v>1</v>
      </c>
      <c r="AH105" s="69">
        <v>1</v>
      </c>
      <c r="AI105">
        <v>2</v>
      </c>
      <c r="AJ105" s="21">
        <v>1</v>
      </c>
      <c r="AK105" s="128">
        <v>1</v>
      </c>
      <c r="AL105" s="54">
        <v>1</v>
      </c>
      <c r="AM105" s="64">
        <v>1</v>
      </c>
      <c r="AN105" s="69">
        <v>1</v>
      </c>
      <c r="AO105">
        <v>1</v>
      </c>
      <c r="AP105" s="21"/>
      <c r="AQ105" s="128"/>
      <c r="AR105" s="54">
        <v>1</v>
      </c>
      <c r="AS105" s="64">
        <v>1</v>
      </c>
      <c r="AT105" s="69">
        <v>1</v>
      </c>
      <c r="AV105" s="21"/>
      <c r="AW105" s="128">
        <v>1</v>
      </c>
      <c r="AX105" s="54">
        <v>1</v>
      </c>
      <c r="AY105" s="64">
        <v>1</v>
      </c>
      <c r="AZ105" s="69">
        <v>1</v>
      </c>
      <c r="BB105" s="21">
        <v>1</v>
      </c>
      <c r="BC105" s="128">
        <v>1</v>
      </c>
      <c r="BD105" s="54"/>
      <c r="BE105" s="64">
        <v>1</v>
      </c>
      <c r="BF105" s="69"/>
      <c r="BG105">
        <v>2</v>
      </c>
      <c r="BH105" s="21">
        <v>1</v>
      </c>
      <c r="BI105" s="128">
        <v>2</v>
      </c>
      <c r="BJ105" s="54">
        <v>1</v>
      </c>
      <c r="BK105" s="64">
        <v>2</v>
      </c>
      <c r="BL105" s="69">
        <v>2</v>
      </c>
    </row>
    <row r="106" spans="1:64" x14ac:dyDescent="0.15">
      <c r="A106" s="2" t="s">
        <v>232</v>
      </c>
      <c r="C106" s="21"/>
      <c r="D106" s="128"/>
      <c r="E106" s="54"/>
      <c r="F106" s="64"/>
      <c r="G106" s="69"/>
      <c r="H106" s="127"/>
      <c r="J106" s="21"/>
      <c r="K106" s="128"/>
      <c r="L106" s="54"/>
      <c r="M106" s="64"/>
      <c r="N106" s="69"/>
      <c r="O106" s="127"/>
      <c r="Q106" s="21"/>
      <c r="R106" s="128"/>
      <c r="S106" s="54"/>
      <c r="T106" s="64"/>
      <c r="U106" s="69"/>
      <c r="V106" s="127"/>
      <c r="X106" s="21"/>
      <c r="Y106" s="128"/>
      <c r="Z106" s="54"/>
      <c r="AA106" s="64"/>
      <c r="AB106" s="69"/>
      <c r="AD106" s="21"/>
      <c r="AE106" s="128"/>
      <c r="AF106" s="54"/>
      <c r="AG106" s="64"/>
      <c r="AH106" s="69"/>
      <c r="AJ106" s="21"/>
      <c r="AK106" s="128"/>
      <c r="AL106" s="54"/>
      <c r="AM106" s="64"/>
      <c r="AN106" s="69"/>
      <c r="AP106" s="21"/>
      <c r="AQ106" s="128"/>
      <c r="AR106" s="54"/>
      <c r="AS106" s="64"/>
      <c r="AT106" s="69"/>
      <c r="AV106" s="21"/>
      <c r="AW106" s="128"/>
      <c r="AX106" s="54"/>
      <c r="AY106" s="64"/>
      <c r="AZ106" s="69"/>
      <c r="BB106" s="21"/>
      <c r="BC106" s="128"/>
      <c r="BD106" s="54"/>
      <c r="BE106" s="64"/>
      <c r="BF106" s="69"/>
      <c r="BH106" s="21"/>
      <c r="BI106" s="128"/>
      <c r="BJ106" s="54"/>
      <c r="BK106" s="64"/>
      <c r="BL106" s="69"/>
    </row>
    <row r="107" spans="1:64" x14ac:dyDescent="0.15">
      <c r="A107" s="2" t="s">
        <v>15</v>
      </c>
      <c r="C107" s="21">
        <v>1</v>
      </c>
      <c r="D107" s="128"/>
      <c r="E107" s="54"/>
      <c r="F107" s="64"/>
      <c r="G107" s="69"/>
      <c r="H107" s="127"/>
      <c r="J107" s="21">
        <v>2</v>
      </c>
      <c r="K107" s="128"/>
      <c r="L107" s="54"/>
      <c r="M107" s="64"/>
      <c r="N107" s="69"/>
      <c r="O107" s="127"/>
      <c r="Q107" s="21">
        <v>2</v>
      </c>
      <c r="R107" s="128"/>
      <c r="S107" s="54"/>
      <c r="T107" s="64"/>
      <c r="U107" s="69"/>
      <c r="V107" s="127"/>
      <c r="X107" s="21">
        <v>1</v>
      </c>
      <c r="Y107" s="128"/>
      <c r="Z107" s="54"/>
      <c r="AA107" s="64"/>
      <c r="AB107" s="69"/>
      <c r="AD107" s="21"/>
      <c r="AE107" s="128"/>
      <c r="AF107" s="54"/>
      <c r="AG107" s="64"/>
      <c r="AH107" s="69"/>
      <c r="AJ107" s="21"/>
      <c r="AK107" s="128"/>
      <c r="AL107" s="54"/>
      <c r="AM107" s="64"/>
      <c r="AN107" s="69"/>
      <c r="AP107" s="21"/>
      <c r="AQ107" s="128"/>
      <c r="AR107" s="54"/>
      <c r="AS107" s="64"/>
      <c r="AT107" s="69"/>
      <c r="AV107" s="21"/>
      <c r="AW107" s="128"/>
      <c r="AX107" s="54"/>
      <c r="AY107" s="64"/>
      <c r="AZ107" s="69"/>
      <c r="BB107" s="21"/>
      <c r="BC107" s="128"/>
      <c r="BD107" s="54"/>
      <c r="BE107" s="64"/>
      <c r="BF107" s="69"/>
      <c r="BH107" s="21"/>
      <c r="BI107" s="128"/>
      <c r="BJ107" s="54"/>
      <c r="BK107" s="64"/>
      <c r="BL107" s="69"/>
    </row>
    <row r="108" spans="1:64" x14ac:dyDescent="0.15">
      <c r="A108" s="2" t="s">
        <v>5</v>
      </c>
      <c r="B108">
        <v>2</v>
      </c>
      <c r="C108" s="21">
        <v>1</v>
      </c>
      <c r="D108" s="128"/>
      <c r="E108" s="54">
        <v>2</v>
      </c>
      <c r="F108" s="64">
        <v>2</v>
      </c>
      <c r="G108" s="69">
        <v>1</v>
      </c>
      <c r="H108" s="127">
        <v>1</v>
      </c>
      <c r="I108">
        <v>1</v>
      </c>
      <c r="J108" s="21">
        <v>1</v>
      </c>
      <c r="K108" s="128">
        <v>1</v>
      </c>
      <c r="L108" s="54">
        <v>1</v>
      </c>
      <c r="M108" s="64">
        <v>1</v>
      </c>
      <c r="N108" s="69">
        <v>1</v>
      </c>
      <c r="O108" s="127">
        <v>1</v>
      </c>
      <c r="P108">
        <v>1</v>
      </c>
      <c r="Q108" s="21">
        <v>1</v>
      </c>
      <c r="R108" s="128">
        <v>1</v>
      </c>
      <c r="S108" s="54">
        <v>1</v>
      </c>
      <c r="T108" s="64">
        <v>1</v>
      </c>
      <c r="U108" s="69"/>
      <c r="V108" s="127"/>
      <c r="W108">
        <v>2</v>
      </c>
      <c r="X108" s="21">
        <v>1</v>
      </c>
      <c r="Y108" s="128">
        <v>1</v>
      </c>
      <c r="Z108" s="54">
        <v>1</v>
      </c>
      <c r="AA108" s="64">
        <v>1</v>
      </c>
      <c r="AB108" s="69"/>
      <c r="AC108">
        <v>3</v>
      </c>
      <c r="AD108" s="21">
        <v>2</v>
      </c>
      <c r="AE108" s="128">
        <v>1</v>
      </c>
      <c r="AF108" s="54">
        <v>1</v>
      </c>
      <c r="AG108" s="64">
        <v>1</v>
      </c>
      <c r="AH108" s="69">
        <v>1</v>
      </c>
      <c r="AJ108" s="21">
        <v>2</v>
      </c>
      <c r="AK108" s="128">
        <v>1</v>
      </c>
      <c r="AL108" s="54">
        <v>1</v>
      </c>
      <c r="AM108" s="64">
        <v>2</v>
      </c>
      <c r="AN108" s="69">
        <v>1</v>
      </c>
      <c r="AP108" s="21"/>
      <c r="AQ108" s="128"/>
      <c r="AR108" s="54">
        <v>1</v>
      </c>
      <c r="AS108" s="64">
        <v>1</v>
      </c>
      <c r="AT108" s="69">
        <v>1</v>
      </c>
      <c r="AU108">
        <v>1</v>
      </c>
      <c r="AV108" s="21">
        <v>1</v>
      </c>
      <c r="AW108" s="128">
        <v>1</v>
      </c>
      <c r="AX108" s="54">
        <v>1</v>
      </c>
      <c r="AY108" s="64"/>
      <c r="AZ108" s="69">
        <v>1</v>
      </c>
      <c r="BB108" s="21"/>
      <c r="BC108" s="128"/>
      <c r="BD108" s="54"/>
      <c r="BE108" s="64"/>
      <c r="BF108" s="69"/>
      <c r="BG108">
        <v>1</v>
      </c>
      <c r="BH108" s="21"/>
      <c r="BI108" s="128">
        <v>1</v>
      </c>
      <c r="BJ108" s="54">
        <v>1</v>
      </c>
      <c r="BK108" s="64"/>
      <c r="BL108" s="69">
        <v>1</v>
      </c>
    </row>
    <row r="109" spans="1:64" x14ac:dyDescent="0.15">
      <c r="A109" s="2" t="s">
        <v>46</v>
      </c>
      <c r="B109">
        <v>2</v>
      </c>
      <c r="C109" s="21"/>
      <c r="D109" s="128"/>
      <c r="E109" s="54">
        <v>1</v>
      </c>
      <c r="F109" s="64">
        <v>1</v>
      </c>
      <c r="G109" s="69">
        <v>1</v>
      </c>
      <c r="H109" s="127">
        <v>1</v>
      </c>
      <c r="J109" s="21">
        <v>1</v>
      </c>
      <c r="K109" s="128">
        <v>1</v>
      </c>
      <c r="L109" s="54">
        <v>2</v>
      </c>
      <c r="M109" s="64">
        <v>2</v>
      </c>
      <c r="N109" s="69">
        <v>2</v>
      </c>
      <c r="O109" s="127">
        <v>1</v>
      </c>
      <c r="Q109" s="21"/>
      <c r="R109" s="128"/>
      <c r="S109" s="54"/>
      <c r="T109" s="64"/>
      <c r="U109" s="69"/>
      <c r="V109" s="127"/>
      <c r="X109" s="21"/>
      <c r="Y109" s="128"/>
      <c r="Z109" s="54"/>
      <c r="AA109" s="64"/>
      <c r="AB109" s="69"/>
      <c r="AD109" s="21"/>
      <c r="AE109" s="128"/>
      <c r="AF109" s="54"/>
      <c r="AG109" s="64"/>
      <c r="AH109" s="69"/>
      <c r="AJ109" s="21"/>
      <c r="AK109" s="128"/>
      <c r="AL109" s="54"/>
      <c r="AM109" s="64"/>
      <c r="AN109" s="69"/>
      <c r="AO109">
        <v>3</v>
      </c>
      <c r="AP109" s="21">
        <v>1</v>
      </c>
      <c r="AQ109" s="128">
        <v>1</v>
      </c>
      <c r="AR109" s="54">
        <v>1</v>
      </c>
      <c r="AS109" s="64">
        <v>2</v>
      </c>
      <c r="AT109" s="69">
        <v>1</v>
      </c>
      <c r="AV109" s="21">
        <v>1</v>
      </c>
      <c r="AW109" s="128">
        <v>2</v>
      </c>
      <c r="AX109" s="54">
        <v>2</v>
      </c>
      <c r="AY109" s="64">
        <v>3</v>
      </c>
      <c r="AZ109" s="69">
        <v>2</v>
      </c>
      <c r="BB109" s="21"/>
      <c r="BC109" s="128"/>
      <c r="BD109" s="54"/>
      <c r="BE109" s="64"/>
      <c r="BF109" s="69"/>
      <c r="BH109" s="21"/>
      <c r="BI109" s="128"/>
      <c r="BJ109" s="54"/>
      <c r="BK109" s="64"/>
      <c r="BL109" s="69"/>
    </row>
    <row r="110" spans="1:64" x14ac:dyDescent="0.15">
      <c r="A110" s="2" t="s">
        <v>228</v>
      </c>
      <c r="C110" s="21"/>
      <c r="D110" s="128"/>
      <c r="E110" s="54"/>
      <c r="F110" s="64"/>
      <c r="G110" s="69"/>
      <c r="H110" s="127"/>
      <c r="J110" s="21"/>
      <c r="K110" s="128"/>
      <c r="L110" s="54">
        <v>1</v>
      </c>
      <c r="M110" s="64"/>
      <c r="N110" s="69"/>
      <c r="O110" s="127">
        <v>1</v>
      </c>
      <c r="Q110" s="21"/>
      <c r="R110" s="128"/>
      <c r="S110" s="54"/>
      <c r="T110" s="64"/>
      <c r="U110" s="69"/>
      <c r="V110" s="127"/>
      <c r="X110" s="21"/>
      <c r="Y110" s="128"/>
      <c r="Z110" s="54"/>
      <c r="AA110" s="64"/>
      <c r="AB110" s="69"/>
      <c r="AD110" s="21"/>
      <c r="AE110" s="128"/>
      <c r="AF110" s="54"/>
      <c r="AG110" s="64"/>
      <c r="AH110" s="69"/>
      <c r="AJ110" s="21"/>
      <c r="AK110" s="128"/>
      <c r="AL110" s="54"/>
      <c r="AM110" s="64"/>
      <c r="AN110" s="69"/>
      <c r="AP110" s="21"/>
      <c r="AQ110" s="128"/>
      <c r="AR110" s="54"/>
      <c r="AS110" s="64"/>
      <c r="AT110" s="69"/>
      <c r="AV110" s="21"/>
      <c r="AW110" s="128"/>
      <c r="AX110" s="54"/>
      <c r="AY110" s="64"/>
      <c r="AZ110" s="69"/>
      <c r="BB110" s="21"/>
      <c r="BC110" s="128"/>
      <c r="BD110" s="54"/>
      <c r="BE110" s="64"/>
      <c r="BF110" s="69"/>
      <c r="BH110" s="21"/>
      <c r="BI110" s="128"/>
      <c r="BJ110" s="54"/>
      <c r="BK110" s="64"/>
      <c r="BL110" s="69"/>
    </row>
    <row r="111" spans="1:64" x14ac:dyDescent="0.15">
      <c r="A111" s="5" t="s">
        <v>133</v>
      </c>
      <c r="C111" s="21"/>
      <c r="D111" s="128"/>
      <c r="E111" s="54"/>
      <c r="F111" s="64"/>
      <c r="G111" s="69"/>
      <c r="H111" s="127"/>
      <c r="J111" s="21"/>
      <c r="K111" s="128"/>
      <c r="L111" s="54"/>
      <c r="M111" s="64"/>
      <c r="N111" s="69"/>
      <c r="O111" s="127"/>
      <c r="Q111" s="21"/>
      <c r="R111" s="128"/>
      <c r="S111" s="54"/>
      <c r="T111" s="64"/>
      <c r="U111" s="69"/>
      <c r="V111" s="127"/>
      <c r="X111" s="21"/>
      <c r="Y111" s="128"/>
      <c r="Z111" s="54"/>
      <c r="AA111" s="64"/>
      <c r="AB111" s="69"/>
      <c r="AD111" s="21"/>
      <c r="AE111" s="128"/>
      <c r="AF111" s="54"/>
      <c r="AG111" s="64"/>
      <c r="AH111" s="69"/>
      <c r="AJ111" s="21"/>
      <c r="AK111" s="128"/>
      <c r="AL111" s="54"/>
      <c r="AM111" s="64"/>
      <c r="AN111" s="69"/>
      <c r="AP111" s="21"/>
      <c r="AQ111" s="128"/>
      <c r="AR111" s="54"/>
      <c r="AS111" s="64"/>
      <c r="AT111" s="69"/>
      <c r="AV111" s="21"/>
      <c r="AW111" s="128"/>
      <c r="AX111" s="54"/>
      <c r="AY111" s="64"/>
      <c r="AZ111" s="69"/>
      <c r="BB111" s="21"/>
      <c r="BC111" s="128"/>
      <c r="BD111" s="54"/>
      <c r="BE111" s="64"/>
      <c r="BF111" s="69"/>
      <c r="BH111" s="21"/>
      <c r="BI111" s="128"/>
      <c r="BJ111" s="54"/>
      <c r="BK111" s="64"/>
      <c r="BL111" s="69"/>
    </row>
    <row r="112" spans="1:64" x14ac:dyDescent="0.15">
      <c r="A112" s="5" t="s">
        <v>212</v>
      </c>
      <c r="C112" s="21"/>
      <c r="D112" s="128"/>
      <c r="E112" s="54"/>
      <c r="F112" s="64"/>
      <c r="G112" s="69"/>
      <c r="H112" s="127"/>
      <c r="J112" s="21"/>
      <c r="K112" s="128"/>
      <c r="L112" s="54"/>
      <c r="M112" s="64"/>
      <c r="N112" s="69"/>
      <c r="O112" s="127"/>
      <c r="Q112" s="21"/>
      <c r="R112" s="128"/>
      <c r="S112" s="54"/>
      <c r="T112" s="64"/>
      <c r="U112" s="69"/>
      <c r="V112" s="127"/>
      <c r="X112" s="21"/>
      <c r="Y112" s="128"/>
      <c r="Z112" s="54"/>
      <c r="AA112" s="64"/>
      <c r="AB112" s="69"/>
      <c r="AD112" s="21"/>
      <c r="AE112" s="128"/>
      <c r="AF112" s="54"/>
      <c r="AG112" s="64"/>
      <c r="AH112" s="69"/>
      <c r="AJ112" s="21"/>
      <c r="AK112" s="128"/>
      <c r="AL112" s="54"/>
      <c r="AM112" s="64"/>
      <c r="AN112" s="69"/>
      <c r="AP112" s="21"/>
      <c r="AQ112" s="128"/>
      <c r="AR112" s="54"/>
      <c r="AS112" s="64"/>
      <c r="AT112" s="69"/>
      <c r="AV112" s="21"/>
      <c r="AW112" s="128"/>
      <c r="AX112" s="54"/>
      <c r="AY112" s="64"/>
      <c r="AZ112" s="69"/>
      <c r="BB112" s="21"/>
      <c r="BC112" s="128"/>
      <c r="BD112" s="54"/>
      <c r="BE112" s="64"/>
      <c r="BF112" s="69"/>
      <c r="BH112" s="21"/>
      <c r="BI112" s="128"/>
      <c r="BJ112" s="54"/>
      <c r="BK112" s="64"/>
      <c r="BL112" s="69"/>
    </row>
    <row r="113" spans="1:64" x14ac:dyDescent="0.15">
      <c r="A113" s="2" t="s">
        <v>45</v>
      </c>
      <c r="C113" s="21"/>
      <c r="D113" s="128"/>
      <c r="E113" s="54"/>
      <c r="F113" s="64"/>
      <c r="G113" s="69"/>
      <c r="H113" s="127"/>
      <c r="J113" s="21"/>
      <c r="K113" s="128"/>
      <c r="L113" s="54"/>
      <c r="M113" s="64">
        <v>1</v>
      </c>
      <c r="N113" s="69"/>
      <c r="O113" s="127"/>
      <c r="Q113" s="21"/>
      <c r="R113" s="128"/>
      <c r="S113" s="54"/>
      <c r="T113" s="64"/>
      <c r="U113" s="69"/>
      <c r="V113" s="127"/>
      <c r="X113" s="21"/>
      <c r="Y113" s="128"/>
      <c r="Z113" s="54"/>
      <c r="AA113" s="64"/>
      <c r="AB113" s="69"/>
      <c r="AD113" s="21"/>
      <c r="AE113" s="128"/>
      <c r="AF113" s="54"/>
      <c r="AG113" s="64"/>
      <c r="AH113" s="69"/>
      <c r="AJ113" s="21"/>
      <c r="AK113" s="128">
        <v>1</v>
      </c>
      <c r="AL113" s="54">
        <v>1</v>
      </c>
      <c r="AM113" s="64">
        <v>2</v>
      </c>
      <c r="AN113" s="69">
        <v>1</v>
      </c>
      <c r="AP113" s="21"/>
      <c r="AQ113" s="128"/>
      <c r="AR113" s="54"/>
      <c r="AS113" s="64"/>
      <c r="AT113" s="69"/>
      <c r="AV113" s="21"/>
      <c r="AW113" s="128"/>
      <c r="AX113" s="54"/>
      <c r="AY113" s="64"/>
      <c r="AZ113" s="69"/>
      <c r="BB113" s="21"/>
      <c r="BC113" s="128"/>
      <c r="BD113" s="54"/>
      <c r="BE113" s="64"/>
      <c r="BF113" s="69"/>
      <c r="BH113" s="21"/>
      <c r="BI113" s="128"/>
      <c r="BJ113" s="54"/>
      <c r="BK113" s="64"/>
      <c r="BL113" s="69"/>
    </row>
    <row r="114" spans="1:64" x14ac:dyDescent="0.15">
      <c r="A114" s="2" t="s">
        <v>16</v>
      </c>
      <c r="C114" s="21">
        <v>1</v>
      </c>
      <c r="D114" s="128"/>
      <c r="E114" s="54">
        <v>1</v>
      </c>
      <c r="F114" s="64">
        <v>1</v>
      </c>
      <c r="G114" s="69">
        <v>1</v>
      </c>
      <c r="H114" s="127">
        <v>2</v>
      </c>
      <c r="J114" s="21">
        <v>2</v>
      </c>
      <c r="K114" s="128">
        <v>1</v>
      </c>
      <c r="L114" s="54">
        <v>1</v>
      </c>
      <c r="M114" s="64">
        <v>2</v>
      </c>
      <c r="N114" s="69">
        <v>1</v>
      </c>
      <c r="O114" s="127">
        <v>2</v>
      </c>
      <c r="Q114" s="21">
        <v>1</v>
      </c>
      <c r="R114" s="128"/>
      <c r="S114" s="54">
        <v>1</v>
      </c>
      <c r="T114" s="64">
        <v>1</v>
      </c>
      <c r="U114" s="69">
        <v>2</v>
      </c>
      <c r="V114" s="127"/>
      <c r="X114" s="21">
        <v>1</v>
      </c>
      <c r="Y114" s="128"/>
      <c r="Z114" s="54">
        <v>1</v>
      </c>
      <c r="AA114" s="64">
        <v>1</v>
      </c>
      <c r="AB114" s="69">
        <v>1</v>
      </c>
      <c r="AD114" s="21"/>
      <c r="AE114" s="128"/>
      <c r="AF114" s="54"/>
      <c r="AG114" s="64"/>
      <c r="AH114" s="69"/>
      <c r="AJ114" s="21">
        <v>1</v>
      </c>
      <c r="AK114" s="128">
        <v>1</v>
      </c>
      <c r="AL114" s="54">
        <v>1</v>
      </c>
      <c r="AM114" s="64">
        <v>2</v>
      </c>
      <c r="AN114" s="69">
        <v>2</v>
      </c>
      <c r="AO114">
        <v>1</v>
      </c>
      <c r="AP114" s="21">
        <v>1</v>
      </c>
      <c r="AQ114" s="128">
        <v>1</v>
      </c>
      <c r="AR114" s="54">
        <v>2</v>
      </c>
      <c r="AS114" s="64">
        <v>2</v>
      </c>
      <c r="AT114" s="69">
        <v>3</v>
      </c>
      <c r="AV114" s="21"/>
      <c r="AW114" s="128"/>
      <c r="AX114" s="54"/>
      <c r="AY114" s="64"/>
      <c r="AZ114" s="69"/>
      <c r="BB114" s="21"/>
      <c r="BC114" s="128"/>
      <c r="BD114" s="54"/>
      <c r="BE114" s="64"/>
      <c r="BF114" s="69"/>
      <c r="BH114" s="21"/>
      <c r="BI114" s="128"/>
      <c r="BJ114" s="54"/>
      <c r="BK114" s="64"/>
      <c r="BL114" s="69"/>
    </row>
    <row r="115" spans="1:64" x14ac:dyDescent="0.15">
      <c r="A115" s="2" t="s">
        <v>219</v>
      </c>
      <c r="C115" s="21"/>
      <c r="D115" s="128"/>
      <c r="E115" s="54"/>
      <c r="F115" s="64"/>
      <c r="G115" s="69"/>
      <c r="H115" s="127"/>
      <c r="J115" s="21"/>
      <c r="K115" s="128"/>
      <c r="L115" s="54"/>
      <c r="M115" s="64"/>
      <c r="N115" s="69"/>
      <c r="O115" s="127"/>
      <c r="Q115" s="21"/>
      <c r="R115" s="128"/>
      <c r="S115" s="54"/>
      <c r="T115" s="64"/>
      <c r="U115" s="69"/>
      <c r="V115" s="127"/>
      <c r="X115" s="21"/>
      <c r="Y115" s="128"/>
      <c r="Z115" s="54"/>
      <c r="AA115" s="64"/>
      <c r="AB115" s="69"/>
      <c r="AD115" s="21"/>
      <c r="AE115" s="128"/>
      <c r="AF115" s="54"/>
      <c r="AG115" s="64"/>
      <c r="AH115" s="69"/>
      <c r="AJ115" s="21"/>
      <c r="AK115" s="128"/>
      <c r="AL115" s="54"/>
      <c r="AM115" s="64"/>
      <c r="AN115" s="69"/>
      <c r="AP115" s="21"/>
      <c r="AQ115" s="128"/>
      <c r="AR115" s="54"/>
      <c r="AS115" s="64"/>
      <c r="AT115" s="69"/>
      <c r="AV115" s="21"/>
      <c r="AW115" s="128"/>
      <c r="AX115" s="54"/>
      <c r="AY115" s="64"/>
      <c r="AZ115" s="69"/>
      <c r="BB115" s="21"/>
      <c r="BC115" s="128"/>
      <c r="BD115" s="54"/>
      <c r="BE115" s="64"/>
      <c r="BF115" s="69"/>
      <c r="BH115" s="21"/>
      <c r="BI115" s="128"/>
      <c r="BJ115" s="54"/>
      <c r="BK115" s="64"/>
      <c r="BL115" s="69"/>
    </row>
    <row r="116" spans="1:64" x14ac:dyDescent="0.15">
      <c r="A116" s="5" t="s">
        <v>70</v>
      </c>
      <c r="C116" s="21"/>
      <c r="D116" s="128"/>
      <c r="E116" s="54"/>
      <c r="F116" s="64"/>
      <c r="G116" s="69"/>
      <c r="H116" s="127"/>
      <c r="J116" s="21"/>
      <c r="K116" s="128"/>
      <c r="L116" s="54"/>
      <c r="M116" s="64"/>
      <c r="N116" s="69"/>
      <c r="O116" s="127"/>
      <c r="Q116" s="21"/>
      <c r="R116" s="128"/>
      <c r="S116" s="54"/>
      <c r="T116" s="64"/>
      <c r="U116" s="69"/>
      <c r="V116" s="127"/>
      <c r="X116" s="21"/>
      <c r="Y116" s="128"/>
      <c r="Z116" s="54"/>
      <c r="AA116" s="64"/>
      <c r="AB116" s="69"/>
      <c r="AD116" s="21"/>
      <c r="AE116" s="128"/>
      <c r="AF116" s="54"/>
      <c r="AG116" s="64"/>
      <c r="AH116" s="69"/>
      <c r="AJ116" s="21"/>
      <c r="AK116" s="128"/>
      <c r="AL116" s="54"/>
      <c r="AM116" s="64"/>
      <c r="AN116" s="69"/>
      <c r="AP116" s="21"/>
      <c r="AQ116" s="128"/>
      <c r="AR116" s="54"/>
      <c r="AS116" s="64"/>
      <c r="AT116" s="69"/>
      <c r="AV116" s="21"/>
      <c r="AW116" s="128"/>
      <c r="AX116" s="54"/>
      <c r="AY116" s="64"/>
      <c r="AZ116" s="69"/>
      <c r="BB116" s="21"/>
      <c r="BC116" s="128"/>
      <c r="BD116" s="54"/>
      <c r="BE116" s="64"/>
      <c r="BF116" s="69"/>
      <c r="BH116" s="21"/>
      <c r="BI116" s="128"/>
      <c r="BJ116" s="54"/>
      <c r="BK116" s="64"/>
      <c r="BL116" s="69"/>
    </row>
    <row r="117" spans="1:64" x14ac:dyDescent="0.15">
      <c r="A117" s="5" t="s">
        <v>221</v>
      </c>
      <c r="C117" s="21"/>
      <c r="D117" s="128"/>
      <c r="E117" s="54"/>
      <c r="F117" s="64"/>
      <c r="G117" s="69"/>
      <c r="H117" s="127"/>
      <c r="J117" s="21"/>
      <c r="K117" s="128"/>
      <c r="L117" s="54"/>
      <c r="M117" s="64"/>
      <c r="N117" s="69"/>
      <c r="O117" s="127"/>
      <c r="Q117" s="21"/>
      <c r="R117" s="128"/>
      <c r="S117" s="54"/>
      <c r="T117" s="64"/>
      <c r="U117" s="69"/>
      <c r="V117" s="127"/>
      <c r="X117" s="21"/>
      <c r="Y117" s="128"/>
      <c r="Z117" s="54"/>
      <c r="AA117" s="64"/>
      <c r="AB117" s="69"/>
      <c r="AD117" s="21"/>
      <c r="AE117" s="128"/>
      <c r="AF117" s="54"/>
      <c r="AG117" s="64"/>
      <c r="AH117" s="69"/>
      <c r="AJ117" s="21"/>
      <c r="AK117" s="128"/>
      <c r="AL117" s="54"/>
      <c r="AM117" s="64"/>
      <c r="AN117" s="69"/>
      <c r="AP117" s="21"/>
      <c r="AQ117" s="128"/>
      <c r="AR117" s="54"/>
      <c r="AS117" s="64"/>
      <c r="AT117" s="69"/>
      <c r="AV117" s="21"/>
      <c r="AW117" s="128"/>
      <c r="AX117" s="54"/>
      <c r="AY117" s="64"/>
      <c r="AZ117" s="69"/>
      <c r="BB117" s="21"/>
      <c r="BC117" s="128"/>
      <c r="BD117" s="54"/>
      <c r="BE117" s="64"/>
      <c r="BF117" s="69"/>
      <c r="BH117" s="21"/>
      <c r="BI117" s="128"/>
      <c r="BJ117" s="54"/>
      <c r="BK117" s="64"/>
      <c r="BL117" s="69"/>
    </row>
    <row r="118" spans="1:64" x14ac:dyDescent="0.15">
      <c r="A118" s="5" t="s">
        <v>199</v>
      </c>
      <c r="C118" s="21"/>
      <c r="D118" s="128"/>
      <c r="E118" s="54"/>
      <c r="F118" s="64"/>
      <c r="G118" s="69"/>
      <c r="H118" s="127"/>
      <c r="J118" s="21"/>
      <c r="K118" s="128"/>
      <c r="L118" s="54"/>
      <c r="M118" s="64"/>
      <c r="N118" s="69"/>
      <c r="O118" s="127"/>
      <c r="Q118" s="21"/>
      <c r="R118" s="128"/>
      <c r="S118" s="54"/>
      <c r="T118" s="64"/>
      <c r="U118" s="69"/>
      <c r="V118" s="127"/>
      <c r="X118" s="21"/>
      <c r="Y118" s="128"/>
      <c r="Z118" s="54"/>
      <c r="AA118" s="64"/>
      <c r="AB118" s="69"/>
      <c r="AD118" s="21"/>
      <c r="AE118" s="128"/>
      <c r="AF118" s="54"/>
      <c r="AG118" s="64"/>
      <c r="AH118" s="69"/>
      <c r="AJ118" s="21"/>
      <c r="AK118" s="128"/>
      <c r="AL118" s="54"/>
      <c r="AM118" s="64"/>
      <c r="AN118" s="69"/>
      <c r="AP118" s="21"/>
      <c r="AQ118" s="128"/>
      <c r="AR118" s="54"/>
      <c r="AS118" s="64"/>
      <c r="AT118" s="69"/>
      <c r="AV118" s="21"/>
      <c r="AW118" s="128"/>
      <c r="AX118" s="54"/>
      <c r="AY118" s="64"/>
      <c r="AZ118" s="69"/>
      <c r="BB118" s="21"/>
      <c r="BC118" s="128"/>
      <c r="BD118" s="54"/>
      <c r="BE118" s="64"/>
      <c r="BF118" s="69"/>
      <c r="BH118" s="21"/>
      <c r="BI118" s="128"/>
      <c r="BJ118" s="54"/>
      <c r="BK118" s="64"/>
      <c r="BL118" s="69"/>
    </row>
    <row r="119" spans="1:64" x14ac:dyDescent="0.15">
      <c r="A119" s="5" t="s">
        <v>222</v>
      </c>
      <c r="C119" s="21"/>
      <c r="D119" s="128"/>
      <c r="E119" s="54"/>
      <c r="F119" s="64"/>
      <c r="G119" s="69"/>
      <c r="H119" s="127"/>
      <c r="J119" s="21"/>
      <c r="K119" s="128"/>
      <c r="L119" s="54"/>
      <c r="M119" s="64"/>
      <c r="N119" s="69"/>
      <c r="O119" s="127"/>
      <c r="Q119" s="21"/>
      <c r="R119" s="128"/>
      <c r="S119" s="54"/>
      <c r="T119" s="64"/>
      <c r="U119" s="69"/>
      <c r="V119" s="127"/>
      <c r="X119" s="21"/>
      <c r="Y119" s="128"/>
      <c r="Z119" s="54"/>
      <c r="AA119" s="64"/>
      <c r="AB119" s="69"/>
      <c r="AD119" s="21"/>
      <c r="AE119" s="128"/>
      <c r="AF119" s="54"/>
      <c r="AG119" s="64"/>
      <c r="AH119" s="69"/>
      <c r="AJ119" s="21"/>
      <c r="AK119" s="128"/>
      <c r="AL119" s="54"/>
      <c r="AM119" s="64"/>
      <c r="AN119" s="69"/>
      <c r="AP119" s="21"/>
      <c r="AQ119" s="128"/>
      <c r="AR119" s="54"/>
      <c r="AS119" s="64"/>
      <c r="AT119" s="69"/>
      <c r="AV119" s="21"/>
      <c r="AW119" s="128"/>
      <c r="AX119" s="54"/>
      <c r="AY119" s="64"/>
      <c r="AZ119" s="69"/>
      <c r="BB119" s="21"/>
      <c r="BC119" s="128"/>
      <c r="BD119" s="54"/>
      <c r="BE119" s="64"/>
      <c r="BF119" s="69"/>
      <c r="BH119" s="21"/>
      <c r="BI119" s="128"/>
      <c r="BJ119" s="54"/>
      <c r="BK119" s="64"/>
      <c r="BL119" s="69"/>
    </row>
    <row r="120" spans="1:64" x14ac:dyDescent="0.15">
      <c r="A120" s="2" t="s">
        <v>62</v>
      </c>
      <c r="C120" s="21"/>
      <c r="D120" s="128"/>
      <c r="E120" s="54"/>
      <c r="F120" s="64"/>
      <c r="G120" s="69"/>
      <c r="H120" s="127"/>
      <c r="J120" s="21"/>
      <c r="K120" s="128"/>
      <c r="L120" s="54"/>
      <c r="M120" s="64"/>
      <c r="N120" s="69"/>
      <c r="O120" s="127"/>
      <c r="Q120" s="21"/>
      <c r="R120" s="128"/>
      <c r="S120" s="54"/>
      <c r="T120" s="64"/>
      <c r="U120" s="69"/>
      <c r="V120" s="127"/>
      <c r="X120" s="21"/>
      <c r="Y120" s="128"/>
      <c r="Z120" s="54"/>
      <c r="AA120" s="64"/>
      <c r="AB120" s="69"/>
      <c r="AD120" s="21"/>
      <c r="AE120" s="128"/>
      <c r="AF120" s="54"/>
      <c r="AG120" s="64"/>
      <c r="AH120" s="69"/>
      <c r="AJ120" s="21"/>
      <c r="AK120" s="128"/>
      <c r="AL120" s="54"/>
      <c r="AM120" s="64"/>
      <c r="AN120" s="69"/>
      <c r="AP120" s="21"/>
      <c r="AQ120" s="128"/>
      <c r="AR120" s="54"/>
      <c r="AS120" s="64"/>
      <c r="AT120" s="69"/>
      <c r="AV120" s="21"/>
      <c r="AW120" s="128"/>
      <c r="AX120" s="54"/>
      <c r="AY120" s="64"/>
      <c r="AZ120" s="69"/>
      <c r="BB120" s="21"/>
      <c r="BC120" s="128"/>
      <c r="BD120" s="54"/>
      <c r="BE120" s="64"/>
      <c r="BF120" s="69"/>
      <c r="BH120" s="21"/>
      <c r="BI120" s="128"/>
      <c r="BJ120" s="54"/>
      <c r="BK120" s="64"/>
      <c r="BL120" s="69"/>
    </row>
    <row r="121" spans="1:64" x14ac:dyDescent="0.15">
      <c r="A121" s="2" t="s">
        <v>17</v>
      </c>
      <c r="C121" s="21"/>
      <c r="D121" s="128"/>
      <c r="E121" s="54"/>
      <c r="F121" s="64"/>
      <c r="G121" s="69"/>
      <c r="H121" s="127"/>
      <c r="J121" s="21"/>
      <c r="K121" s="128">
        <v>1</v>
      </c>
      <c r="L121" s="54"/>
      <c r="M121" s="64">
        <v>1</v>
      </c>
      <c r="N121" s="69"/>
      <c r="O121" s="127"/>
      <c r="Q121" s="21"/>
      <c r="R121" s="128"/>
      <c r="S121" s="54"/>
      <c r="T121" s="64"/>
      <c r="U121" s="69"/>
      <c r="V121" s="127"/>
      <c r="X121" s="21"/>
      <c r="Y121" s="128"/>
      <c r="Z121" s="54"/>
      <c r="AA121" s="64"/>
      <c r="AB121" s="69"/>
      <c r="AD121" s="21"/>
      <c r="AE121" s="128"/>
      <c r="AF121" s="54"/>
      <c r="AG121" s="64"/>
      <c r="AH121" s="69"/>
      <c r="AJ121" s="21"/>
      <c r="AK121" s="128"/>
      <c r="AL121" s="54"/>
      <c r="AM121" s="64"/>
      <c r="AN121" s="69"/>
      <c r="AP121" s="21"/>
      <c r="AQ121" s="128"/>
      <c r="AR121" s="54"/>
      <c r="AS121" s="64"/>
      <c r="AT121" s="69"/>
      <c r="AV121" s="21"/>
      <c r="AW121" s="128"/>
      <c r="AX121" s="54"/>
      <c r="AY121" s="64"/>
      <c r="AZ121" s="69"/>
      <c r="BB121" s="21"/>
      <c r="BC121" s="128"/>
      <c r="BD121" s="54"/>
      <c r="BE121" s="64"/>
      <c r="BF121" s="69"/>
      <c r="BH121" s="21"/>
      <c r="BI121" s="128"/>
      <c r="BJ121" s="54"/>
      <c r="BK121" s="64"/>
      <c r="BL121" s="69"/>
    </row>
    <row r="122" spans="1:64" x14ac:dyDescent="0.15">
      <c r="A122" s="2" t="s">
        <v>49</v>
      </c>
      <c r="C122" s="21"/>
      <c r="D122" s="128">
        <v>1</v>
      </c>
      <c r="E122" s="54">
        <v>3</v>
      </c>
      <c r="F122" s="64">
        <v>2</v>
      </c>
      <c r="G122" s="69">
        <v>2</v>
      </c>
      <c r="H122" s="127">
        <v>1</v>
      </c>
      <c r="J122" s="21"/>
      <c r="K122" s="128"/>
      <c r="L122" s="54">
        <v>2</v>
      </c>
      <c r="M122" s="64">
        <v>2</v>
      </c>
      <c r="N122" s="69">
        <v>3</v>
      </c>
      <c r="O122" s="127">
        <v>1</v>
      </c>
      <c r="Q122" s="21"/>
      <c r="R122" s="128">
        <v>1</v>
      </c>
      <c r="S122" s="54">
        <v>2</v>
      </c>
      <c r="T122" s="64">
        <v>2</v>
      </c>
      <c r="U122" s="69">
        <v>2</v>
      </c>
      <c r="V122" s="127">
        <v>2</v>
      </c>
      <c r="X122" s="21">
        <v>2</v>
      </c>
      <c r="Y122" s="128">
        <v>2</v>
      </c>
      <c r="Z122" s="54">
        <v>3</v>
      </c>
      <c r="AA122" s="64">
        <v>3</v>
      </c>
      <c r="AB122" s="69">
        <v>3</v>
      </c>
      <c r="AD122" s="21">
        <v>3</v>
      </c>
      <c r="AE122" s="128">
        <v>3</v>
      </c>
      <c r="AF122" s="54">
        <v>2</v>
      </c>
      <c r="AG122" s="64">
        <v>3</v>
      </c>
      <c r="AH122" s="69">
        <v>3</v>
      </c>
      <c r="AJ122" s="21">
        <v>1</v>
      </c>
      <c r="AK122" s="128">
        <v>2</v>
      </c>
      <c r="AL122" s="54">
        <v>1</v>
      </c>
      <c r="AM122" s="64">
        <v>2</v>
      </c>
      <c r="AN122" s="69">
        <v>2</v>
      </c>
      <c r="AP122" s="21">
        <v>3</v>
      </c>
      <c r="AQ122" s="128">
        <v>2</v>
      </c>
      <c r="AR122" s="54">
        <v>1</v>
      </c>
      <c r="AS122" s="64">
        <v>2</v>
      </c>
      <c r="AT122" s="69">
        <v>2</v>
      </c>
      <c r="AV122" s="21"/>
      <c r="AW122" s="128">
        <v>2</v>
      </c>
      <c r="AX122" s="54">
        <v>2</v>
      </c>
      <c r="AY122" s="64">
        <v>2</v>
      </c>
      <c r="AZ122" s="69">
        <v>2</v>
      </c>
      <c r="BB122" s="21">
        <v>2</v>
      </c>
      <c r="BC122" s="128">
        <v>2</v>
      </c>
      <c r="BD122" s="54">
        <v>2</v>
      </c>
      <c r="BE122" s="64">
        <v>2</v>
      </c>
      <c r="BF122" s="69">
        <v>2</v>
      </c>
      <c r="BH122" s="21">
        <v>3</v>
      </c>
      <c r="BI122" s="128">
        <v>3</v>
      </c>
      <c r="BJ122" s="54">
        <v>2</v>
      </c>
      <c r="BK122" s="64">
        <v>2</v>
      </c>
      <c r="BL122" s="69">
        <v>3</v>
      </c>
    </row>
    <row r="123" spans="1:64" x14ac:dyDescent="0.15">
      <c r="A123" s="2" t="s">
        <v>6</v>
      </c>
      <c r="C123" s="21"/>
      <c r="D123" s="128"/>
      <c r="E123" s="54"/>
      <c r="F123" s="64"/>
      <c r="G123" s="69"/>
      <c r="H123" s="127"/>
      <c r="J123" s="21"/>
      <c r="K123" s="128"/>
      <c r="L123" s="54"/>
      <c r="M123" s="64"/>
      <c r="N123" s="69"/>
      <c r="O123" s="127"/>
      <c r="Q123" s="21"/>
      <c r="R123" s="128"/>
      <c r="S123" s="54"/>
      <c r="T123" s="64"/>
      <c r="U123" s="69"/>
      <c r="V123" s="127"/>
      <c r="X123" s="21"/>
      <c r="Y123" s="128"/>
      <c r="Z123" s="54"/>
      <c r="AA123" s="64"/>
      <c r="AB123" s="69"/>
      <c r="AD123" s="21"/>
      <c r="AE123" s="128"/>
      <c r="AF123" s="54"/>
      <c r="AG123" s="64"/>
      <c r="AH123" s="69"/>
      <c r="AJ123" s="21"/>
      <c r="AK123" s="128"/>
      <c r="AL123" s="54"/>
      <c r="AM123" s="64"/>
      <c r="AN123" s="69"/>
      <c r="AP123" s="21"/>
      <c r="AQ123" s="128"/>
      <c r="AR123" s="54"/>
      <c r="AS123" s="64"/>
      <c r="AT123" s="69"/>
      <c r="AV123" s="21"/>
      <c r="AW123" s="128"/>
      <c r="AX123" s="54"/>
      <c r="AY123" s="64"/>
      <c r="AZ123" s="69"/>
      <c r="BB123" s="21"/>
      <c r="BC123" s="128"/>
      <c r="BD123" s="54"/>
      <c r="BE123" s="64"/>
      <c r="BF123" s="69"/>
      <c r="BH123" s="21"/>
      <c r="BI123" s="128"/>
      <c r="BJ123" s="54"/>
      <c r="BK123" s="64"/>
      <c r="BL123" s="69"/>
    </row>
    <row r="124" spans="1:64" x14ac:dyDescent="0.15">
      <c r="A124" s="2" t="s">
        <v>19</v>
      </c>
      <c r="C124" s="21"/>
      <c r="D124" s="128">
        <v>2</v>
      </c>
      <c r="E124" s="54">
        <v>3</v>
      </c>
      <c r="F124" s="64">
        <v>3</v>
      </c>
      <c r="G124" s="69">
        <v>4</v>
      </c>
      <c r="H124" s="127">
        <v>5</v>
      </c>
      <c r="J124" s="21">
        <v>2</v>
      </c>
      <c r="K124" s="128">
        <v>2</v>
      </c>
      <c r="L124" s="54">
        <v>2</v>
      </c>
      <c r="M124" s="64">
        <v>2</v>
      </c>
      <c r="N124" s="69">
        <v>3</v>
      </c>
      <c r="O124" s="127">
        <v>3</v>
      </c>
      <c r="Q124" s="21">
        <v>2</v>
      </c>
      <c r="R124" s="128">
        <v>2</v>
      </c>
      <c r="S124" s="54">
        <v>2</v>
      </c>
      <c r="T124" s="64">
        <v>2</v>
      </c>
      <c r="U124" s="69">
        <v>2</v>
      </c>
      <c r="V124" s="127">
        <v>2</v>
      </c>
      <c r="W124">
        <v>2</v>
      </c>
      <c r="X124" s="21"/>
      <c r="Y124" s="128">
        <v>1</v>
      </c>
      <c r="Z124" s="54"/>
      <c r="AA124" s="64">
        <v>1</v>
      </c>
      <c r="AB124" s="69">
        <v>1</v>
      </c>
      <c r="AC124">
        <v>2</v>
      </c>
      <c r="AD124" s="21">
        <v>2</v>
      </c>
      <c r="AE124" s="128">
        <v>1</v>
      </c>
      <c r="AF124" s="54">
        <v>2</v>
      </c>
      <c r="AG124" s="64">
        <v>2</v>
      </c>
      <c r="AH124" s="69">
        <v>2</v>
      </c>
      <c r="AI124">
        <v>5</v>
      </c>
      <c r="AJ124" s="21">
        <v>1</v>
      </c>
      <c r="AK124" s="128">
        <v>1</v>
      </c>
      <c r="AL124" s="54">
        <v>1</v>
      </c>
      <c r="AM124" s="64">
        <v>1</v>
      </c>
      <c r="AN124" s="69">
        <v>1</v>
      </c>
      <c r="AO124">
        <v>5</v>
      </c>
      <c r="AP124" s="21">
        <v>5</v>
      </c>
      <c r="AQ124" s="128">
        <v>5</v>
      </c>
      <c r="AR124" s="54">
        <v>5</v>
      </c>
      <c r="AS124" s="64">
        <v>5</v>
      </c>
      <c r="AT124" s="69">
        <v>5</v>
      </c>
      <c r="AU124">
        <v>5</v>
      </c>
      <c r="AV124" s="21">
        <v>2</v>
      </c>
      <c r="AW124" s="128">
        <v>1</v>
      </c>
      <c r="AX124" s="54">
        <v>2</v>
      </c>
      <c r="AY124" s="64">
        <v>3</v>
      </c>
      <c r="AZ124" s="69">
        <v>3</v>
      </c>
      <c r="BB124" s="21"/>
      <c r="BC124" s="128"/>
      <c r="BD124" s="54"/>
      <c r="BE124" s="64"/>
      <c r="BF124" s="69"/>
      <c r="BG124">
        <v>1</v>
      </c>
      <c r="BH124" s="21">
        <v>3</v>
      </c>
      <c r="BI124" s="128">
        <v>1</v>
      </c>
      <c r="BJ124" s="54">
        <v>1</v>
      </c>
      <c r="BK124" s="64">
        <v>2</v>
      </c>
      <c r="BL124" s="69">
        <v>2</v>
      </c>
    </row>
    <row r="125" spans="1:64" x14ac:dyDescent="0.15">
      <c r="A125" s="2" t="s">
        <v>68</v>
      </c>
      <c r="C125" s="21"/>
      <c r="D125" s="128"/>
      <c r="E125" s="54"/>
      <c r="F125" s="64"/>
      <c r="G125" s="69"/>
      <c r="H125" s="127"/>
      <c r="J125" s="21"/>
      <c r="K125" s="128"/>
      <c r="L125" s="54"/>
      <c r="M125" s="64"/>
      <c r="N125" s="69"/>
      <c r="O125" s="127"/>
      <c r="Q125" s="21"/>
      <c r="R125" s="128"/>
      <c r="S125" s="54"/>
      <c r="T125" s="64"/>
      <c r="U125" s="69"/>
      <c r="V125" s="127"/>
      <c r="X125" s="21"/>
      <c r="Y125" s="128"/>
      <c r="Z125" s="54"/>
      <c r="AA125" s="64"/>
      <c r="AB125" s="69"/>
      <c r="AD125" s="21"/>
      <c r="AE125" s="128"/>
      <c r="AF125" s="54"/>
      <c r="AG125" s="64"/>
      <c r="AH125" s="69"/>
      <c r="AJ125" s="21"/>
      <c r="AK125" s="128"/>
      <c r="AL125" s="54"/>
      <c r="AM125" s="64"/>
      <c r="AN125" s="69"/>
      <c r="AP125" s="21"/>
      <c r="AQ125" s="128"/>
      <c r="AR125" s="54"/>
      <c r="AS125" s="64"/>
      <c r="AT125" s="69"/>
      <c r="AV125" s="21"/>
      <c r="AW125" s="128"/>
      <c r="AX125" s="54"/>
      <c r="AY125" s="64"/>
      <c r="AZ125" s="69"/>
      <c r="BB125" s="21"/>
      <c r="BC125" s="128"/>
      <c r="BD125" s="54"/>
      <c r="BE125" s="64"/>
      <c r="BF125" s="69"/>
      <c r="BH125" s="21"/>
      <c r="BI125" s="128"/>
      <c r="BJ125" s="54"/>
      <c r="BK125" s="64"/>
      <c r="BL125" s="69"/>
    </row>
    <row r="126" spans="1:64" x14ac:dyDescent="0.15">
      <c r="A126" s="2" t="s">
        <v>37</v>
      </c>
      <c r="C126" s="21"/>
      <c r="D126" s="128"/>
      <c r="E126" s="54"/>
      <c r="F126" s="64"/>
      <c r="G126" s="69"/>
      <c r="H126" s="127"/>
      <c r="J126" s="21">
        <v>1</v>
      </c>
      <c r="K126" s="128">
        <v>1</v>
      </c>
      <c r="L126" s="54">
        <v>1</v>
      </c>
      <c r="M126" s="64">
        <v>1</v>
      </c>
      <c r="N126" s="69"/>
      <c r="O126" s="127"/>
      <c r="Q126" s="21"/>
      <c r="R126" s="128"/>
      <c r="S126" s="54"/>
      <c r="T126" s="64"/>
      <c r="U126" s="69"/>
      <c r="V126" s="127"/>
      <c r="X126" s="21"/>
      <c r="Y126" s="128"/>
      <c r="Z126" s="54"/>
      <c r="AA126" s="64"/>
      <c r="AB126" s="69"/>
      <c r="AD126" s="21"/>
      <c r="AE126" s="128"/>
      <c r="AF126" s="54"/>
      <c r="AG126" s="64"/>
      <c r="AH126" s="69"/>
      <c r="AJ126" s="21"/>
      <c r="AK126" s="128"/>
      <c r="AL126" s="54"/>
      <c r="AM126" s="64"/>
      <c r="AN126" s="69"/>
      <c r="AP126" s="21"/>
      <c r="AQ126" s="128"/>
      <c r="AR126" s="54"/>
      <c r="AS126" s="64"/>
      <c r="AT126" s="69"/>
      <c r="AV126" s="21"/>
      <c r="AW126" s="128"/>
      <c r="AX126" s="54"/>
      <c r="AY126" s="64"/>
      <c r="AZ126" s="69"/>
      <c r="BB126" s="21"/>
      <c r="BC126" s="128"/>
      <c r="BD126" s="54"/>
      <c r="BE126" s="64"/>
      <c r="BF126" s="69"/>
      <c r="BH126" s="21"/>
      <c r="BI126" s="128"/>
      <c r="BJ126" s="54"/>
      <c r="BK126" s="64"/>
      <c r="BL126" s="69"/>
    </row>
    <row r="127" spans="1:64" x14ac:dyDescent="0.15">
      <c r="A127" s="2" t="s">
        <v>20</v>
      </c>
      <c r="B127">
        <v>1</v>
      </c>
      <c r="C127" s="21"/>
      <c r="D127" s="128">
        <v>1</v>
      </c>
      <c r="E127" s="54">
        <v>3</v>
      </c>
      <c r="F127" s="64">
        <v>2</v>
      </c>
      <c r="G127" s="69">
        <v>1</v>
      </c>
      <c r="H127" s="127">
        <v>1</v>
      </c>
      <c r="I127">
        <v>3</v>
      </c>
      <c r="J127" s="21">
        <v>2</v>
      </c>
      <c r="K127" s="128">
        <v>2</v>
      </c>
      <c r="L127" s="54">
        <v>2</v>
      </c>
      <c r="M127" s="64">
        <v>2</v>
      </c>
      <c r="N127" s="69">
        <v>3</v>
      </c>
      <c r="O127" s="127">
        <v>2</v>
      </c>
      <c r="Q127" s="21"/>
      <c r="R127" s="128"/>
      <c r="S127" s="54"/>
      <c r="T127" s="64"/>
      <c r="U127" s="69">
        <v>1</v>
      </c>
      <c r="V127" s="127"/>
      <c r="W127">
        <v>1</v>
      </c>
      <c r="X127" s="21"/>
      <c r="Y127" s="128"/>
      <c r="Z127" s="54"/>
      <c r="AA127" s="64"/>
      <c r="AB127" s="69"/>
      <c r="AC127">
        <v>2</v>
      </c>
      <c r="AD127" s="21">
        <v>3</v>
      </c>
      <c r="AE127" s="128">
        <v>2</v>
      </c>
      <c r="AF127" s="54">
        <v>4</v>
      </c>
      <c r="AG127" s="64">
        <v>4</v>
      </c>
      <c r="AH127" s="69">
        <v>3</v>
      </c>
      <c r="AI127">
        <v>3</v>
      </c>
      <c r="AJ127" s="21"/>
      <c r="AK127" s="128"/>
      <c r="AL127" s="54"/>
      <c r="AM127" s="64"/>
      <c r="AN127" s="69"/>
      <c r="AP127" s="21"/>
      <c r="AQ127" s="128"/>
      <c r="AR127" s="54"/>
      <c r="AS127" s="64"/>
      <c r="AT127" s="69"/>
      <c r="AV127" s="21">
        <v>2</v>
      </c>
      <c r="AW127" s="128">
        <v>1</v>
      </c>
      <c r="AX127" s="54">
        <v>1</v>
      </c>
      <c r="AY127" s="64">
        <v>2</v>
      </c>
      <c r="AZ127" s="69">
        <v>2</v>
      </c>
      <c r="BB127" s="21"/>
      <c r="BC127" s="128"/>
      <c r="BD127" s="54"/>
      <c r="BE127" s="64"/>
      <c r="BF127" s="69"/>
      <c r="BG127">
        <v>3</v>
      </c>
      <c r="BH127" s="21">
        <v>3</v>
      </c>
      <c r="BI127" s="128">
        <v>2</v>
      </c>
      <c r="BJ127" s="54">
        <v>2</v>
      </c>
      <c r="BK127" s="64">
        <v>2</v>
      </c>
      <c r="BL127" s="69">
        <v>2</v>
      </c>
    </row>
    <row r="128" spans="1:64" x14ac:dyDescent="0.15">
      <c r="A128" s="2" t="s">
        <v>11</v>
      </c>
      <c r="C128" s="21"/>
      <c r="D128" s="128"/>
      <c r="E128" s="54"/>
      <c r="F128" s="64"/>
      <c r="G128" s="69"/>
      <c r="H128" s="127"/>
      <c r="J128" s="21"/>
      <c r="K128" s="128"/>
      <c r="L128" s="54"/>
      <c r="M128" s="64"/>
      <c r="N128" s="69"/>
      <c r="O128" s="127"/>
      <c r="Q128" s="21"/>
      <c r="R128" s="128"/>
      <c r="S128" s="54"/>
      <c r="T128" s="64"/>
      <c r="U128" s="69"/>
      <c r="V128" s="127"/>
      <c r="X128" s="21"/>
      <c r="Y128" s="128"/>
      <c r="Z128" s="54"/>
      <c r="AA128" s="64"/>
      <c r="AB128" s="69"/>
      <c r="AC128">
        <v>2</v>
      </c>
      <c r="AD128" s="21"/>
      <c r="AE128" s="128"/>
      <c r="AF128" s="54"/>
      <c r="AG128" s="64"/>
      <c r="AH128" s="69"/>
      <c r="AJ128" s="21"/>
      <c r="AK128" s="128">
        <v>1</v>
      </c>
      <c r="AL128" s="54">
        <v>1</v>
      </c>
      <c r="AM128" s="64">
        <v>1</v>
      </c>
      <c r="AN128" s="69">
        <v>1</v>
      </c>
      <c r="AP128" s="21"/>
      <c r="AQ128" s="128"/>
      <c r="AR128" s="54"/>
      <c r="AS128" s="64"/>
      <c r="AT128" s="69"/>
      <c r="AV128" s="21"/>
      <c r="AW128" s="128"/>
      <c r="AX128" s="54"/>
      <c r="AY128" s="64"/>
      <c r="AZ128" s="69"/>
      <c r="BB128" s="21"/>
      <c r="BC128" s="128"/>
      <c r="BD128" s="54"/>
      <c r="BE128" s="64"/>
      <c r="BF128" s="69"/>
      <c r="BH128" s="21"/>
      <c r="BI128" s="128"/>
      <c r="BJ128" s="54"/>
      <c r="BK128" s="64"/>
      <c r="BL128" s="69"/>
    </row>
    <row r="129" spans="1:64" x14ac:dyDescent="0.15">
      <c r="A129" s="2" t="s">
        <v>21</v>
      </c>
      <c r="B129">
        <v>4</v>
      </c>
      <c r="C129" s="21">
        <v>4</v>
      </c>
      <c r="D129" s="128">
        <v>3</v>
      </c>
      <c r="E129" s="54">
        <v>3</v>
      </c>
      <c r="F129" s="64">
        <v>2</v>
      </c>
      <c r="G129" s="69">
        <v>1</v>
      </c>
      <c r="H129" s="127">
        <v>2</v>
      </c>
      <c r="I129">
        <v>4</v>
      </c>
      <c r="J129" s="21">
        <v>3</v>
      </c>
      <c r="K129" s="128">
        <v>2</v>
      </c>
      <c r="L129" s="54">
        <v>3</v>
      </c>
      <c r="M129" s="64">
        <v>3</v>
      </c>
      <c r="N129" s="69">
        <v>3</v>
      </c>
      <c r="O129" s="127">
        <v>2</v>
      </c>
      <c r="P129">
        <v>3</v>
      </c>
      <c r="Q129" s="21">
        <v>3</v>
      </c>
      <c r="R129" s="128">
        <v>3</v>
      </c>
      <c r="S129" s="54">
        <v>2</v>
      </c>
      <c r="T129" s="64">
        <v>2</v>
      </c>
      <c r="U129" s="69">
        <v>3</v>
      </c>
      <c r="V129" s="127">
        <v>2</v>
      </c>
      <c r="X129" s="21">
        <v>1</v>
      </c>
      <c r="Y129" s="128">
        <v>1</v>
      </c>
      <c r="Z129" s="54">
        <v>1</v>
      </c>
      <c r="AA129" s="64">
        <v>2</v>
      </c>
      <c r="AB129" s="69">
        <v>1</v>
      </c>
      <c r="AC129">
        <v>3</v>
      </c>
      <c r="AD129" s="21">
        <v>2</v>
      </c>
      <c r="AE129" s="128">
        <v>1</v>
      </c>
      <c r="AF129" s="54">
        <v>1</v>
      </c>
      <c r="AG129" s="64">
        <v>1</v>
      </c>
      <c r="AH129" s="69">
        <v>1</v>
      </c>
      <c r="AI129">
        <v>4</v>
      </c>
      <c r="AJ129" s="21">
        <v>2</v>
      </c>
      <c r="AK129" s="128">
        <v>3</v>
      </c>
      <c r="AL129" s="54">
        <v>3</v>
      </c>
      <c r="AM129" s="64">
        <v>3</v>
      </c>
      <c r="AN129" s="69">
        <v>2</v>
      </c>
      <c r="AO129">
        <v>5</v>
      </c>
      <c r="AP129" s="21">
        <v>3</v>
      </c>
      <c r="AQ129" s="128">
        <v>3</v>
      </c>
      <c r="AR129" s="54">
        <v>3</v>
      </c>
      <c r="AS129" s="64">
        <v>3</v>
      </c>
      <c r="AT129" s="69">
        <v>1</v>
      </c>
      <c r="AU129">
        <v>3</v>
      </c>
      <c r="AV129" s="21">
        <v>3</v>
      </c>
      <c r="AW129" s="128">
        <v>3</v>
      </c>
      <c r="AX129" s="54">
        <v>3</v>
      </c>
      <c r="AY129" s="64">
        <v>3</v>
      </c>
      <c r="AZ129" s="69">
        <v>3</v>
      </c>
      <c r="BB129" s="21"/>
      <c r="BC129" s="128"/>
      <c r="BD129" s="54"/>
      <c r="BE129" s="64"/>
      <c r="BF129" s="69"/>
      <c r="BG129">
        <v>2</v>
      </c>
      <c r="BH129" s="21">
        <v>1</v>
      </c>
      <c r="BI129" s="128">
        <v>1</v>
      </c>
      <c r="BJ129" s="54">
        <v>1</v>
      </c>
      <c r="BK129" s="64">
        <v>1</v>
      </c>
      <c r="BL129" s="69">
        <v>2</v>
      </c>
    </row>
    <row r="130" spans="1:64" x14ac:dyDescent="0.15">
      <c r="A130" s="2" t="s">
        <v>197</v>
      </c>
      <c r="C130" s="21">
        <v>1</v>
      </c>
      <c r="D130" s="128">
        <v>1</v>
      </c>
      <c r="E130" s="54">
        <v>1</v>
      </c>
      <c r="F130" s="64">
        <v>2</v>
      </c>
      <c r="G130" s="69">
        <v>1</v>
      </c>
      <c r="H130" s="127">
        <v>1</v>
      </c>
      <c r="J130" s="21"/>
      <c r="K130" s="128"/>
      <c r="L130" s="54"/>
      <c r="M130" s="64"/>
      <c r="N130" s="69"/>
      <c r="O130" s="127"/>
      <c r="Q130" s="21"/>
      <c r="R130" s="128"/>
      <c r="S130" s="54"/>
      <c r="T130" s="64"/>
      <c r="U130" s="69"/>
      <c r="V130" s="127"/>
      <c r="X130" s="21"/>
      <c r="Y130" s="128"/>
      <c r="Z130" s="54"/>
      <c r="AA130" s="64"/>
      <c r="AB130" s="69"/>
      <c r="AD130" s="21"/>
      <c r="AE130" s="128"/>
      <c r="AF130" s="54"/>
      <c r="AG130" s="64"/>
      <c r="AH130" s="69"/>
      <c r="AJ130" s="21"/>
      <c r="AK130" s="128"/>
      <c r="AL130" s="54"/>
      <c r="AM130" s="64"/>
      <c r="AN130" s="69"/>
      <c r="AP130" s="21"/>
      <c r="AQ130" s="128"/>
      <c r="AR130" s="54"/>
      <c r="AS130" s="64"/>
      <c r="AT130" s="69"/>
      <c r="AV130" s="21"/>
      <c r="AW130" s="128"/>
      <c r="AX130" s="54"/>
      <c r="AY130" s="64"/>
      <c r="AZ130" s="69"/>
      <c r="BB130" s="21"/>
      <c r="BC130" s="128"/>
      <c r="BD130" s="54"/>
      <c r="BE130" s="64"/>
      <c r="BF130" s="69"/>
      <c r="BH130" s="21"/>
      <c r="BI130" s="128"/>
      <c r="BJ130" s="54"/>
      <c r="BK130" s="64"/>
      <c r="BL130" s="69"/>
    </row>
    <row r="131" spans="1:64" x14ac:dyDescent="0.15">
      <c r="A131" s="2" t="s">
        <v>196</v>
      </c>
      <c r="C131" s="21"/>
      <c r="D131" s="128"/>
      <c r="E131" s="54"/>
      <c r="F131" s="64"/>
      <c r="G131" s="69">
        <v>2</v>
      </c>
      <c r="H131" s="127">
        <v>3</v>
      </c>
      <c r="J131" s="21"/>
      <c r="K131" s="128"/>
      <c r="L131" s="54"/>
      <c r="M131" s="64"/>
      <c r="N131" s="69"/>
      <c r="O131" s="127"/>
      <c r="Q131" s="21"/>
      <c r="R131" s="128"/>
      <c r="S131" s="54"/>
      <c r="T131" s="64"/>
      <c r="U131" s="69"/>
      <c r="V131" s="127"/>
      <c r="X131" s="21"/>
      <c r="Y131" s="128"/>
      <c r="Z131" s="54"/>
      <c r="AA131" s="64"/>
      <c r="AB131" s="69"/>
      <c r="AD131" s="21"/>
      <c r="AE131" s="128"/>
      <c r="AF131" s="54"/>
      <c r="AG131" s="64"/>
      <c r="AH131" s="69"/>
      <c r="AJ131" s="21"/>
      <c r="AK131" s="128"/>
      <c r="AL131" s="54"/>
      <c r="AM131" s="64"/>
      <c r="AN131" s="69"/>
      <c r="AP131" s="21"/>
      <c r="AQ131" s="128"/>
      <c r="AR131" s="54"/>
      <c r="AS131" s="64"/>
      <c r="AT131" s="69"/>
      <c r="AV131" s="21"/>
      <c r="AW131" s="128"/>
      <c r="AX131" s="54"/>
      <c r="AY131" s="64"/>
      <c r="AZ131" s="69"/>
      <c r="BB131" s="21"/>
      <c r="BC131" s="128"/>
      <c r="BD131" s="54"/>
      <c r="BE131" s="64"/>
      <c r="BF131" s="69"/>
      <c r="BH131" s="21"/>
      <c r="BI131" s="128"/>
      <c r="BJ131" s="54"/>
      <c r="BK131" s="64"/>
      <c r="BL131" s="69"/>
    </row>
    <row r="132" spans="1:64" x14ac:dyDescent="0.15">
      <c r="A132" s="5" t="s">
        <v>198</v>
      </c>
      <c r="C132" s="21"/>
      <c r="D132" s="128"/>
      <c r="E132" s="54">
        <v>1</v>
      </c>
      <c r="F132" s="64">
        <v>1</v>
      </c>
      <c r="G132" s="69">
        <v>1</v>
      </c>
      <c r="H132" s="127"/>
      <c r="J132" s="21"/>
      <c r="K132" s="128"/>
      <c r="L132" s="54"/>
      <c r="M132" s="64"/>
      <c r="N132" s="69"/>
      <c r="O132" s="127"/>
      <c r="Q132" s="21"/>
      <c r="R132" s="128"/>
      <c r="S132" s="54"/>
      <c r="T132" s="64"/>
      <c r="U132" s="69"/>
      <c r="V132" s="127"/>
      <c r="X132" s="21"/>
      <c r="Y132" s="128"/>
      <c r="Z132" s="54"/>
      <c r="AA132" s="64"/>
      <c r="AB132" s="69"/>
      <c r="AD132" s="21"/>
      <c r="AE132" s="128"/>
      <c r="AF132" s="54"/>
      <c r="AG132" s="64"/>
      <c r="AH132" s="69"/>
      <c r="AJ132" s="21"/>
      <c r="AK132" s="128"/>
      <c r="AL132" s="54"/>
      <c r="AM132" s="64"/>
      <c r="AN132" s="69"/>
      <c r="AP132" s="21"/>
      <c r="AQ132" s="128"/>
      <c r="AR132" s="54"/>
      <c r="AS132" s="64"/>
      <c r="AT132" s="69"/>
      <c r="AV132" s="21"/>
      <c r="AW132" s="128"/>
      <c r="AX132" s="54"/>
      <c r="AY132" s="64"/>
      <c r="AZ132" s="69"/>
      <c r="BB132" s="21"/>
      <c r="BC132" s="128"/>
      <c r="BD132" s="54"/>
      <c r="BE132" s="64"/>
      <c r="BF132" s="69"/>
      <c r="BH132" s="21"/>
      <c r="BI132" s="128"/>
      <c r="BJ132" s="54"/>
      <c r="BK132" s="64"/>
      <c r="BL132" s="69"/>
    </row>
    <row r="133" spans="1:64" x14ac:dyDescent="0.15">
      <c r="A133" s="2" t="s">
        <v>35</v>
      </c>
      <c r="C133" s="21"/>
      <c r="D133" s="128">
        <v>1</v>
      </c>
      <c r="E133" s="54">
        <v>2</v>
      </c>
      <c r="F133" s="64">
        <v>1</v>
      </c>
      <c r="G133" s="69">
        <v>1</v>
      </c>
      <c r="H133" s="127">
        <v>1</v>
      </c>
      <c r="I133">
        <v>2</v>
      </c>
      <c r="J133" s="21">
        <v>1</v>
      </c>
      <c r="K133" s="128">
        <v>1</v>
      </c>
      <c r="L133" s="54"/>
      <c r="M133" s="64">
        <v>1</v>
      </c>
      <c r="N133" s="69">
        <v>1</v>
      </c>
      <c r="O133" s="127">
        <v>1</v>
      </c>
      <c r="P133">
        <v>1</v>
      </c>
      <c r="Q133" s="21"/>
      <c r="R133" s="128">
        <v>1</v>
      </c>
      <c r="S133" s="54">
        <v>1</v>
      </c>
      <c r="T133" s="64">
        <v>1</v>
      </c>
      <c r="U133" s="69">
        <v>1</v>
      </c>
      <c r="V133" s="127">
        <v>1</v>
      </c>
      <c r="X133" s="21"/>
      <c r="Y133" s="128"/>
      <c r="Z133" s="54">
        <v>1</v>
      </c>
      <c r="AA133" s="64">
        <v>1</v>
      </c>
      <c r="AB133" s="69"/>
      <c r="AC133">
        <v>1</v>
      </c>
      <c r="AD133" s="21">
        <v>1</v>
      </c>
      <c r="AE133" s="128"/>
      <c r="AF133" s="54"/>
      <c r="AG133" s="64"/>
      <c r="AH133" s="69"/>
      <c r="AI133">
        <v>1</v>
      </c>
      <c r="AJ133" s="21"/>
      <c r="AK133" s="128"/>
      <c r="AL133" s="54"/>
      <c r="AM133" s="64"/>
      <c r="AN133" s="69"/>
      <c r="AO133">
        <v>1</v>
      </c>
      <c r="AP133" s="21">
        <v>1</v>
      </c>
      <c r="AQ133" s="128">
        <v>1</v>
      </c>
      <c r="AR133" s="54">
        <v>1</v>
      </c>
      <c r="AS133" s="64">
        <v>2</v>
      </c>
      <c r="AT133" s="69">
        <v>4</v>
      </c>
      <c r="AV133" s="21"/>
      <c r="AW133" s="128">
        <v>1</v>
      </c>
      <c r="AX133" s="54">
        <v>1</v>
      </c>
      <c r="AY133" s="64">
        <v>2</v>
      </c>
      <c r="AZ133" s="69">
        <v>1</v>
      </c>
      <c r="BA133">
        <v>3</v>
      </c>
      <c r="BB133" s="21"/>
      <c r="BC133" s="128"/>
      <c r="BD133" s="54"/>
      <c r="BE133" s="64"/>
      <c r="BF133" s="69">
        <v>1</v>
      </c>
      <c r="BG133">
        <v>1</v>
      </c>
      <c r="BH133" s="21"/>
      <c r="BI133" s="128"/>
      <c r="BJ133" s="54">
        <v>1</v>
      </c>
      <c r="BK133" s="64">
        <v>1</v>
      </c>
      <c r="BL133" s="69">
        <v>1</v>
      </c>
    </row>
    <row r="134" spans="1:64" x14ac:dyDescent="0.15">
      <c r="A134" s="2" t="s">
        <v>110</v>
      </c>
      <c r="C134" s="21"/>
      <c r="D134" s="128"/>
      <c r="E134" s="54"/>
      <c r="F134" s="64"/>
      <c r="G134" s="69"/>
      <c r="H134" s="127"/>
      <c r="J134" s="21"/>
      <c r="K134" s="128"/>
      <c r="L134" s="54"/>
      <c r="M134" s="64"/>
      <c r="N134" s="69"/>
      <c r="O134" s="127"/>
      <c r="Q134" s="21"/>
      <c r="R134" s="128"/>
      <c r="S134" s="54"/>
      <c r="T134" s="64"/>
      <c r="U134" s="69"/>
      <c r="V134" s="127"/>
      <c r="X134" s="21"/>
      <c r="Y134" s="128"/>
      <c r="Z134" s="54"/>
      <c r="AA134" s="64"/>
      <c r="AB134" s="69"/>
      <c r="AD134" s="21"/>
      <c r="AE134" s="128"/>
      <c r="AF134" s="54"/>
      <c r="AG134" s="64"/>
      <c r="AH134" s="69"/>
      <c r="AJ134" s="21"/>
      <c r="AK134" s="128"/>
      <c r="AL134" s="54"/>
      <c r="AM134" s="64"/>
      <c r="AN134" s="69"/>
      <c r="AP134" s="21"/>
      <c r="AQ134" s="128"/>
      <c r="AR134" s="54"/>
      <c r="AS134" s="64"/>
      <c r="AT134" s="69"/>
      <c r="AV134" s="21"/>
      <c r="AW134" s="128"/>
      <c r="AX134" s="54"/>
      <c r="AY134" s="64"/>
      <c r="AZ134" s="69"/>
      <c r="BB134" s="21"/>
      <c r="BC134" s="128"/>
      <c r="BD134" s="54"/>
      <c r="BE134" s="64"/>
      <c r="BF134" s="69"/>
      <c r="BH134" s="21"/>
      <c r="BI134" s="128"/>
      <c r="BJ134" s="54"/>
      <c r="BK134" s="64"/>
      <c r="BL134" s="69"/>
    </row>
    <row r="135" spans="1:64" x14ac:dyDescent="0.15">
      <c r="A135" s="2" t="s">
        <v>25</v>
      </c>
      <c r="C135" s="21"/>
      <c r="D135" s="128"/>
      <c r="E135" s="54"/>
      <c r="F135" s="64"/>
      <c r="G135" s="69"/>
      <c r="H135" s="127"/>
      <c r="I135">
        <v>1</v>
      </c>
      <c r="J135" s="21">
        <v>1</v>
      </c>
      <c r="K135" s="128">
        <v>1</v>
      </c>
      <c r="L135" s="54"/>
      <c r="M135" s="64"/>
      <c r="N135" s="69"/>
      <c r="O135" s="127"/>
      <c r="Q135" s="21"/>
      <c r="R135" s="128"/>
      <c r="S135" s="54"/>
      <c r="T135" s="64"/>
      <c r="U135" s="69"/>
      <c r="V135" s="127"/>
      <c r="X135" s="21"/>
      <c r="Y135" s="128"/>
      <c r="Z135" s="54"/>
      <c r="AA135" s="64"/>
      <c r="AB135" s="69"/>
      <c r="AD135" s="21"/>
      <c r="AE135" s="128"/>
      <c r="AF135" s="54"/>
      <c r="AG135" s="64"/>
      <c r="AH135" s="69"/>
      <c r="AJ135" s="21"/>
      <c r="AK135" s="128"/>
      <c r="AL135" s="54"/>
      <c r="AM135" s="64"/>
      <c r="AN135" s="69"/>
      <c r="AP135" s="21"/>
      <c r="AQ135" s="128"/>
      <c r="AR135" s="54"/>
      <c r="AS135" s="64"/>
      <c r="AT135" s="69"/>
      <c r="AV135" s="21"/>
      <c r="AW135" s="128"/>
      <c r="AX135" s="54"/>
      <c r="AY135" s="64"/>
      <c r="AZ135" s="69"/>
      <c r="BB135" s="21"/>
      <c r="BC135" s="128"/>
      <c r="BD135" s="54"/>
      <c r="BE135" s="64"/>
      <c r="BF135" s="69"/>
      <c r="BH135" s="21"/>
      <c r="BI135" s="128"/>
      <c r="BJ135" s="54"/>
      <c r="BK135" s="64"/>
      <c r="BL135" s="69"/>
    </row>
    <row r="136" spans="1:64" x14ac:dyDescent="0.15">
      <c r="A136" s="2" t="s">
        <v>38</v>
      </c>
      <c r="C136" s="21"/>
      <c r="D136" s="128"/>
      <c r="E136" s="54"/>
      <c r="F136" s="64">
        <v>1</v>
      </c>
      <c r="G136" s="69"/>
      <c r="H136" s="127"/>
      <c r="J136" s="21"/>
      <c r="K136" s="128"/>
      <c r="L136" s="54"/>
      <c r="M136" s="64"/>
      <c r="N136" s="69"/>
      <c r="O136" s="127"/>
      <c r="Q136" s="21"/>
      <c r="R136" s="128"/>
      <c r="S136" s="54"/>
      <c r="T136" s="64"/>
      <c r="U136" s="69"/>
      <c r="V136" s="127"/>
      <c r="X136" s="21"/>
      <c r="Y136" s="128"/>
      <c r="Z136" s="54"/>
      <c r="AA136" s="64"/>
      <c r="AB136" s="69"/>
      <c r="AD136" s="21"/>
      <c r="AE136" s="128"/>
      <c r="AF136" s="54"/>
      <c r="AG136" s="64"/>
      <c r="AH136" s="69"/>
      <c r="AJ136" s="21"/>
      <c r="AK136" s="128"/>
      <c r="AL136" s="54"/>
      <c r="AM136" s="64"/>
      <c r="AN136" s="69"/>
      <c r="AP136" s="21"/>
      <c r="AQ136" s="128"/>
      <c r="AR136" s="54"/>
      <c r="AS136" s="64"/>
      <c r="AT136" s="69"/>
      <c r="AV136" s="21"/>
      <c r="AW136" s="128"/>
      <c r="AX136" s="54"/>
      <c r="AY136" s="64"/>
      <c r="AZ136" s="69"/>
      <c r="BB136" s="21"/>
      <c r="BC136" s="128"/>
      <c r="BD136" s="54"/>
      <c r="BE136" s="64"/>
      <c r="BF136" s="69"/>
      <c r="BH136" s="21"/>
      <c r="BI136" s="128"/>
      <c r="BJ136" s="54"/>
      <c r="BK136" s="64"/>
      <c r="BL136" s="69"/>
    </row>
    <row r="137" spans="1:64" x14ac:dyDescent="0.15">
      <c r="A137" s="2" t="s">
        <v>27</v>
      </c>
      <c r="C137" s="21">
        <v>1</v>
      </c>
      <c r="D137" s="128">
        <v>1</v>
      </c>
      <c r="E137" s="54">
        <v>2</v>
      </c>
      <c r="F137" s="64">
        <v>2</v>
      </c>
      <c r="G137" s="69">
        <v>2</v>
      </c>
      <c r="H137" s="127">
        <v>1</v>
      </c>
      <c r="I137">
        <v>2</v>
      </c>
      <c r="J137" s="21">
        <v>3</v>
      </c>
      <c r="K137" s="128">
        <v>1</v>
      </c>
      <c r="L137" s="54">
        <v>2</v>
      </c>
      <c r="M137" s="64">
        <v>1</v>
      </c>
      <c r="N137" s="69">
        <v>3</v>
      </c>
      <c r="O137" s="127">
        <v>2</v>
      </c>
      <c r="Q137" s="21"/>
      <c r="R137" s="128"/>
      <c r="S137" s="54"/>
      <c r="T137" s="64"/>
      <c r="U137" s="69"/>
      <c r="V137" s="127"/>
      <c r="X137" s="21"/>
      <c r="Y137" s="128"/>
      <c r="Z137" s="54"/>
      <c r="AA137" s="64"/>
      <c r="AB137" s="69"/>
      <c r="AD137" s="21"/>
      <c r="AE137" s="128"/>
      <c r="AF137" s="54"/>
      <c r="AG137" s="64"/>
      <c r="AH137" s="69"/>
      <c r="AJ137" s="21"/>
      <c r="AK137" s="128"/>
      <c r="AL137" s="54"/>
      <c r="AM137" s="64"/>
      <c r="AN137" s="69"/>
      <c r="AP137" s="21"/>
      <c r="AQ137" s="128"/>
      <c r="AR137" s="54"/>
      <c r="AS137" s="64"/>
      <c r="AT137" s="69"/>
      <c r="AV137" s="21"/>
      <c r="AW137" s="128"/>
      <c r="AX137" s="54"/>
      <c r="AY137" s="64"/>
      <c r="AZ137" s="69"/>
      <c r="BB137" s="21"/>
      <c r="BC137" s="128"/>
      <c r="BD137" s="54"/>
      <c r="BE137" s="64"/>
      <c r="BF137" s="69"/>
      <c r="BH137" s="21"/>
      <c r="BI137" s="128"/>
      <c r="BJ137" s="54"/>
      <c r="BK137" s="64"/>
      <c r="BL137" s="69"/>
    </row>
    <row r="138" spans="1:64" x14ac:dyDescent="0.15">
      <c r="A138" s="2" t="s">
        <v>229</v>
      </c>
      <c r="C138" s="21"/>
      <c r="D138" s="128"/>
      <c r="E138" s="54"/>
      <c r="F138" s="64"/>
      <c r="G138" s="69"/>
      <c r="H138" s="127"/>
      <c r="J138" s="21"/>
      <c r="K138" s="128"/>
      <c r="L138" s="54"/>
      <c r="M138" s="64"/>
      <c r="N138" s="69"/>
      <c r="O138" s="127"/>
      <c r="Q138" s="21"/>
      <c r="R138" s="128"/>
      <c r="S138" s="54"/>
      <c r="T138" s="64"/>
      <c r="U138" s="69"/>
      <c r="V138" s="127"/>
      <c r="X138" s="21"/>
      <c r="Y138" s="128"/>
      <c r="Z138" s="54"/>
      <c r="AA138" s="64"/>
      <c r="AB138" s="69"/>
      <c r="AD138" s="21"/>
      <c r="AE138" s="128"/>
      <c r="AF138" s="54"/>
      <c r="AG138" s="64"/>
      <c r="AH138" s="69"/>
      <c r="AJ138" s="21"/>
      <c r="AK138" s="128"/>
      <c r="AL138" s="54"/>
      <c r="AM138" s="64"/>
      <c r="AN138" s="69"/>
      <c r="AP138" s="21"/>
      <c r="AQ138" s="128"/>
      <c r="AR138" s="54"/>
      <c r="AS138" s="64"/>
      <c r="AT138" s="69"/>
      <c r="AV138" s="21"/>
      <c r="AW138" s="128"/>
      <c r="AX138" s="54"/>
      <c r="AY138" s="64"/>
      <c r="AZ138" s="69"/>
      <c r="BB138" s="21"/>
      <c r="BC138" s="128"/>
      <c r="BD138" s="54"/>
      <c r="BE138" s="64"/>
      <c r="BF138" s="69"/>
      <c r="BH138" s="21"/>
      <c r="BI138" s="128"/>
      <c r="BJ138" s="54"/>
      <c r="BK138" s="64"/>
      <c r="BL138" s="69"/>
    </row>
    <row r="139" spans="1:64" x14ac:dyDescent="0.15">
      <c r="A139" s="2" t="s">
        <v>36</v>
      </c>
      <c r="C139" s="21"/>
      <c r="D139" s="128"/>
      <c r="E139" s="54"/>
      <c r="F139" s="64"/>
      <c r="G139" s="69"/>
      <c r="H139" s="127"/>
      <c r="J139" s="21">
        <v>1</v>
      </c>
      <c r="K139" s="128"/>
      <c r="L139" s="54">
        <v>1</v>
      </c>
      <c r="M139" s="64"/>
      <c r="N139" s="69"/>
      <c r="O139" s="127"/>
      <c r="Q139" s="21"/>
      <c r="R139" s="128"/>
      <c r="S139" s="54"/>
      <c r="T139" s="64"/>
      <c r="U139" s="69"/>
      <c r="V139" s="127"/>
      <c r="X139" s="21"/>
      <c r="Y139" s="128"/>
      <c r="Z139" s="54"/>
      <c r="AA139" s="64"/>
      <c r="AB139" s="69"/>
      <c r="AD139" s="21"/>
      <c r="AE139" s="128"/>
      <c r="AF139" s="54"/>
      <c r="AG139" s="64"/>
      <c r="AH139" s="69"/>
      <c r="AJ139" s="21"/>
      <c r="AK139" s="128"/>
      <c r="AL139" s="54"/>
      <c r="AM139" s="64"/>
      <c r="AN139" s="69"/>
      <c r="AP139" s="21"/>
      <c r="AQ139" s="128"/>
      <c r="AR139" s="54"/>
      <c r="AS139" s="64"/>
      <c r="AT139" s="69"/>
      <c r="AV139" s="21"/>
      <c r="AW139" s="128"/>
      <c r="AX139" s="54"/>
      <c r="AY139" s="64"/>
      <c r="AZ139" s="69"/>
      <c r="BB139" s="21"/>
      <c r="BC139" s="128"/>
      <c r="BD139" s="54"/>
      <c r="BE139" s="64"/>
      <c r="BF139" s="69"/>
      <c r="BH139" s="21"/>
      <c r="BI139" s="128"/>
      <c r="BJ139" s="54"/>
      <c r="BK139" s="64"/>
      <c r="BL139" s="69"/>
    </row>
    <row r="140" spans="1:64" x14ac:dyDescent="0.15">
      <c r="A140" s="2" t="s">
        <v>50</v>
      </c>
      <c r="C140" s="21"/>
      <c r="D140" s="128"/>
      <c r="E140" s="54">
        <v>1</v>
      </c>
      <c r="F140" s="64">
        <v>1</v>
      </c>
      <c r="G140" s="69">
        <v>1</v>
      </c>
      <c r="H140" s="127">
        <v>1</v>
      </c>
      <c r="J140" s="21"/>
      <c r="K140" s="128"/>
      <c r="L140" s="54"/>
      <c r="M140" s="64"/>
      <c r="N140" s="69"/>
      <c r="O140" s="127"/>
      <c r="Q140" s="21"/>
      <c r="R140" s="128"/>
      <c r="S140" s="54"/>
      <c r="T140" s="64"/>
      <c r="U140" s="69"/>
      <c r="V140" s="127"/>
      <c r="X140" s="21"/>
      <c r="Y140" s="128"/>
      <c r="Z140" s="54"/>
      <c r="AA140" s="64"/>
      <c r="AB140" s="69"/>
      <c r="AD140" s="21"/>
      <c r="AE140" s="128"/>
      <c r="AF140" s="54"/>
      <c r="AG140" s="64"/>
      <c r="AH140" s="69"/>
      <c r="AJ140" s="21">
        <v>1</v>
      </c>
      <c r="AK140" s="128">
        <v>1</v>
      </c>
      <c r="AL140" s="54">
        <v>2</v>
      </c>
      <c r="AM140" s="64">
        <v>1</v>
      </c>
      <c r="AN140" s="69">
        <v>1</v>
      </c>
      <c r="AP140" s="21"/>
      <c r="AQ140" s="128"/>
      <c r="AR140" s="54"/>
      <c r="AS140" s="64"/>
      <c r="AT140" s="69"/>
      <c r="AV140" s="21"/>
      <c r="AW140" s="128"/>
      <c r="AX140" s="54"/>
      <c r="AY140" s="64"/>
      <c r="AZ140" s="69"/>
      <c r="BB140" s="21"/>
      <c r="BC140" s="128"/>
      <c r="BD140" s="54"/>
      <c r="BE140" s="64"/>
      <c r="BF140" s="69"/>
      <c r="BH140" s="21"/>
      <c r="BI140" s="128"/>
      <c r="BJ140" s="54"/>
      <c r="BK140" s="64"/>
      <c r="BL140" s="69"/>
    </row>
    <row r="141" spans="1:64" x14ac:dyDescent="0.15">
      <c r="A141" s="2" t="s">
        <v>231</v>
      </c>
      <c r="C141" s="21"/>
      <c r="D141" s="128"/>
      <c r="E141" s="54"/>
      <c r="F141" s="64"/>
      <c r="G141" s="69"/>
      <c r="H141" s="127"/>
      <c r="J141" s="21"/>
      <c r="K141" s="128"/>
      <c r="L141" s="54"/>
      <c r="M141" s="64"/>
      <c r="N141" s="69"/>
      <c r="O141" s="127"/>
      <c r="Q141" s="21"/>
      <c r="R141" s="128"/>
      <c r="S141" s="54"/>
      <c r="T141" s="64"/>
      <c r="U141" s="69"/>
      <c r="V141" s="127"/>
      <c r="X141" s="21"/>
      <c r="Y141" s="128"/>
      <c r="Z141" s="54"/>
      <c r="AA141" s="64"/>
      <c r="AB141" s="69"/>
      <c r="AD141" s="21"/>
      <c r="AE141" s="128"/>
      <c r="AF141" s="54"/>
      <c r="AG141" s="64"/>
      <c r="AH141" s="69"/>
      <c r="AJ141" s="21"/>
      <c r="AK141" s="128"/>
      <c r="AL141" s="54"/>
      <c r="AM141" s="64"/>
      <c r="AN141" s="69"/>
      <c r="AP141" s="21"/>
      <c r="AQ141" s="128"/>
      <c r="AR141" s="54"/>
      <c r="AS141" s="64"/>
      <c r="AT141" s="69"/>
      <c r="AV141" s="21"/>
      <c r="AW141" s="128"/>
      <c r="AX141" s="54"/>
      <c r="AY141" s="64"/>
      <c r="AZ141" s="69"/>
      <c r="BB141" s="21"/>
      <c r="BC141" s="128"/>
      <c r="BD141" s="54"/>
      <c r="BE141" s="64"/>
      <c r="BF141" s="69"/>
      <c r="BH141" s="21"/>
      <c r="BI141" s="128"/>
      <c r="BJ141" s="54"/>
      <c r="BK141" s="64"/>
      <c r="BL141" s="69"/>
    </row>
    <row r="142" spans="1:64" x14ac:dyDescent="0.15">
      <c r="A142" s="2" t="s">
        <v>58</v>
      </c>
      <c r="C142" s="21"/>
      <c r="D142" s="128"/>
      <c r="E142" s="54"/>
      <c r="F142" s="64"/>
      <c r="G142" s="69"/>
      <c r="H142" s="127"/>
      <c r="J142" s="21"/>
      <c r="K142" s="128"/>
      <c r="L142" s="54"/>
      <c r="M142" s="64"/>
      <c r="N142" s="69"/>
      <c r="O142" s="127"/>
      <c r="Q142" s="21"/>
      <c r="R142" s="128"/>
      <c r="S142" s="54"/>
      <c r="T142" s="64"/>
      <c r="U142" s="69"/>
      <c r="V142" s="127"/>
      <c r="X142" s="21"/>
      <c r="Y142" s="128"/>
      <c r="Z142" s="54"/>
      <c r="AA142" s="64"/>
      <c r="AB142" s="69"/>
      <c r="AD142" s="21"/>
      <c r="AE142" s="128"/>
      <c r="AF142" s="54"/>
      <c r="AG142" s="64"/>
      <c r="AH142" s="69"/>
      <c r="AJ142" s="21"/>
      <c r="AK142" s="128"/>
      <c r="AL142" s="54"/>
      <c r="AM142" s="64"/>
      <c r="AN142" s="69">
        <v>1</v>
      </c>
      <c r="AP142" s="21"/>
      <c r="AQ142" s="128"/>
      <c r="AR142" s="54"/>
      <c r="AS142" s="64"/>
      <c r="AT142" s="69"/>
      <c r="AV142" s="21"/>
      <c r="AW142" s="128"/>
      <c r="AX142" s="54"/>
      <c r="AY142" s="64"/>
      <c r="AZ142" s="69"/>
      <c r="BB142" s="21"/>
      <c r="BC142" s="128"/>
      <c r="BD142" s="54"/>
      <c r="BE142" s="64"/>
      <c r="BF142" s="69"/>
      <c r="BH142" s="21"/>
      <c r="BI142" s="128"/>
      <c r="BJ142" s="54"/>
      <c r="BK142" s="64"/>
      <c r="BL142" s="69">
        <v>1</v>
      </c>
    </row>
    <row r="143" spans="1:64" x14ac:dyDescent="0.15">
      <c r="A143" s="2" t="s">
        <v>57</v>
      </c>
      <c r="C143" s="21"/>
      <c r="D143" s="128">
        <v>1</v>
      </c>
      <c r="E143" s="54"/>
      <c r="F143" s="64"/>
      <c r="G143" s="69"/>
      <c r="H143" s="127"/>
      <c r="J143" s="21"/>
      <c r="K143" s="128"/>
      <c r="L143" s="54"/>
      <c r="M143" s="64"/>
      <c r="N143" s="69"/>
      <c r="O143" s="127"/>
      <c r="Q143" s="21"/>
      <c r="R143" s="128"/>
      <c r="S143" s="54"/>
      <c r="T143" s="64"/>
      <c r="U143" s="69"/>
      <c r="V143" s="127"/>
      <c r="X143" s="21"/>
      <c r="Y143" s="128"/>
      <c r="Z143" s="54"/>
      <c r="AA143" s="64"/>
      <c r="AB143" s="69"/>
      <c r="AD143" s="21"/>
      <c r="AE143" s="128"/>
      <c r="AF143" s="54"/>
      <c r="AG143" s="64"/>
      <c r="AH143" s="69"/>
      <c r="AJ143" s="21"/>
      <c r="AK143" s="128"/>
      <c r="AL143" s="54"/>
      <c r="AM143" s="64"/>
      <c r="AN143" s="69"/>
      <c r="AP143" s="21"/>
      <c r="AQ143" s="128"/>
      <c r="AR143" s="54"/>
      <c r="AS143" s="64"/>
      <c r="AT143" s="69"/>
      <c r="AV143" s="21"/>
      <c r="AW143" s="128"/>
      <c r="AX143" s="54"/>
      <c r="AY143" s="64"/>
      <c r="AZ143" s="69"/>
      <c r="BB143" s="21"/>
      <c r="BC143" s="128"/>
      <c r="BD143" s="54"/>
      <c r="BE143" s="64"/>
      <c r="BF143" s="69"/>
      <c r="BH143" s="21"/>
      <c r="BI143" s="128"/>
      <c r="BJ143" s="54"/>
      <c r="BK143" s="64"/>
      <c r="BL143" s="69"/>
    </row>
    <row r="144" spans="1:64" x14ac:dyDescent="0.15">
      <c r="A144" s="2" t="s">
        <v>28</v>
      </c>
      <c r="C144" s="21"/>
      <c r="D144" s="128"/>
      <c r="E144" s="54"/>
      <c r="F144" s="64"/>
      <c r="G144" s="69"/>
      <c r="H144" s="127"/>
      <c r="J144" s="21"/>
      <c r="K144" s="128"/>
      <c r="L144" s="54"/>
      <c r="M144" s="64"/>
      <c r="N144" s="69"/>
      <c r="O144" s="127"/>
      <c r="Q144" s="21"/>
      <c r="R144" s="128"/>
      <c r="S144" s="54"/>
      <c r="T144" s="64"/>
      <c r="U144" s="69"/>
      <c r="V144" s="127"/>
      <c r="X144" s="21"/>
      <c r="Y144" s="128"/>
      <c r="Z144" s="54"/>
      <c r="AA144" s="64"/>
      <c r="AB144" s="69"/>
      <c r="AD144" s="21"/>
      <c r="AE144" s="128"/>
      <c r="AF144" s="54"/>
      <c r="AG144" s="64"/>
      <c r="AH144" s="69"/>
      <c r="AJ144" s="21"/>
      <c r="AK144" s="128"/>
      <c r="AL144" s="54"/>
      <c r="AM144" s="64"/>
      <c r="AN144" s="69"/>
      <c r="AP144" s="21"/>
      <c r="AQ144" s="128"/>
      <c r="AR144" s="54"/>
      <c r="AS144" s="64"/>
      <c r="AT144" s="69"/>
      <c r="AV144" s="21"/>
      <c r="AW144" s="128"/>
      <c r="AX144" s="54"/>
      <c r="AY144" s="64"/>
      <c r="AZ144" s="69"/>
      <c r="BB144" s="21"/>
      <c r="BC144" s="128"/>
      <c r="BD144" s="54"/>
      <c r="BE144" s="64"/>
      <c r="BF144" s="69"/>
      <c r="BH144" s="21"/>
      <c r="BI144" s="128"/>
      <c r="BJ144" s="54"/>
      <c r="BK144" s="64"/>
      <c r="BL144" s="69"/>
    </row>
    <row r="145" spans="1:64" x14ac:dyDescent="0.15">
      <c r="A145" s="2" t="s">
        <v>194</v>
      </c>
      <c r="C145" s="21"/>
      <c r="D145" s="128"/>
      <c r="E145" s="54"/>
      <c r="F145" s="64"/>
      <c r="G145" s="69"/>
      <c r="H145" s="127"/>
      <c r="J145" s="21"/>
      <c r="K145" s="128"/>
      <c r="L145" s="54"/>
      <c r="M145" s="64"/>
      <c r="N145" s="69"/>
      <c r="O145" s="127"/>
      <c r="Q145" s="21"/>
      <c r="R145" s="128"/>
      <c r="S145" s="54"/>
      <c r="T145" s="64"/>
      <c r="U145" s="69"/>
      <c r="V145" s="127"/>
      <c r="X145" s="21"/>
      <c r="Y145" s="128"/>
      <c r="Z145" s="54"/>
      <c r="AA145" s="64"/>
      <c r="AB145" s="69"/>
      <c r="AD145" s="21"/>
      <c r="AE145" s="128"/>
      <c r="AF145" s="54"/>
      <c r="AG145" s="64"/>
      <c r="AH145" s="69"/>
      <c r="AJ145" s="21"/>
      <c r="AK145" s="128"/>
      <c r="AL145" s="54"/>
      <c r="AM145" s="64"/>
      <c r="AN145" s="69"/>
      <c r="AP145" s="21"/>
      <c r="AQ145" s="128"/>
      <c r="AR145" s="54"/>
      <c r="AS145" s="64"/>
      <c r="AT145" s="69"/>
      <c r="AV145" s="21"/>
      <c r="AW145" s="128"/>
      <c r="AX145" s="54"/>
      <c r="AY145" s="64"/>
      <c r="AZ145" s="69"/>
      <c r="BB145" s="21"/>
      <c r="BC145" s="128"/>
      <c r="BD145" s="54"/>
      <c r="BE145" s="64"/>
      <c r="BF145" s="69"/>
      <c r="BH145" s="21"/>
      <c r="BI145" s="128"/>
      <c r="BJ145" s="54"/>
      <c r="BK145" s="64"/>
      <c r="BL145" s="69"/>
    </row>
    <row r="146" spans="1:64" x14ac:dyDescent="0.15">
      <c r="A146" s="2" t="s">
        <v>10</v>
      </c>
      <c r="C146" s="21"/>
      <c r="D146" s="128"/>
      <c r="E146" s="54"/>
      <c r="F146" s="64"/>
      <c r="G146" s="69"/>
      <c r="H146" s="127"/>
      <c r="J146" s="21"/>
      <c r="K146" s="128"/>
      <c r="L146" s="54"/>
      <c r="M146" s="64"/>
      <c r="N146" s="69"/>
      <c r="O146" s="127"/>
      <c r="Q146" s="21"/>
      <c r="R146" s="128"/>
      <c r="S146" s="54"/>
      <c r="T146" s="64"/>
      <c r="U146" s="69"/>
      <c r="V146" s="127"/>
      <c r="X146" s="21"/>
      <c r="Y146" s="128"/>
      <c r="Z146" s="54"/>
      <c r="AA146" s="64"/>
      <c r="AB146" s="69"/>
      <c r="AD146" s="21"/>
      <c r="AE146" s="128"/>
      <c r="AF146" s="54"/>
      <c r="AG146" s="64"/>
      <c r="AH146" s="69"/>
      <c r="AJ146" s="21"/>
      <c r="AK146" s="128"/>
      <c r="AL146" s="54"/>
      <c r="AM146" s="64"/>
      <c r="AN146" s="69"/>
      <c r="AP146" s="21"/>
      <c r="AQ146" s="128"/>
      <c r="AR146" s="54"/>
      <c r="AS146" s="64"/>
      <c r="AT146" s="69"/>
      <c r="AV146" s="21"/>
      <c r="AW146" s="128"/>
      <c r="AX146" s="54"/>
      <c r="AY146" s="64"/>
      <c r="AZ146" s="69"/>
      <c r="BB146" s="21"/>
      <c r="BC146" s="128"/>
      <c r="BD146" s="54"/>
      <c r="BE146" s="64"/>
      <c r="BF146" s="69"/>
      <c r="BH146" s="21"/>
      <c r="BI146" s="128"/>
      <c r="BJ146" s="54"/>
      <c r="BK146" s="64"/>
      <c r="BL146" s="69"/>
    </row>
    <row r="147" spans="1:64" x14ac:dyDescent="0.15">
      <c r="A147" s="5" t="s">
        <v>174</v>
      </c>
      <c r="B147" s="114"/>
      <c r="C147" s="115"/>
      <c r="D147" s="111"/>
      <c r="E147" s="112"/>
      <c r="F147" s="113"/>
      <c r="G147" s="145"/>
      <c r="H147" s="169"/>
      <c r="I147" s="4"/>
      <c r="J147" s="138"/>
      <c r="K147" s="128">
        <v>1</v>
      </c>
      <c r="L147" s="54">
        <v>1</v>
      </c>
      <c r="M147" s="113"/>
      <c r="N147" s="145">
        <v>2</v>
      </c>
      <c r="O147" s="169">
        <v>1</v>
      </c>
      <c r="P147" s="4"/>
      <c r="Q147" s="138">
        <v>1</v>
      </c>
      <c r="R147" s="128">
        <v>1</v>
      </c>
      <c r="S147" s="54">
        <v>1</v>
      </c>
      <c r="T147" s="113"/>
      <c r="U147" s="145"/>
      <c r="V147" s="169">
        <v>1</v>
      </c>
      <c r="X147" s="120"/>
      <c r="Y147" s="119"/>
      <c r="Z147" s="121"/>
      <c r="AA147" s="122"/>
      <c r="AB147" s="150"/>
      <c r="AC147" s="4"/>
      <c r="AD147" s="138"/>
      <c r="AE147" s="38">
        <v>1</v>
      </c>
      <c r="AF147" s="112">
        <v>1</v>
      </c>
      <c r="AG147" s="113"/>
      <c r="AH147" s="145"/>
      <c r="AI147" s="114"/>
      <c r="AJ147" s="115"/>
      <c r="AK147" s="116"/>
      <c r="AL147" s="117"/>
      <c r="AM147" s="118"/>
      <c r="AN147" s="146"/>
      <c r="AO147" s="114"/>
      <c r="AP147" s="115"/>
      <c r="AQ147" s="111"/>
      <c r="AR147" s="112"/>
      <c r="AS147" s="113"/>
      <c r="AT147" s="145"/>
      <c r="AU147" s="114"/>
      <c r="AV147" s="115"/>
      <c r="AW147" s="111"/>
      <c r="AX147" s="112"/>
      <c r="AY147" s="113"/>
      <c r="AZ147" s="145"/>
      <c r="BA147" s="114"/>
      <c r="BB147" s="115"/>
      <c r="BC147" s="111"/>
      <c r="BD147" s="112"/>
      <c r="BE147" s="113"/>
      <c r="BF147" s="145"/>
      <c r="BG147" s="114"/>
      <c r="BH147" s="115"/>
      <c r="BI147" s="111"/>
      <c r="BJ147" s="112"/>
      <c r="BK147" s="113"/>
      <c r="BL147" s="145"/>
    </row>
    <row r="148" spans="1:64" x14ac:dyDescent="0.15">
      <c r="A148" s="2" t="s">
        <v>22</v>
      </c>
      <c r="C148" s="21"/>
      <c r="D148" s="128"/>
      <c r="E148" s="54"/>
      <c r="F148" s="64"/>
      <c r="G148" s="69"/>
      <c r="H148" s="127"/>
      <c r="J148" s="21"/>
      <c r="K148" s="128"/>
      <c r="L148" s="54"/>
      <c r="M148" s="64"/>
      <c r="N148" s="69"/>
      <c r="O148" s="127"/>
      <c r="Q148" s="21"/>
      <c r="R148" s="128"/>
      <c r="S148" s="54"/>
      <c r="T148" s="64"/>
      <c r="U148" s="69"/>
      <c r="V148" s="127"/>
      <c r="X148" s="21"/>
      <c r="Y148" s="128"/>
      <c r="Z148" s="54"/>
      <c r="AA148" s="64"/>
      <c r="AB148" s="69"/>
      <c r="AC148">
        <v>4</v>
      </c>
      <c r="AD148" s="21"/>
      <c r="AE148" s="128"/>
      <c r="AF148" s="54"/>
      <c r="AG148" s="64"/>
      <c r="AH148" s="69">
        <v>1</v>
      </c>
      <c r="AJ148" s="21"/>
      <c r="AK148" s="128"/>
      <c r="AL148" s="54"/>
      <c r="AM148" s="64"/>
      <c r="AN148" s="69"/>
      <c r="AP148" s="21"/>
      <c r="AQ148" s="128"/>
      <c r="AR148" s="54"/>
      <c r="AS148" s="64"/>
      <c r="AT148" s="69"/>
      <c r="AV148" s="21"/>
      <c r="AW148" s="128"/>
      <c r="AX148" s="54"/>
      <c r="AY148" s="64"/>
      <c r="AZ148" s="69"/>
      <c r="BB148" s="21"/>
      <c r="BC148" s="128"/>
      <c r="BD148" s="54"/>
      <c r="BE148" s="64"/>
      <c r="BF148" s="69"/>
      <c r="BH148" s="21"/>
      <c r="BI148" s="128"/>
      <c r="BJ148" s="54"/>
      <c r="BK148" s="64"/>
      <c r="BL148" s="69"/>
    </row>
    <row r="149" spans="1:64" x14ac:dyDescent="0.15">
      <c r="A149" s="5" t="s">
        <v>132</v>
      </c>
      <c r="C149" s="21"/>
      <c r="D149" s="128"/>
      <c r="E149" s="54"/>
      <c r="F149" s="64"/>
      <c r="G149" s="69"/>
      <c r="H149" s="127"/>
      <c r="J149" s="21"/>
      <c r="K149" s="128"/>
      <c r="L149" s="54"/>
      <c r="M149" s="64"/>
      <c r="N149" s="69"/>
      <c r="O149" s="127"/>
      <c r="Q149" s="21"/>
      <c r="R149" s="128"/>
      <c r="S149" s="54"/>
      <c r="T149" s="64"/>
      <c r="U149" s="69"/>
      <c r="V149" s="127"/>
      <c r="X149" s="21"/>
      <c r="Y149" s="128"/>
      <c r="Z149" s="54"/>
      <c r="AA149" s="64"/>
      <c r="AB149" s="69"/>
      <c r="AD149" s="21"/>
      <c r="AE149" s="128"/>
      <c r="AF149" s="54"/>
      <c r="AG149" s="64"/>
      <c r="AH149" s="69"/>
      <c r="AJ149" s="21"/>
      <c r="AK149" s="128"/>
      <c r="AL149" s="54"/>
      <c r="AM149" s="64"/>
      <c r="AN149" s="69"/>
      <c r="AP149" s="21"/>
      <c r="AQ149" s="128"/>
      <c r="AR149" s="54"/>
      <c r="AS149" s="64"/>
      <c r="AT149" s="69"/>
      <c r="AV149" s="21"/>
      <c r="AW149" s="128"/>
      <c r="AX149" s="54"/>
      <c r="AY149" s="64"/>
      <c r="AZ149" s="69"/>
      <c r="BB149" s="21"/>
      <c r="BC149" s="128"/>
      <c r="BD149" s="54"/>
      <c r="BE149" s="64"/>
      <c r="BF149" s="69"/>
      <c r="BH149" s="21"/>
      <c r="BI149" s="128"/>
      <c r="BJ149" s="54"/>
      <c r="BK149" s="64"/>
      <c r="BL149" s="69"/>
    </row>
    <row r="150" spans="1:64" x14ac:dyDescent="0.15">
      <c r="A150" s="5" t="s">
        <v>191</v>
      </c>
      <c r="C150" s="21"/>
      <c r="D150" s="128"/>
      <c r="E150" s="54"/>
      <c r="F150" s="64"/>
      <c r="G150" s="69"/>
      <c r="H150" s="127"/>
      <c r="J150" s="21"/>
      <c r="K150" s="128"/>
      <c r="L150" s="54"/>
      <c r="M150" s="64"/>
      <c r="N150" s="69"/>
      <c r="O150" s="127"/>
      <c r="Q150" s="21"/>
      <c r="R150" s="128"/>
      <c r="S150" s="54"/>
      <c r="T150" s="64"/>
      <c r="U150" s="69"/>
      <c r="V150" s="127"/>
      <c r="X150" s="21"/>
      <c r="Y150" s="128"/>
      <c r="Z150" s="54"/>
      <c r="AA150" s="64"/>
      <c r="AB150" s="69"/>
      <c r="AD150" s="21"/>
      <c r="AE150" s="128"/>
      <c r="AF150" s="54"/>
      <c r="AG150" s="64"/>
      <c r="AH150" s="69"/>
      <c r="AJ150" s="21"/>
      <c r="AK150" s="128"/>
      <c r="AL150" s="54"/>
      <c r="AM150" s="64"/>
      <c r="AN150" s="69"/>
      <c r="AP150" s="21"/>
      <c r="AQ150" s="128"/>
      <c r="AR150" s="54"/>
      <c r="AS150" s="64"/>
      <c r="AT150" s="69"/>
      <c r="AV150" s="21"/>
      <c r="AW150" s="128"/>
      <c r="AX150" s="54"/>
      <c r="AY150" s="64"/>
      <c r="AZ150" s="69"/>
      <c r="BB150" s="21"/>
      <c r="BC150" s="128"/>
      <c r="BD150" s="54"/>
      <c r="BE150" s="64"/>
      <c r="BF150" s="69"/>
      <c r="BH150" s="21"/>
      <c r="BI150" s="128"/>
      <c r="BJ150" s="54"/>
      <c r="BK150" s="64"/>
      <c r="BL150" s="69"/>
    </row>
    <row r="151" spans="1:64" x14ac:dyDescent="0.15">
      <c r="A151" s="5" t="s">
        <v>218</v>
      </c>
      <c r="C151" s="21"/>
      <c r="D151" s="128"/>
      <c r="E151" s="54"/>
      <c r="F151" s="64"/>
      <c r="G151" s="69"/>
      <c r="H151" s="127"/>
      <c r="J151" s="21"/>
      <c r="K151" s="128"/>
      <c r="L151" s="54"/>
      <c r="M151" s="64"/>
      <c r="N151" s="69"/>
      <c r="O151" s="127"/>
      <c r="Q151" s="21"/>
      <c r="R151" s="128"/>
      <c r="S151" s="54"/>
      <c r="T151" s="64"/>
      <c r="U151" s="69"/>
      <c r="V151" s="127"/>
      <c r="X151" s="21"/>
      <c r="Y151" s="128"/>
      <c r="Z151" s="54"/>
      <c r="AA151" s="64"/>
      <c r="AB151" s="69"/>
      <c r="AD151" s="21"/>
      <c r="AE151" s="128"/>
      <c r="AF151" s="54"/>
      <c r="AG151" s="64"/>
      <c r="AH151" s="69"/>
      <c r="AJ151" s="21"/>
      <c r="AK151" s="128"/>
      <c r="AL151" s="54"/>
      <c r="AM151" s="64"/>
      <c r="AN151" s="69"/>
      <c r="AP151" s="21"/>
      <c r="AQ151" s="128"/>
      <c r="AR151" s="54"/>
      <c r="AS151" s="64"/>
      <c r="AT151" s="69"/>
      <c r="AV151" s="21"/>
      <c r="AW151" s="128"/>
      <c r="AX151" s="54"/>
      <c r="AY151" s="64"/>
      <c r="AZ151" s="69"/>
      <c r="BB151" s="21"/>
      <c r="BC151" s="128"/>
      <c r="BD151" s="54"/>
      <c r="BE151" s="64"/>
      <c r="BF151" s="69"/>
      <c r="BH151" s="21"/>
      <c r="BI151" s="128"/>
      <c r="BJ151" s="54"/>
      <c r="BK151" s="64"/>
      <c r="BL151" s="69"/>
    </row>
    <row r="152" spans="1:64" x14ac:dyDescent="0.15">
      <c r="A152" s="5" t="s">
        <v>203</v>
      </c>
      <c r="C152" s="21"/>
      <c r="D152" s="128"/>
      <c r="E152" s="54"/>
      <c r="F152" s="64"/>
      <c r="G152" s="69"/>
      <c r="H152" s="127"/>
      <c r="J152" s="21"/>
      <c r="K152" s="128"/>
      <c r="L152" s="54"/>
      <c r="M152" s="64"/>
      <c r="N152" s="69"/>
      <c r="O152" s="127"/>
      <c r="Q152" s="21"/>
      <c r="R152" s="128"/>
      <c r="S152" s="54"/>
      <c r="T152" s="64"/>
      <c r="U152" s="69"/>
      <c r="V152" s="127"/>
      <c r="X152" s="21"/>
      <c r="Y152" s="128"/>
      <c r="Z152" s="54"/>
      <c r="AA152" s="64"/>
      <c r="AB152" s="69"/>
      <c r="AD152" s="21"/>
      <c r="AE152" s="128"/>
      <c r="AF152" s="54"/>
      <c r="AG152" s="64"/>
      <c r="AH152" s="69"/>
      <c r="AJ152" s="21"/>
      <c r="AK152" s="128"/>
      <c r="AL152" s="54"/>
      <c r="AM152" s="64"/>
      <c r="AN152" s="69"/>
      <c r="AP152" s="21"/>
      <c r="AQ152" s="128"/>
      <c r="AR152" s="54"/>
      <c r="AS152" s="64"/>
      <c r="AT152" s="69"/>
      <c r="AV152" s="21"/>
      <c r="AW152" s="128"/>
      <c r="AX152" s="54"/>
      <c r="AY152" s="64"/>
      <c r="AZ152" s="69"/>
      <c r="BB152" s="21"/>
      <c r="BC152" s="128"/>
      <c r="BD152" s="54"/>
      <c r="BE152" s="64"/>
      <c r="BF152" s="69"/>
      <c r="BH152" s="21"/>
      <c r="BI152" s="128"/>
      <c r="BJ152" s="54"/>
      <c r="BK152" s="64"/>
      <c r="BL152" s="69"/>
    </row>
    <row r="153" spans="1:64" x14ac:dyDescent="0.15">
      <c r="A153" s="2" t="s">
        <v>23</v>
      </c>
      <c r="C153" s="21"/>
      <c r="D153" s="128"/>
      <c r="E153" s="54"/>
      <c r="F153" s="64"/>
      <c r="G153" s="69"/>
      <c r="H153" s="127"/>
      <c r="J153" s="21"/>
      <c r="K153" s="128"/>
      <c r="L153" s="54"/>
      <c r="M153" s="64"/>
      <c r="N153" s="69"/>
      <c r="O153" s="127">
        <v>1</v>
      </c>
      <c r="Q153" s="21"/>
      <c r="R153" s="128"/>
      <c r="S153" s="54"/>
      <c r="T153" s="64"/>
      <c r="U153" s="69"/>
      <c r="V153" s="127"/>
      <c r="X153" s="21"/>
      <c r="Y153" s="128"/>
      <c r="Z153" s="54"/>
      <c r="AA153" s="64"/>
      <c r="AB153" s="69"/>
      <c r="AD153" s="21"/>
      <c r="AE153" s="128"/>
      <c r="AF153" s="54"/>
      <c r="AG153" s="64"/>
      <c r="AH153" s="69"/>
      <c r="AJ153" s="21"/>
      <c r="AK153" s="128"/>
      <c r="AL153" s="54"/>
      <c r="AM153" s="64"/>
      <c r="AN153" s="69"/>
      <c r="AP153" s="21"/>
      <c r="AQ153" s="128"/>
      <c r="AR153" s="54"/>
      <c r="AS153" s="64"/>
      <c r="AT153" s="69"/>
      <c r="AV153" s="21"/>
      <c r="AW153" s="128"/>
      <c r="AX153" s="54"/>
      <c r="AY153" s="64"/>
      <c r="AZ153" s="69"/>
      <c r="BB153" s="21"/>
      <c r="BC153" s="128"/>
      <c r="BD153" s="54"/>
      <c r="BE153" s="64"/>
      <c r="BF153" s="69"/>
      <c r="BH153" s="21"/>
      <c r="BI153" s="128"/>
      <c r="BJ153" s="54"/>
      <c r="BK153" s="64"/>
      <c r="BL153" s="69"/>
    </row>
    <row r="154" spans="1:64" x14ac:dyDescent="0.15">
      <c r="A154" s="2" t="s">
        <v>208</v>
      </c>
      <c r="C154" s="21"/>
      <c r="D154" s="128"/>
      <c r="E154" s="54"/>
      <c r="F154" s="64"/>
      <c r="G154" s="69"/>
      <c r="H154" s="127"/>
      <c r="J154" s="21"/>
      <c r="K154" s="128"/>
      <c r="L154" s="54"/>
      <c r="M154" s="64"/>
      <c r="N154" s="69"/>
      <c r="O154" s="127">
        <v>1</v>
      </c>
      <c r="Q154" s="21"/>
      <c r="R154" s="128"/>
      <c r="S154" s="54"/>
      <c r="T154" s="64"/>
      <c r="U154" s="69"/>
      <c r="V154" s="127">
        <v>1</v>
      </c>
      <c r="X154" s="21"/>
      <c r="Y154" s="128"/>
      <c r="Z154" s="54"/>
      <c r="AA154" s="64"/>
      <c r="AB154" s="69"/>
      <c r="AD154" s="21"/>
      <c r="AE154" s="128"/>
      <c r="AF154" s="54"/>
      <c r="AG154" s="64"/>
      <c r="AH154" s="69"/>
      <c r="AJ154" s="21"/>
      <c r="AK154" s="128"/>
      <c r="AL154" s="54"/>
      <c r="AM154" s="64"/>
      <c r="AN154" s="69"/>
      <c r="AP154" s="21"/>
      <c r="AQ154" s="128"/>
      <c r="AR154" s="54"/>
      <c r="AS154" s="64"/>
      <c r="AT154" s="69"/>
      <c r="AV154" s="21"/>
      <c r="AW154" s="128"/>
      <c r="AX154" s="54"/>
      <c r="AY154" s="64"/>
      <c r="AZ154" s="69"/>
      <c r="BB154" s="21"/>
      <c r="BC154" s="128"/>
      <c r="BD154" s="54"/>
      <c r="BE154" s="64"/>
      <c r="BF154" s="69"/>
      <c r="BH154" s="21"/>
      <c r="BI154" s="128"/>
      <c r="BJ154" s="54"/>
      <c r="BK154" s="64"/>
      <c r="BL154" s="69"/>
    </row>
    <row r="155" spans="1:64" x14ac:dyDescent="0.15">
      <c r="A155" s="2" t="s">
        <v>41</v>
      </c>
      <c r="C155" s="21"/>
      <c r="D155" s="128">
        <v>1</v>
      </c>
      <c r="E155" s="54"/>
      <c r="F155" s="64"/>
      <c r="G155" s="69"/>
      <c r="H155" s="127"/>
      <c r="J155" s="21"/>
      <c r="K155" s="128"/>
      <c r="L155" s="54"/>
      <c r="M155" s="64"/>
      <c r="N155" s="69"/>
      <c r="O155" s="127"/>
      <c r="Q155" s="21"/>
      <c r="R155" s="128"/>
      <c r="S155" s="54"/>
      <c r="T155" s="64"/>
      <c r="U155" s="69"/>
      <c r="V155" s="127"/>
      <c r="X155" s="21"/>
      <c r="Y155" s="128"/>
      <c r="Z155" s="54"/>
      <c r="AA155" s="64"/>
      <c r="AB155" s="69"/>
      <c r="AD155" s="21"/>
      <c r="AE155" s="128"/>
      <c r="AF155" s="54"/>
      <c r="AG155" s="64"/>
      <c r="AH155" s="69"/>
      <c r="AJ155" s="21"/>
      <c r="AK155" s="128"/>
      <c r="AL155" s="54"/>
      <c r="AM155" s="64"/>
      <c r="AN155" s="69"/>
      <c r="AP155" s="21"/>
      <c r="AQ155" s="128"/>
      <c r="AR155" s="54"/>
      <c r="AS155" s="64"/>
      <c r="AT155" s="69"/>
      <c r="AV155" s="21"/>
      <c r="AW155" s="128"/>
      <c r="AX155" s="54"/>
      <c r="AY155" s="64"/>
      <c r="AZ155" s="69"/>
      <c r="BB155" s="21"/>
      <c r="BC155" s="128"/>
      <c r="BD155" s="54"/>
      <c r="BE155" s="64"/>
      <c r="BF155" s="69"/>
      <c r="BH155" s="21"/>
      <c r="BI155" s="128"/>
      <c r="BJ155" s="54"/>
      <c r="BK155" s="64"/>
      <c r="BL155" s="69"/>
    </row>
    <row r="156" spans="1:64" x14ac:dyDescent="0.15">
      <c r="A156" s="5" t="s">
        <v>95</v>
      </c>
      <c r="C156" s="21"/>
      <c r="D156" s="128"/>
      <c r="E156" s="54"/>
      <c r="F156" s="64"/>
      <c r="G156" s="69"/>
      <c r="H156" s="127"/>
      <c r="J156" s="21"/>
      <c r="K156" s="128"/>
      <c r="L156" s="54"/>
      <c r="M156" s="64"/>
      <c r="N156" s="69"/>
      <c r="O156" s="127"/>
      <c r="Q156" s="21"/>
      <c r="R156" s="128"/>
      <c r="S156" s="54"/>
      <c r="T156" s="64"/>
      <c r="U156" s="69"/>
      <c r="V156" s="127"/>
      <c r="X156" s="21"/>
      <c r="Y156" s="128"/>
      <c r="Z156" s="54"/>
      <c r="AA156" s="64"/>
      <c r="AB156" s="69"/>
      <c r="AD156" s="21"/>
      <c r="AE156" s="128"/>
      <c r="AF156" s="54"/>
      <c r="AG156" s="64"/>
      <c r="AH156" s="69"/>
      <c r="AJ156" s="21"/>
      <c r="AK156" s="128"/>
      <c r="AL156" s="54"/>
      <c r="AM156" s="64"/>
      <c r="AN156" s="69"/>
      <c r="AP156" s="21"/>
      <c r="AQ156" s="128"/>
      <c r="AR156" s="54"/>
      <c r="AS156" s="64"/>
      <c r="AT156" s="69"/>
      <c r="AV156" s="21"/>
      <c r="AW156" s="128"/>
      <c r="AX156" s="54"/>
      <c r="AY156" s="64"/>
      <c r="AZ156" s="69"/>
      <c r="BB156" s="21"/>
      <c r="BC156" s="128"/>
      <c r="BD156" s="54"/>
      <c r="BE156" s="64"/>
      <c r="BF156" s="69"/>
      <c r="BH156" s="21"/>
      <c r="BI156" s="128"/>
      <c r="BJ156" s="54"/>
      <c r="BK156" s="64"/>
      <c r="BL156" s="69"/>
    </row>
    <row r="157" spans="1:64" x14ac:dyDescent="0.15">
      <c r="A157" s="5" t="s">
        <v>111</v>
      </c>
      <c r="C157" s="21"/>
      <c r="D157" s="128"/>
      <c r="E157" s="54"/>
      <c r="F157" s="64"/>
      <c r="G157" s="69"/>
      <c r="H157" s="127"/>
      <c r="J157" s="21"/>
      <c r="K157" s="128"/>
      <c r="L157" s="54"/>
      <c r="M157" s="64"/>
      <c r="N157" s="69">
        <v>1</v>
      </c>
      <c r="O157" s="127"/>
      <c r="Q157" s="21"/>
      <c r="R157" s="128"/>
      <c r="S157" s="54"/>
      <c r="T157" s="64"/>
      <c r="U157" s="69"/>
      <c r="V157" s="127"/>
      <c r="X157" s="21"/>
      <c r="Y157" s="128"/>
      <c r="Z157" s="54"/>
      <c r="AA157" s="64"/>
      <c r="AB157" s="69"/>
      <c r="AD157" s="21"/>
      <c r="AE157" s="128"/>
      <c r="AF157" s="54"/>
      <c r="AG157" s="64"/>
      <c r="AH157" s="69"/>
      <c r="AJ157" s="21"/>
      <c r="AK157" s="128"/>
      <c r="AL157" s="54"/>
      <c r="AM157" s="64"/>
      <c r="AN157" s="69"/>
      <c r="AP157" s="21"/>
      <c r="AQ157" s="128"/>
      <c r="AR157" s="54"/>
      <c r="AS157" s="64"/>
      <c r="AT157" s="69"/>
      <c r="AV157" s="21"/>
      <c r="AW157" s="128"/>
      <c r="AX157" s="54"/>
      <c r="AY157" s="64"/>
      <c r="AZ157" s="69"/>
      <c r="BB157" s="21"/>
      <c r="BC157" s="128"/>
      <c r="BD157" s="54"/>
      <c r="BE157" s="64"/>
      <c r="BF157" s="69"/>
      <c r="BH157" s="21"/>
      <c r="BI157" s="128"/>
      <c r="BJ157" s="54"/>
      <c r="BK157" s="64"/>
      <c r="BL157" s="69"/>
    </row>
    <row r="158" spans="1:64" x14ac:dyDescent="0.15">
      <c r="A158" s="2" t="s">
        <v>7</v>
      </c>
      <c r="C158" s="21"/>
      <c r="D158" s="128"/>
      <c r="E158" s="54">
        <v>1</v>
      </c>
      <c r="F158" s="64">
        <v>1</v>
      </c>
      <c r="G158" s="69">
        <v>1</v>
      </c>
      <c r="H158" s="127">
        <v>1</v>
      </c>
      <c r="J158" s="21">
        <v>1</v>
      </c>
      <c r="K158" s="128">
        <v>1</v>
      </c>
      <c r="L158" s="54">
        <v>1</v>
      </c>
      <c r="M158" s="64">
        <v>1</v>
      </c>
      <c r="N158" s="69">
        <v>1</v>
      </c>
      <c r="O158" s="127">
        <v>1</v>
      </c>
      <c r="P158">
        <v>2</v>
      </c>
      <c r="Q158" s="21">
        <v>1</v>
      </c>
      <c r="R158" s="128">
        <v>1</v>
      </c>
      <c r="S158" s="54">
        <v>1</v>
      </c>
      <c r="T158" s="64">
        <v>2</v>
      </c>
      <c r="U158" s="69">
        <v>2</v>
      </c>
      <c r="V158" s="127">
        <v>1</v>
      </c>
      <c r="X158" s="21">
        <v>1</v>
      </c>
      <c r="Y158" s="128"/>
      <c r="Z158" s="54"/>
      <c r="AA158" s="64"/>
      <c r="AB158" s="69"/>
      <c r="AC158">
        <v>1</v>
      </c>
      <c r="AD158" s="21">
        <v>2</v>
      </c>
      <c r="AE158" s="128">
        <v>2</v>
      </c>
      <c r="AF158" s="54">
        <v>2</v>
      </c>
      <c r="AG158" s="64">
        <v>2</v>
      </c>
      <c r="AH158" s="69">
        <v>2</v>
      </c>
      <c r="AJ158" s="21">
        <v>2</v>
      </c>
      <c r="AK158" s="128">
        <v>2</v>
      </c>
      <c r="AL158" s="54">
        <v>2</v>
      </c>
      <c r="AM158" s="64">
        <v>2</v>
      </c>
      <c r="AN158" s="69">
        <v>1</v>
      </c>
      <c r="AP158" s="21"/>
      <c r="AQ158" s="128"/>
      <c r="AR158" s="54"/>
      <c r="AS158" s="64"/>
      <c r="AT158" s="69"/>
      <c r="AV158" s="21"/>
      <c r="AW158" s="128"/>
      <c r="AX158" s="54"/>
      <c r="AY158" s="64"/>
      <c r="AZ158" s="69">
        <v>1</v>
      </c>
      <c r="BA158">
        <v>1</v>
      </c>
      <c r="BB158" s="21">
        <v>1</v>
      </c>
      <c r="BC158" s="128">
        <v>1</v>
      </c>
      <c r="BD158" s="54">
        <v>1</v>
      </c>
      <c r="BE158" s="64">
        <v>1</v>
      </c>
      <c r="BF158" s="69">
        <v>1</v>
      </c>
      <c r="BG158">
        <v>1</v>
      </c>
      <c r="BH158" s="21"/>
      <c r="BI158" s="128">
        <v>1</v>
      </c>
      <c r="BJ158" s="54">
        <v>1</v>
      </c>
      <c r="BK158" s="64">
        <v>1</v>
      </c>
      <c r="BL158" s="69">
        <v>1</v>
      </c>
    </row>
    <row r="159" spans="1:64" x14ac:dyDescent="0.15">
      <c r="A159" s="2" t="s">
        <v>32</v>
      </c>
      <c r="C159" s="21"/>
      <c r="D159" s="128">
        <v>1</v>
      </c>
      <c r="E159" s="54">
        <v>1</v>
      </c>
      <c r="F159" s="64"/>
      <c r="G159" s="69"/>
      <c r="H159" s="127"/>
      <c r="J159" s="21"/>
      <c r="K159" s="128">
        <v>1</v>
      </c>
      <c r="L159" s="54"/>
      <c r="M159" s="64"/>
      <c r="N159" s="69"/>
      <c r="O159" s="127"/>
      <c r="Q159" s="21"/>
      <c r="R159" s="128"/>
      <c r="S159" s="54"/>
      <c r="T159" s="64"/>
      <c r="U159" s="69"/>
      <c r="V159" s="127"/>
      <c r="X159" s="21"/>
      <c r="Y159" s="128"/>
      <c r="Z159" s="54"/>
      <c r="AA159" s="64"/>
      <c r="AB159" s="69"/>
      <c r="AD159" s="21"/>
      <c r="AE159" s="128"/>
      <c r="AF159" s="54"/>
      <c r="AG159" s="64"/>
      <c r="AH159" s="69"/>
      <c r="AJ159" s="21"/>
      <c r="AK159" s="128"/>
      <c r="AL159" s="54"/>
      <c r="AM159" s="64"/>
      <c r="AN159" s="69"/>
      <c r="AP159" s="21"/>
      <c r="AQ159" s="128"/>
      <c r="AR159" s="54"/>
      <c r="AS159" s="64"/>
      <c r="AT159" s="69"/>
      <c r="AV159" s="21"/>
      <c r="AW159" s="128"/>
      <c r="AX159" s="54"/>
      <c r="AY159" s="64"/>
      <c r="AZ159" s="69"/>
      <c r="BB159" s="21"/>
      <c r="BC159" s="128"/>
      <c r="BD159" s="54"/>
      <c r="BE159" s="64"/>
      <c r="BF159" s="69"/>
      <c r="BH159" s="21"/>
      <c r="BI159" s="128"/>
      <c r="BJ159" s="54"/>
      <c r="BK159" s="64"/>
      <c r="BL159" s="69"/>
    </row>
    <row r="160" spans="1:64" x14ac:dyDescent="0.15">
      <c r="A160" s="5" t="s">
        <v>72</v>
      </c>
      <c r="C160" s="21"/>
      <c r="D160" s="128"/>
      <c r="E160" s="54"/>
      <c r="F160" s="64"/>
      <c r="G160" s="69"/>
      <c r="H160" s="127"/>
      <c r="J160" s="21"/>
      <c r="K160" s="128">
        <v>1</v>
      </c>
      <c r="L160" s="54"/>
      <c r="M160" s="64"/>
      <c r="N160" s="69"/>
      <c r="O160" s="127"/>
      <c r="Q160" s="21"/>
      <c r="R160" s="128">
        <v>1</v>
      </c>
      <c r="S160" s="54"/>
      <c r="T160" s="64"/>
      <c r="U160" s="69"/>
      <c r="V160" s="127"/>
      <c r="X160" s="21"/>
      <c r="Y160" s="128"/>
      <c r="Z160" s="54"/>
      <c r="AA160" s="64"/>
      <c r="AB160" s="69"/>
      <c r="AD160" s="21"/>
      <c r="AE160" s="128"/>
      <c r="AF160" s="54"/>
      <c r="AG160" s="64"/>
      <c r="AH160" s="69"/>
      <c r="AJ160" s="21"/>
      <c r="AK160" s="128"/>
      <c r="AL160" s="54"/>
      <c r="AM160" s="64"/>
      <c r="AN160" s="69"/>
      <c r="AP160" s="21"/>
      <c r="AQ160" s="128"/>
      <c r="AR160" s="54"/>
      <c r="AS160" s="64"/>
      <c r="AT160" s="69"/>
      <c r="AV160" s="21"/>
      <c r="AW160" s="128"/>
      <c r="AX160" s="54"/>
      <c r="AY160" s="64"/>
      <c r="AZ160" s="69"/>
      <c r="BB160" s="21"/>
      <c r="BC160" s="128"/>
      <c r="BD160" s="54"/>
      <c r="BE160" s="64"/>
      <c r="BF160" s="69"/>
      <c r="BH160" s="21"/>
      <c r="BI160" s="128"/>
      <c r="BJ160" s="54"/>
      <c r="BK160" s="64"/>
      <c r="BL160" s="69"/>
    </row>
    <row r="161" spans="1:65" x14ac:dyDescent="0.15">
      <c r="A161" s="5" t="s">
        <v>61</v>
      </c>
      <c r="C161" s="21"/>
      <c r="D161" s="128"/>
      <c r="E161" s="54"/>
      <c r="F161" s="64"/>
      <c r="G161" s="69"/>
      <c r="H161" s="127"/>
      <c r="J161" s="21"/>
      <c r="K161" s="128"/>
      <c r="L161" s="54"/>
      <c r="M161" s="64"/>
      <c r="N161" s="69"/>
      <c r="O161" s="127"/>
      <c r="Q161" s="21"/>
      <c r="R161" s="128"/>
      <c r="S161" s="54"/>
      <c r="T161" s="64"/>
      <c r="U161" s="69"/>
      <c r="V161" s="127"/>
      <c r="X161" s="21">
        <v>1</v>
      </c>
      <c r="Y161" s="128"/>
      <c r="Z161" s="54">
        <v>1</v>
      </c>
      <c r="AA161" s="64">
        <v>1</v>
      </c>
      <c r="AB161" s="69">
        <v>1</v>
      </c>
      <c r="AD161" s="21"/>
      <c r="AE161" s="128"/>
      <c r="AF161" s="54"/>
      <c r="AG161" s="64"/>
      <c r="AH161" s="69"/>
      <c r="AJ161" s="21"/>
      <c r="AK161" s="128">
        <v>1</v>
      </c>
      <c r="AL161" s="54">
        <v>1</v>
      </c>
      <c r="AM161" s="64">
        <v>1</v>
      </c>
      <c r="AN161" s="69"/>
      <c r="AP161" s="21"/>
      <c r="AQ161" s="128"/>
      <c r="AR161" s="54"/>
      <c r="AS161" s="64"/>
      <c r="AT161" s="69"/>
      <c r="AV161" s="21"/>
      <c r="AW161" s="128"/>
      <c r="AX161" s="54"/>
      <c r="AY161" s="64"/>
      <c r="AZ161" s="69"/>
      <c r="BB161" s="21"/>
      <c r="BC161" s="128"/>
      <c r="BD161" s="54"/>
      <c r="BE161" s="64"/>
      <c r="BF161" s="69"/>
      <c r="BH161" s="21"/>
      <c r="BI161" s="128"/>
      <c r="BJ161" s="54"/>
      <c r="BK161" s="64"/>
      <c r="BL161" s="69"/>
    </row>
    <row r="162" spans="1:65" x14ac:dyDescent="0.15">
      <c r="A162" s="5" t="s">
        <v>42</v>
      </c>
      <c r="C162" s="21"/>
      <c r="D162" s="128"/>
      <c r="E162" s="54"/>
      <c r="F162" s="64"/>
      <c r="G162" s="69"/>
      <c r="H162" s="127"/>
      <c r="J162" s="21"/>
      <c r="K162" s="128"/>
      <c r="L162" s="54"/>
      <c r="M162" s="64"/>
      <c r="N162" s="69"/>
      <c r="O162" s="127"/>
      <c r="Q162" s="21"/>
      <c r="R162" s="128"/>
      <c r="S162" s="54"/>
      <c r="T162" s="64">
        <v>1</v>
      </c>
      <c r="U162" s="69">
        <v>1</v>
      </c>
      <c r="V162" s="127">
        <v>1</v>
      </c>
      <c r="X162" s="21"/>
      <c r="Y162" s="128"/>
      <c r="Z162" s="54"/>
      <c r="AA162" s="64"/>
      <c r="AB162" s="69"/>
      <c r="AD162" s="21"/>
      <c r="AE162" s="128"/>
      <c r="AF162" s="54"/>
      <c r="AG162" s="64"/>
      <c r="AH162" s="69"/>
      <c r="AJ162" s="21"/>
      <c r="AK162" s="128"/>
      <c r="AL162" s="54"/>
      <c r="AM162" s="64"/>
      <c r="AN162" s="69"/>
      <c r="AP162" s="21"/>
      <c r="AQ162" s="128">
        <v>1</v>
      </c>
      <c r="AR162" s="54">
        <v>1</v>
      </c>
      <c r="AS162" s="64">
        <v>2</v>
      </c>
      <c r="AT162" s="69">
        <v>1</v>
      </c>
      <c r="AV162" s="21"/>
      <c r="AW162" s="128"/>
      <c r="AX162" s="54"/>
      <c r="AY162" s="64">
        <v>1</v>
      </c>
      <c r="AZ162" s="69">
        <v>2</v>
      </c>
      <c r="BB162" s="21"/>
      <c r="BC162" s="128"/>
      <c r="BD162" s="54"/>
      <c r="BE162" s="64"/>
      <c r="BF162" s="69">
        <v>1</v>
      </c>
      <c r="BH162" s="21"/>
      <c r="BI162" s="128"/>
      <c r="BJ162" s="54"/>
      <c r="BK162" s="64"/>
      <c r="BL162" s="69"/>
    </row>
    <row r="163" spans="1:65" x14ac:dyDescent="0.15">
      <c r="A163" s="5" t="s">
        <v>205</v>
      </c>
      <c r="C163" s="21"/>
      <c r="D163" s="128"/>
      <c r="E163" s="54"/>
      <c r="F163" s="64"/>
      <c r="G163" s="69"/>
      <c r="H163" s="127"/>
      <c r="J163" s="21"/>
      <c r="K163" s="128"/>
      <c r="L163" s="54"/>
      <c r="M163" s="64"/>
      <c r="N163" s="69"/>
      <c r="O163" s="127"/>
      <c r="Q163" s="21"/>
      <c r="R163" s="128"/>
      <c r="S163" s="54"/>
      <c r="T163" s="64"/>
      <c r="U163" s="69"/>
      <c r="V163" s="127"/>
      <c r="X163" s="21"/>
      <c r="Y163" s="128"/>
      <c r="Z163" s="54"/>
      <c r="AA163" s="64"/>
      <c r="AB163" s="69"/>
      <c r="AD163" s="21"/>
      <c r="AE163" s="128"/>
      <c r="AF163" s="54"/>
      <c r="AG163" s="64"/>
      <c r="AH163" s="69"/>
      <c r="AJ163" s="21"/>
      <c r="AK163" s="128"/>
      <c r="AL163" s="54"/>
      <c r="AM163" s="64"/>
      <c r="AN163" s="69"/>
      <c r="AP163" s="21"/>
      <c r="AQ163" s="128"/>
      <c r="AR163" s="54"/>
      <c r="AS163" s="64"/>
      <c r="AT163" s="69"/>
      <c r="AV163" s="21"/>
      <c r="AW163" s="128"/>
      <c r="AX163" s="54"/>
      <c r="AY163" s="64"/>
      <c r="AZ163" s="69"/>
      <c r="BB163" s="21"/>
      <c r="BC163" s="128"/>
      <c r="BD163" s="54"/>
      <c r="BE163" s="64"/>
      <c r="BF163" s="69"/>
      <c r="BH163" s="21"/>
      <c r="BI163" s="128"/>
      <c r="BJ163" s="54"/>
      <c r="BK163" s="64"/>
      <c r="BL163" s="69">
        <v>1</v>
      </c>
    </row>
    <row r="164" spans="1:65" x14ac:dyDescent="0.15">
      <c r="A164" s="2" t="s">
        <v>213</v>
      </c>
      <c r="C164" s="21"/>
      <c r="D164" s="128"/>
      <c r="E164" s="54"/>
      <c r="F164" s="64"/>
      <c r="G164" s="69"/>
      <c r="H164" s="127"/>
      <c r="J164" s="21"/>
      <c r="K164" s="128"/>
      <c r="L164" s="54"/>
      <c r="M164" s="64"/>
      <c r="N164" s="69"/>
      <c r="O164" s="127"/>
      <c r="Q164" s="21"/>
      <c r="R164" s="128"/>
      <c r="S164" s="54"/>
      <c r="T164" s="64"/>
      <c r="U164" s="69"/>
      <c r="V164" s="127"/>
      <c r="X164" s="21"/>
      <c r="Y164" s="128"/>
      <c r="Z164" s="54"/>
      <c r="AA164" s="64"/>
      <c r="AB164" s="69"/>
      <c r="AD164" s="21"/>
      <c r="AE164" s="128"/>
      <c r="AF164" s="54"/>
      <c r="AG164" s="64"/>
      <c r="AH164" s="69"/>
      <c r="AJ164" s="21"/>
      <c r="AK164" s="128"/>
      <c r="AL164" s="54"/>
      <c r="AM164" s="64"/>
      <c r="AN164" s="69"/>
      <c r="AP164" s="21"/>
      <c r="AQ164" s="128"/>
      <c r="AR164" s="54"/>
      <c r="AS164" s="64"/>
      <c r="AT164" s="69"/>
      <c r="AV164" s="21"/>
      <c r="AW164" s="128"/>
      <c r="AX164" s="54"/>
      <c r="AY164" s="64"/>
      <c r="AZ164" s="69"/>
      <c r="BB164" s="21"/>
      <c r="BC164" s="128"/>
      <c r="BD164" s="54"/>
      <c r="BE164" s="64"/>
      <c r="BF164" s="69"/>
      <c r="BH164" s="21"/>
      <c r="BI164" s="128"/>
      <c r="BJ164" s="54"/>
      <c r="BK164" s="64"/>
      <c r="BL164" s="69"/>
    </row>
    <row r="165" spans="1:65" x14ac:dyDescent="0.15">
      <c r="A165" s="5" t="s">
        <v>96</v>
      </c>
      <c r="C165" s="21"/>
      <c r="D165" s="128"/>
      <c r="E165" s="54"/>
      <c r="F165" s="64"/>
      <c r="G165" s="69"/>
      <c r="H165" s="127"/>
      <c r="J165" s="21"/>
      <c r="K165" s="128"/>
      <c r="L165" s="54"/>
      <c r="M165" s="64"/>
      <c r="N165" s="69"/>
      <c r="O165" s="127"/>
      <c r="Q165" s="21"/>
      <c r="R165" s="128"/>
      <c r="S165" s="54"/>
      <c r="T165" s="64"/>
      <c r="U165" s="69"/>
      <c r="V165" s="127"/>
      <c r="X165" s="21"/>
      <c r="Y165" s="128"/>
      <c r="Z165" s="54"/>
      <c r="AA165" s="64"/>
      <c r="AB165" s="69"/>
      <c r="AD165" s="21"/>
      <c r="AE165" s="128"/>
      <c r="AF165" s="54"/>
      <c r="AG165" s="64"/>
      <c r="AH165" s="69"/>
      <c r="AJ165" s="21"/>
      <c r="AK165" s="128"/>
      <c r="AL165" s="54"/>
      <c r="AM165" s="64"/>
      <c r="AN165" s="69"/>
      <c r="AP165" s="21"/>
      <c r="AQ165" s="128"/>
      <c r="AR165" s="54"/>
      <c r="AS165" s="64"/>
      <c r="AT165" s="69"/>
      <c r="AV165" s="21"/>
      <c r="AW165" s="128"/>
      <c r="AX165" s="54"/>
      <c r="AY165" s="64"/>
      <c r="AZ165" s="69"/>
      <c r="BB165" s="21"/>
      <c r="BC165" s="128"/>
      <c r="BD165" s="54"/>
      <c r="BE165" s="64"/>
      <c r="BF165" s="69"/>
      <c r="BH165" s="21"/>
      <c r="BI165" s="128"/>
      <c r="BJ165" s="54"/>
      <c r="BK165" s="64"/>
      <c r="BL165" s="69"/>
    </row>
    <row r="166" spans="1:65" x14ac:dyDescent="0.15">
      <c r="A166" s="2" t="s">
        <v>175</v>
      </c>
      <c r="C166" s="21"/>
      <c r="D166" s="128"/>
      <c r="E166" s="54"/>
      <c r="F166" s="64"/>
      <c r="G166" s="69"/>
      <c r="H166" s="127"/>
      <c r="J166" s="21"/>
      <c r="K166" s="128"/>
      <c r="L166" s="54"/>
      <c r="M166" s="64"/>
      <c r="N166" s="69"/>
      <c r="O166" s="127"/>
      <c r="Q166" s="21"/>
      <c r="R166" s="128"/>
      <c r="S166" s="54"/>
      <c r="T166" s="64"/>
      <c r="U166" s="69"/>
      <c r="V166" s="127"/>
      <c r="X166" s="21"/>
      <c r="Y166" s="128"/>
      <c r="Z166" s="54"/>
      <c r="AA166" s="64"/>
      <c r="AB166" s="69"/>
      <c r="AD166" s="21"/>
      <c r="AE166" s="128"/>
      <c r="AF166" s="54"/>
      <c r="AG166" s="64"/>
      <c r="AH166" s="69"/>
      <c r="AJ166" s="21"/>
      <c r="AK166" s="128"/>
      <c r="AL166" s="54"/>
      <c r="AM166" s="64"/>
      <c r="AN166" s="69"/>
      <c r="AP166" s="21"/>
      <c r="AQ166" s="128"/>
      <c r="AR166" s="54"/>
      <c r="AS166" s="64"/>
      <c r="AT166" s="69"/>
      <c r="AV166" s="21"/>
      <c r="AW166" s="128"/>
      <c r="AX166" s="54"/>
      <c r="AY166" s="64"/>
      <c r="AZ166" s="69"/>
      <c r="BB166" s="21"/>
      <c r="BC166" s="128"/>
      <c r="BD166" s="54"/>
      <c r="BE166" s="64"/>
      <c r="BF166" s="69"/>
      <c r="BH166" s="21"/>
      <c r="BI166" s="128"/>
      <c r="BJ166" s="54"/>
      <c r="BK166" s="64"/>
      <c r="BL166" s="69"/>
    </row>
    <row r="167" spans="1:65" x14ac:dyDescent="0.15">
      <c r="A167" s="2" t="s">
        <v>24</v>
      </c>
      <c r="B167">
        <v>3</v>
      </c>
      <c r="C167" s="21">
        <v>3</v>
      </c>
      <c r="D167" s="128">
        <v>1</v>
      </c>
      <c r="E167" s="54">
        <v>2</v>
      </c>
      <c r="F167" s="64">
        <v>1</v>
      </c>
      <c r="G167" s="69">
        <v>1</v>
      </c>
      <c r="H167" s="127">
        <v>1</v>
      </c>
      <c r="I167">
        <v>2</v>
      </c>
      <c r="J167" s="21">
        <v>1</v>
      </c>
      <c r="K167" s="128"/>
      <c r="L167" s="54"/>
      <c r="M167" s="64"/>
      <c r="N167" s="69"/>
      <c r="O167" s="127"/>
      <c r="P167">
        <v>3</v>
      </c>
      <c r="Q167" s="21">
        <v>2</v>
      </c>
      <c r="R167" s="128">
        <v>1</v>
      </c>
      <c r="S167" s="54"/>
      <c r="T167" s="64"/>
      <c r="U167" s="69"/>
      <c r="V167" s="127"/>
      <c r="W167">
        <v>4</v>
      </c>
      <c r="X167" s="21">
        <v>2</v>
      </c>
      <c r="Y167" s="128">
        <v>1</v>
      </c>
      <c r="Z167" s="54"/>
      <c r="AA167" s="64"/>
      <c r="AB167" s="69">
        <v>1</v>
      </c>
      <c r="AD167" s="21">
        <v>3</v>
      </c>
      <c r="AE167" s="128">
        <v>1</v>
      </c>
      <c r="AF167" s="54">
        <v>1</v>
      </c>
      <c r="AG167" s="64"/>
      <c r="AH167" s="69"/>
      <c r="AI167">
        <v>3</v>
      </c>
      <c r="AJ167" s="21"/>
      <c r="AK167" s="128">
        <v>1</v>
      </c>
      <c r="AL167" s="54"/>
      <c r="AM167" s="64"/>
      <c r="AN167" s="69">
        <v>1</v>
      </c>
      <c r="AO167">
        <v>3</v>
      </c>
      <c r="AP167" s="21">
        <v>1</v>
      </c>
      <c r="AQ167" s="128">
        <v>1</v>
      </c>
      <c r="AR167" s="54">
        <v>1</v>
      </c>
      <c r="AS167" s="64"/>
      <c r="AT167" s="69">
        <v>2</v>
      </c>
      <c r="AU167">
        <v>3</v>
      </c>
      <c r="AV167" s="21"/>
      <c r="AW167" s="128">
        <v>1</v>
      </c>
      <c r="AX167" s="54"/>
      <c r="AY167" s="64"/>
      <c r="AZ167" s="69"/>
      <c r="BA167">
        <v>1</v>
      </c>
      <c r="BB167" s="21"/>
      <c r="BC167" s="128">
        <v>1</v>
      </c>
      <c r="BD167" s="54"/>
      <c r="BE167" s="64"/>
      <c r="BF167" s="69"/>
      <c r="BG167">
        <v>1</v>
      </c>
      <c r="BH167" s="21">
        <v>1</v>
      </c>
      <c r="BI167" s="128"/>
      <c r="BJ167" s="54"/>
      <c r="BK167" s="64"/>
      <c r="BL167" s="69"/>
    </row>
    <row r="168" spans="1:65" x14ac:dyDescent="0.15">
      <c r="A168" s="2" t="s">
        <v>189</v>
      </c>
      <c r="C168" s="21"/>
      <c r="D168" s="128"/>
      <c r="E168" s="54"/>
      <c r="F168" s="64">
        <v>2</v>
      </c>
      <c r="G168" s="69">
        <v>2</v>
      </c>
      <c r="H168" s="127">
        <v>1</v>
      </c>
      <c r="J168" s="21"/>
      <c r="K168" s="128"/>
      <c r="L168" s="54">
        <v>1</v>
      </c>
      <c r="M168" s="64"/>
      <c r="N168" s="69">
        <v>2</v>
      </c>
      <c r="O168" s="127">
        <v>1</v>
      </c>
      <c r="Q168" s="21"/>
      <c r="R168" s="128"/>
      <c r="S168" s="54">
        <v>1</v>
      </c>
      <c r="T168" s="64">
        <v>1</v>
      </c>
      <c r="U168" s="69">
        <v>1</v>
      </c>
      <c r="V168" s="127">
        <v>1</v>
      </c>
      <c r="X168" s="21"/>
      <c r="Y168" s="128">
        <v>1</v>
      </c>
      <c r="Z168" s="54">
        <v>2</v>
      </c>
      <c r="AA168" s="64">
        <v>1</v>
      </c>
      <c r="AB168" s="69">
        <v>1</v>
      </c>
      <c r="AD168" s="21"/>
      <c r="AE168" s="128"/>
      <c r="AF168" s="54"/>
      <c r="AG168" s="64">
        <v>1</v>
      </c>
      <c r="AH168" s="69">
        <v>2</v>
      </c>
      <c r="AJ168" s="21"/>
      <c r="AK168" s="128"/>
      <c r="AL168" s="54"/>
      <c r="AM168" s="64">
        <v>1</v>
      </c>
      <c r="AN168" s="69">
        <v>1</v>
      </c>
      <c r="AP168" s="21"/>
      <c r="AQ168" s="128">
        <v>1</v>
      </c>
      <c r="AR168" s="54">
        <v>3</v>
      </c>
      <c r="AS168" s="64">
        <v>1</v>
      </c>
      <c r="AT168" s="69">
        <v>1</v>
      </c>
      <c r="AV168" s="21"/>
      <c r="AW168" s="128"/>
      <c r="AX168" s="54"/>
      <c r="AY168" s="64"/>
      <c r="AZ168" s="69"/>
      <c r="BB168" s="21"/>
      <c r="BC168" s="128"/>
      <c r="BD168" s="54"/>
      <c r="BE168" s="64"/>
      <c r="BF168" s="69">
        <v>1</v>
      </c>
      <c r="BH168" s="21"/>
      <c r="BI168" s="128">
        <v>1</v>
      </c>
      <c r="BJ168" s="54">
        <v>1</v>
      </c>
      <c r="BK168" s="64">
        <v>1</v>
      </c>
      <c r="BL168" s="69">
        <v>1</v>
      </c>
    </row>
    <row r="169" spans="1:65" x14ac:dyDescent="0.15">
      <c r="A169" s="196" t="s">
        <v>202</v>
      </c>
      <c r="B169" s="6"/>
      <c r="C169" s="197"/>
      <c r="D169" s="198"/>
      <c r="E169" s="199"/>
      <c r="F169" s="200"/>
      <c r="G169" s="201"/>
      <c r="H169" s="202"/>
      <c r="I169" s="6"/>
      <c r="J169" s="197"/>
      <c r="K169" s="198"/>
      <c r="L169" s="199"/>
      <c r="M169" s="200"/>
      <c r="N169" s="201"/>
      <c r="O169" s="202"/>
      <c r="P169" s="6"/>
      <c r="Q169" s="197"/>
      <c r="R169" s="198"/>
      <c r="S169" s="199"/>
      <c r="T169" s="200"/>
      <c r="U169" s="201"/>
      <c r="V169" s="202"/>
      <c r="W169" s="6"/>
      <c r="X169" s="197"/>
      <c r="Y169" s="198"/>
      <c r="Z169" s="199"/>
      <c r="AA169" s="200"/>
      <c r="AB169" s="201"/>
      <c r="AC169" s="203"/>
      <c r="AD169" s="197"/>
      <c r="AE169" s="198"/>
      <c r="AF169" s="199"/>
      <c r="AG169" s="200"/>
      <c r="AH169" s="201"/>
      <c r="AI169" s="6"/>
      <c r="AJ169" s="197"/>
      <c r="AK169" s="198"/>
      <c r="AL169" s="199"/>
      <c r="AM169" s="200"/>
      <c r="AN169" s="201"/>
      <c r="AO169" s="6"/>
      <c r="AP169" s="197"/>
      <c r="AQ169" s="198"/>
      <c r="AR169" s="199"/>
      <c r="AS169" s="200"/>
      <c r="AT169" s="201"/>
      <c r="AU169" s="203"/>
      <c r="AV169" s="197"/>
      <c r="AW169" s="198"/>
      <c r="AX169" s="199"/>
      <c r="AY169" s="200"/>
      <c r="AZ169" s="201"/>
      <c r="BA169" s="6"/>
      <c r="BB169" s="197"/>
      <c r="BC169" s="198"/>
      <c r="BD169" s="199"/>
      <c r="BE169" s="200"/>
      <c r="BF169" s="201"/>
      <c r="BG169" s="6"/>
      <c r="BH169" s="197"/>
      <c r="BI169" s="198"/>
      <c r="BJ169" s="199"/>
      <c r="BK169" s="200"/>
      <c r="BL169" s="201"/>
    </row>
    <row r="173" spans="1:65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</row>
    <row r="174" spans="1:65" ht="15.75" customHeight="1" x14ac:dyDescent="0.15">
      <c r="A174" t="s">
        <v>0</v>
      </c>
      <c r="B174" s="242">
        <v>21</v>
      </c>
      <c r="C174" s="242"/>
      <c r="D174" s="242"/>
      <c r="E174" s="242"/>
      <c r="F174" s="242"/>
      <c r="G174" s="242"/>
      <c r="H174" s="242">
        <v>22</v>
      </c>
      <c r="I174" s="242"/>
      <c r="J174" s="242"/>
      <c r="K174" s="242"/>
      <c r="L174" s="242"/>
      <c r="M174" s="242"/>
      <c r="N174" s="242">
        <v>22</v>
      </c>
      <c r="O174" s="242"/>
      <c r="P174" s="242"/>
      <c r="Q174" s="242"/>
      <c r="R174" s="242"/>
      <c r="S174" s="242"/>
      <c r="T174" s="242">
        <v>23</v>
      </c>
      <c r="U174" s="242"/>
      <c r="V174" s="242"/>
      <c r="W174" s="242"/>
      <c r="X174" s="242"/>
      <c r="Y174" s="242"/>
      <c r="Z174" s="242">
        <v>24</v>
      </c>
      <c r="AA174" s="242"/>
      <c r="AB174" s="242"/>
      <c r="AC174" s="242"/>
      <c r="AD174" s="242"/>
      <c r="AE174" s="242"/>
      <c r="AF174" s="242">
        <v>25</v>
      </c>
      <c r="AG174" s="242"/>
      <c r="AH174" s="242"/>
      <c r="AI174" s="242"/>
      <c r="AJ174" s="242"/>
      <c r="AK174" s="242"/>
      <c r="AL174" s="245" t="s">
        <v>209</v>
      </c>
      <c r="AM174" s="245"/>
      <c r="AN174" s="245"/>
      <c r="AO174" s="245"/>
      <c r="AP174" s="242">
        <v>26</v>
      </c>
      <c r="AQ174" s="242"/>
      <c r="AR174" s="242"/>
      <c r="AS174" s="242"/>
      <c r="AT174" s="242"/>
      <c r="AU174" s="242"/>
      <c r="AV174" s="242">
        <v>28</v>
      </c>
      <c r="AW174" s="242"/>
      <c r="AX174" s="242"/>
      <c r="AY174" s="242"/>
      <c r="AZ174" s="242"/>
      <c r="BA174" s="242"/>
      <c r="BB174" s="242">
        <v>29</v>
      </c>
      <c r="BC174" s="242"/>
      <c r="BD174" s="242"/>
      <c r="BE174" s="242"/>
      <c r="BF174" s="242"/>
      <c r="BG174" s="242"/>
      <c r="BH174" s="242">
        <v>30</v>
      </c>
      <c r="BI174" s="242"/>
      <c r="BJ174" s="242"/>
      <c r="BK174" s="242"/>
      <c r="BL174" s="242"/>
      <c r="BM174" s="242"/>
    </row>
    <row r="175" spans="1:65" ht="27.75" customHeight="1" x14ac:dyDescent="0.15">
      <c r="A175" s="6" t="s">
        <v>1</v>
      </c>
      <c r="B175" s="243" t="s">
        <v>138</v>
      </c>
      <c r="C175" s="243"/>
      <c r="D175" s="243"/>
      <c r="E175" s="243"/>
      <c r="F175" s="243"/>
      <c r="G175" s="243"/>
      <c r="H175" s="243" t="s">
        <v>206</v>
      </c>
      <c r="I175" s="243"/>
      <c r="J175" s="243"/>
      <c r="K175" s="243"/>
      <c r="L175" s="243"/>
      <c r="M175" s="243"/>
      <c r="N175" s="243" t="s">
        <v>207</v>
      </c>
      <c r="O175" s="243"/>
      <c r="P175" s="243"/>
      <c r="Q175" s="243"/>
      <c r="R175" s="243"/>
      <c r="S175" s="243"/>
      <c r="T175" s="243" t="s">
        <v>139</v>
      </c>
      <c r="U175" s="243"/>
      <c r="V175" s="243"/>
      <c r="W175" s="243"/>
      <c r="X175" s="243"/>
      <c r="Y175" s="243"/>
      <c r="Z175" s="243" t="s">
        <v>140</v>
      </c>
      <c r="AA175" s="243"/>
      <c r="AB175" s="243"/>
      <c r="AC175" s="243"/>
      <c r="AD175" s="243"/>
      <c r="AE175" s="243"/>
      <c r="AF175" s="243" t="s">
        <v>141</v>
      </c>
      <c r="AG175" s="243"/>
      <c r="AH175" s="243"/>
      <c r="AI175" s="243"/>
      <c r="AJ175" s="243"/>
      <c r="AK175" s="243"/>
      <c r="AL175" s="243" t="s">
        <v>257</v>
      </c>
      <c r="AM175" s="243"/>
      <c r="AN175" s="243"/>
      <c r="AO175" s="243"/>
      <c r="AP175" s="243" t="s">
        <v>142</v>
      </c>
      <c r="AQ175" s="243"/>
      <c r="AR175" s="243"/>
      <c r="AS175" s="243"/>
      <c r="AT175" s="243"/>
      <c r="AU175" s="243"/>
      <c r="AV175" s="243" t="s">
        <v>143</v>
      </c>
      <c r="AW175" s="243"/>
      <c r="AX175" s="243"/>
      <c r="AY175" s="243"/>
      <c r="AZ175" s="243"/>
      <c r="BA175" s="243"/>
      <c r="BB175" s="243" t="s">
        <v>144</v>
      </c>
      <c r="BC175" s="243"/>
      <c r="BD175" s="243"/>
      <c r="BE175" s="243"/>
      <c r="BF175" s="243"/>
      <c r="BG175" s="243"/>
      <c r="BH175" s="243" t="s">
        <v>145</v>
      </c>
      <c r="BI175" s="243"/>
      <c r="BJ175" s="243"/>
      <c r="BK175" s="243"/>
      <c r="BL175" s="243"/>
      <c r="BM175" s="243"/>
    </row>
    <row r="176" spans="1:65" x14ac:dyDescent="0.15">
      <c r="A176" s="8"/>
      <c r="B176" s="94" t="s">
        <v>169</v>
      </c>
      <c r="C176" s="95" t="s">
        <v>170</v>
      </c>
      <c r="D176" s="96" t="s">
        <v>92</v>
      </c>
      <c r="E176" s="97" t="s">
        <v>121</v>
      </c>
      <c r="F176" s="98" t="s">
        <v>171</v>
      </c>
      <c r="G176" s="144" t="s">
        <v>204</v>
      </c>
      <c r="H176" s="94" t="s">
        <v>169</v>
      </c>
      <c r="I176" s="95" t="s">
        <v>170</v>
      </c>
      <c r="J176" s="96" t="s">
        <v>92</v>
      </c>
      <c r="K176" s="97" t="s">
        <v>121</v>
      </c>
      <c r="L176" s="98" t="s">
        <v>171</v>
      </c>
      <c r="M176" s="144" t="s">
        <v>204</v>
      </c>
      <c r="N176" s="94" t="s">
        <v>169</v>
      </c>
      <c r="O176" s="95" t="s">
        <v>170</v>
      </c>
      <c r="P176" s="96" t="s">
        <v>92</v>
      </c>
      <c r="Q176" s="97" t="s">
        <v>121</v>
      </c>
      <c r="R176" s="98" t="s">
        <v>171</v>
      </c>
      <c r="S176" s="144" t="s">
        <v>204</v>
      </c>
      <c r="T176" s="94" t="s">
        <v>169</v>
      </c>
      <c r="U176" s="95" t="s">
        <v>170</v>
      </c>
      <c r="V176" s="96" t="s">
        <v>92</v>
      </c>
      <c r="W176" s="97" t="s">
        <v>121</v>
      </c>
      <c r="X176" s="98" t="s">
        <v>171</v>
      </c>
      <c r="Y176" s="144" t="s">
        <v>204</v>
      </c>
      <c r="Z176" s="94" t="s">
        <v>169</v>
      </c>
      <c r="AA176" s="95" t="s">
        <v>170</v>
      </c>
      <c r="AB176" s="96" t="s">
        <v>92</v>
      </c>
      <c r="AC176" s="97" t="s">
        <v>121</v>
      </c>
      <c r="AD176" s="98" t="s">
        <v>171</v>
      </c>
      <c r="AE176" s="144" t="s">
        <v>204</v>
      </c>
      <c r="AF176" s="94" t="s">
        <v>169</v>
      </c>
      <c r="AG176" s="95" t="s">
        <v>170</v>
      </c>
      <c r="AH176" s="96" t="s">
        <v>92</v>
      </c>
      <c r="AI176" s="97" t="s">
        <v>121</v>
      </c>
      <c r="AJ176" s="98" t="s">
        <v>171</v>
      </c>
      <c r="AK176" s="144" t="s">
        <v>204</v>
      </c>
      <c r="AL176" s="96" t="s">
        <v>92</v>
      </c>
      <c r="AM176" s="97" t="s">
        <v>121</v>
      </c>
      <c r="AN176" s="98" t="s">
        <v>171</v>
      </c>
      <c r="AO176" s="144" t="s">
        <v>204</v>
      </c>
      <c r="AP176" s="94" t="s">
        <v>169</v>
      </c>
      <c r="AQ176" s="95" t="s">
        <v>170</v>
      </c>
      <c r="AR176" s="96" t="s">
        <v>92</v>
      </c>
      <c r="AS176" s="97" t="s">
        <v>121</v>
      </c>
      <c r="AT176" s="98" t="s">
        <v>171</v>
      </c>
      <c r="AU176" s="144" t="s">
        <v>204</v>
      </c>
      <c r="AV176" s="94" t="s">
        <v>169</v>
      </c>
      <c r="AW176" s="95" t="s">
        <v>170</v>
      </c>
      <c r="AX176" s="96" t="s">
        <v>92</v>
      </c>
      <c r="AY176" s="97" t="s">
        <v>121</v>
      </c>
      <c r="AZ176" s="98" t="s">
        <v>171</v>
      </c>
      <c r="BA176" s="144" t="s">
        <v>204</v>
      </c>
      <c r="BB176" s="94" t="s">
        <v>169</v>
      </c>
      <c r="BC176" s="95" t="s">
        <v>172</v>
      </c>
      <c r="BD176" s="96" t="s">
        <v>101</v>
      </c>
      <c r="BE176" s="97" t="s">
        <v>122</v>
      </c>
      <c r="BF176" s="98" t="s">
        <v>173</v>
      </c>
      <c r="BG176" s="144" t="s">
        <v>210</v>
      </c>
      <c r="BH176" s="94" t="s">
        <v>169</v>
      </c>
      <c r="BI176" s="95" t="s">
        <v>172</v>
      </c>
      <c r="BJ176" s="96" t="s">
        <v>101</v>
      </c>
      <c r="BK176" s="97" t="s">
        <v>122</v>
      </c>
      <c r="BL176" s="98" t="s">
        <v>173</v>
      </c>
      <c r="BM176" s="144" t="s">
        <v>210</v>
      </c>
    </row>
    <row r="177" spans="1:65" ht="14.25" x14ac:dyDescent="0.15">
      <c r="A177" s="26" t="s">
        <v>59</v>
      </c>
      <c r="B177" s="103">
        <f t="shared" ref="B177:BF177" si="4">COUNT(B178:B254)</f>
        <v>4</v>
      </c>
      <c r="C177" s="104">
        <f t="shared" si="4"/>
        <v>8</v>
      </c>
      <c r="D177" s="105">
        <f t="shared" si="4"/>
        <v>10</v>
      </c>
      <c r="E177" s="106">
        <f t="shared" si="4"/>
        <v>11</v>
      </c>
      <c r="F177" s="62">
        <f t="shared" si="4"/>
        <v>15</v>
      </c>
      <c r="G177" s="68">
        <f t="shared" si="4"/>
        <v>13</v>
      </c>
      <c r="H177" s="103">
        <f t="shared" si="4"/>
        <v>4</v>
      </c>
      <c r="I177" s="104">
        <f t="shared" si="4"/>
        <v>2</v>
      </c>
      <c r="J177" s="105">
        <f t="shared" si="4"/>
        <v>1</v>
      </c>
      <c r="K177" s="106">
        <f t="shared" si="4"/>
        <v>2</v>
      </c>
      <c r="L177" s="62">
        <f t="shared" si="4"/>
        <v>2</v>
      </c>
      <c r="M177" s="68">
        <f t="shared" si="4"/>
        <v>1</v>
      </c>
      <c r="N177" s="103">
        <f t="shared" si="4"/>
        <v>0</v>
      </c>
      <c r="O177" s="104">
        <f t="shared" si="4"/>
        <v>4</v>
      </c>
      <c r="P177" s="105">
        <f t="shared" si="4"/>
        <v>4</v>
      </c>
      <c r="Q177" s="106">
        <f t="shared" si="4"/>
        <v>3</v>
      </c>
      <c r="R177" s="62">
        <f t="shared" si="4"/>
        <v>5</v>
      </c>
      <c r="S177" s="68">
        <f t="shared" si="4"/>
        <v>4</v>
      </c>
      <c r="T177" s="103">
        <f t="shared" si="4"/>
        <v>8</v>
      </c>
      <c r="U177" s="104">
        <f t="shared" si="4"/>
        <v>9</v>
      </c>
      <c r="V177" s="105">
        <f t="shared" si="4"/>
        <v>8</v>
      </c>
      <c r="W177" s="106">
        <f t="shared" si="4"/>
        <v>10</v>
      </c>
      <c r="X177" s="62">
        <f t="shared" si="4"/>
        <v>10</v>
      </c>
      <c r="Y177" s="68">
        <f t="shared" si="4"/>
        <v>11</v>
      </c>
      <c r="Z177" s="103">
        <f t="shared" si="4"/>
        <v>8</v>
      </c>
      <c r="AA177" s="104">
        <f t="shared" si="4"/>
        <v>7</v>
      </c>
      <c r="AB177" s="105">
        <f t="shared" si="4"/>
        <v>10</v>
      </c>
      <c r="AC177" s="106">
        <f t="shared" si="4"/>
        <v>11</v>
      </c>
      <c r="AD177" s="62">
        <f t="shared" si="4"/>
        <v>12</v>
      </c>
      <c r="AE177" s="68">
        <f t="shared" si="4"/>
        <v>15</v>
      </c>
      <c r="AF177" s="103">
        <f t="shared" si="4"/>
        <v>5</v>
      </c>
      <c r="AG177" s="104">
        <f t="shared" si="4"/>
        <v>6</v>
      </c>
      <c r="AH177" s="105">
        <f t="shared" si="4"/>
        <v>6</v>
      </c>
      <c r="AI177" s="106">
        <f t="shared" si="4"/>
        <v>6</v>
      </c>
      <c r="AJ177" s="62">
        <f t="shared" si="4"/>
        <v>6</v>
      </c>
      <c r="AK177" s="68">
        <f t="shared" si="4"/>
        <v>6</v>
      </c>
      <c r="AL177" s="105">
        <f t="shared" si="4"/>
        <v>3</v>
      </c>
      <c r="AM177" s="106">
        <f t="shared" si="4"/>
        <v>3</v>
      </c>
      <c r="AN177" s="62">
        <f t="shared" si="4"/>
        <v>6</v>
      </c>
      <c r="AO177" s="68">
        <f t="shared" si="4"/>
        <v>5</v>
      </c>
      <c r="AP177" s="103">
        <f t="shared" si="4"/>
        <v>7</v>
      </c>
      <c r="AQ177" s="104">
        <f t="shared" si="4"/>
        <v>5</v>
      </c>
      <c r="AR177" s="105">
        <f t="shared" si="4"/>
        <v>4</v>
      </c>
      <c r="AS177" s="106">
        <f t="shared" si="4"/>
        <v>5</v>
      </c>
      <c r="AT177" s="62">
        <f t="shared" si="4"/>
        <v>4</v>
      </c>
      <c r="AU177" s="68">
        <f t="shared" si="4"/>
        <v>6</v>
      </c>
      <c r="AV177" s="103">
        <f t="shared" si="4"/>
        <v>7</v>
      </c>
      <c r="AW177" s="104">
        <f t="shared" si="4"/>
        <v>8</v>
      </c>
      <c r="AX177" s="105">
        <f t="shared" si="4"/>
        <v>10</v>
      </c>
      <c r="AY177" s="106">
        <f t="shared" si="4"/>
        <v>10</v>
      </c>
      <c r="AZ177" s="62">
        <f t="shared" si="4"/>
        <v>11</v>
      </c>
      <c r="BA177" s="68">
        <f t="shared" si="4"/>
        <v>13</v>
      </c>
      <c r="BB177" s="103">
        <f t="shared" si="4"/>
        <v>9</v>
      </c>
      <c r="BC177" s="104">
        <f t="shared" si="4"/>
        <v>15</v>
      </c>
      <c r="BD177" s="105">
        <f t="shared" si="4"/>
        <v>14</v>
      </c>
      <c r="BE177" s="106">
        <f t="shared" si="4"/>
        <v>14</v>
      </c>
      <c r="BF177" s="107">
        <f t="shared" si="4"/>
        <v>10</v>
      </c>
      <c r="BG177" s="155">
        <f>COUNT(BG178:BG255)</f>
        <v>10</v>
      </c>
      <c r="BH177" s="103">
        <f>COUNT(BH178:BH253)</f>
        <v>5</v>
      </c>
      <c r="BI177" s="104">
        <f>COUNT(BI178:BI253)</f>
        <v>8</v>
      </c>
      <c r="BJ177" s="105">
        <f>COUNT(BJ178:BJ254)</f>
        <v>10</v>
      </c>
      <c r="BK177" s="106">
        <f>COUNT(BK178:BK254)</f>
        <v>8</v>
      </c>
      <c r="BL177" s="107">
        <f>COUNT(BL178:BL254)</f>
        <v>8</v>
      </c>
      <c r="BM177" s="155">
        <f>COUNT(BM178:BM255)</f>
        <v>10</v>
      </c>
    </row>
    <row r="178" spans="1:65" x14ac:dyDescent="0.15">
      <c r="A178" s="27" t="s">
        <v>60</v>
      </c>
      <c r="B178" s="114"/>
      <c r="C178" s="115"/>
      <c r="D178" s="111"/>
      <c r="E178" s="112"/>
      <c r="F178" s="113"/>
      <c r="G178" s="145"/>
      <c r="H178" s="114"/>
      <c r="I178" s="115"/>
      <c r="J178" s="111"/>
      <c r="K178" s="112"/>
      <c r="L178" s="113"/>
      <c r="M178" s="145"/>
      <c r="N178" s="114"/>
      <c r="O178" s="115"/>
      <c r="P178" s="111"/>
      <c r="Q178" s="112"/>
      <c r="R178" s="113"/>
      <c r="S178" s="145"/>
      <c r="T178" s="114"/>
      <c r="U178" s="115"/>
      <c r="V178" s="111"/>
      <c r="W178" s="112"/>
      <c r="X178" s="113"/>
      <c r="Y178" s="145"/>
      <c r="Z178" s="124"/>
      <c r="AA178" s="125"/>
      <c r="AB178" s="116"/>
      <c r="AC178" s="117"/>
      <c r="AD178" s="118"/>
      <c r="AE178" s="146"/>
      <c r="AF178" s="114"/>
      <c r="AG178" s="115"/>
      <c r="AH178" s="111"/>
      <c r="AI178" s="112"/>
      <c r="AJ178" s="113"/>
      <c r="AK178" s="145"/>
      <c r="AL178" s="111"/>
      <c r="AM178" s="112"/>
      <c r="AN178" s="113"/>
      <c r="AO178" s="145"/>
      <c r="AP178" s="114"/>
      <c r="AQ178" s="115"/>
      <c r="AR178" s="111"/>
      <c r="AS178" s="112"/>
      <c r="AT178" s="113"/>
      <c r="AU178" s="145"/>
      <c r="AV178" s="114"/>
      <c r="AW178" s="115"/>
      <c r="AX178" s="111"/>
      <c r="AY178" s="112"/>
      <c r="AZ178" s="113"/>
      <c r="BA178" s="145"/>
      <c r="BC178" s="120"/>
      <c r="BD178" s="119"/>
      <c r="BE178" s="121"/>
      <c r="BF178" s="122"/>
      <c r="BG178" s="150"/>
      <c r="BH178" s="123"/>
      <c r="BI178" s="115"/>
      <c r="BJ178" s="111"/>
      <c r="BK178" s="112"/>
      <c r="BL178" s="113"/>
      <c r="BM178" s="145"/>
    </row>
    <row r="179" spans="1:65" x14ac:dyDescent="0.15">
      <c r="A179" s="27" t="s">
        <v>105</v>
      </c>
      <c r="B179" s="114"/>
      <c r="C179" s="115"/>
      <c r="D179" s="111"/>
      <c r="E179" s="112"/>
      <c r="F179" s="113"/>
      <c r="G179" s="145"/>
      <c r="H179" s="114"/>
      <c r="I179" s="115"/>
      <c r="J179" s="111"/>
      <c r="K179" s="112"/>
      <c r="L179" s="113"/>
      <c r="M179" s="145"/>
      <c r="N179" s="114"/>
      <c r="O179" s="115"/>
      <c r="P179" s="111"/>
      <c r="Q179" s="112"/>
      <c r="R179" s="113"/>
      <c r="S179" s="145"/>
      <c r="T179" s="114"/>
      <c r="U179" s="115"/>
      <c r="V179" s="111"/>
      <c r="W179" s="112"/>
      <c r="X179" s="113"/>
      <c r="Y179" s="145"/>
      <c r="Z179" s="124"/>
      <c r="AA179" s="125"/>
      <c r="AB179" s="116"/>
      <c r="AC179" s="117"/>
      <c r="AD179" s="118"/>
      <c r="AE179" s="146"/>
      <c r="AF179" s="114"/>
      <c r="AG179" s="115"/>
      <c r="AH179" s="111"/>
      <c r="AI179" s="112"/>
      <c r="AJ179" s="113"/>
      <c r="AK179" s="145"/>
      <c r="AL179" s="111"/>
      <c r="AM179" s="112"/>
      <c r="AN179" s="113"/>
      <c r="AO179" s="145"/>
      <c r="AP179" s="114"/>
      <c r="AQ179" s="115"/>
      <c r="AR179" s="111"/>
      <c r="AS179" s="112"/>
      <c r="AT179" s="113"/>
      <c r="AU179" s="145"/>
      <c r="AV179" s="114"/>
      <c r="AW179" s="115"/>
      <c r="AX179" s="111"/>
      <c r="AY179" s="112"/>
      <c r="AZ179" s="113"/>
      <c r="BA179" s="145"/>
      <c r="BC179" s="120"/>
      <c r="BD179" s="128"/>
      <c r="BE179" s="54"/>
      <c r="BF179" s="64"/>
      <c r="BG179" s="69"/>
      <c r="BH179" s="123"/>
      <c r="BI179" s="115"/>
      <c r="BJ179" s="116">
        <v>1</v>
      </c>
      <c r="BK179" s="117">
        <v>1</v>
      </c>
      <c r="BL179" s="118"/>
      <c r="BM179" s="146"/>
    </row>
    <row r="180" spans="1:65" x14ac:dyDescent="0.15">
      <c r="A180" s="2" t="s">
        <v>43</v>
      </c>
      <c r="B180" s="114"/>
      <c r="C180" s="115"/>
      <c r="D180" s="111"/>
      <c r="E180" s="112"/>
      <c r="F180" s="132">
        <v>1</v>
      </c>
      <c r="G180" s="147"/>
      <c r="H180" s="114"/>
      <c r="I180" s="115"/>
      <c r="J180" s="111"/>
      <c r="K180" s="112"/>
      <c r="L180" s="113"/>
      <c r="M180" s="145"/>
      <c r="N180" s="114"/>
      <c r="O180" s="115"/>
      <c r="P180" s="111"/>
      <c r="Q180" s="112"/>
      <c r="R180" s="113"/>
      <c r="S180" s="145"/>
      <c r="T180" s="114"/>
      <c r="U180" s="115"/>
      <c r="V180" s="111"/>
      <c r="W180" s="112"/>
      <c r="X180" s="113">
        <v>1</v>
      </c>
      <c r="Y180" s="145"/>
      <c r="Z180" s="124">
        <v>3</v>
      </c>
      <c r="AA180" s="125">
        <v>1</v>
      </c>
      <c r="AB180" s="116">
        <v>1</v>
      </c>
      <c r="AC180" s="117">
        <v>1</v>
      </c>
      <c r="AD180" s="118">
        <v>2</v>
      </c>
      <c r="AE180" s="146">
        <v>2</v>
      </c>
      <c r="AF180" s="114"/>
      <c r="AG180" s="115"/>
      <c r="AH180" s="111"/>
      <c r="AI180" s="112"/>
      <c r="AJ180" s="113"/>
      <c r="AK180" s="145"/>
      <c r="AL180" s="111"/>
      <c r="AM180" s="112"/>
      <c r="AN180" s="113"/>
      <c r="AO180" s="145"/>
      <c r="AP180" s="114"/>
      <c r="AQ180" s="115"/>
      <c r="AR180" s="111"/>
      <c r="AS180" s="112">
        <v>1</v>
      </c>
      <c r="AT180" s="113"/>
      <c r="AU180" s="145"/>
      <c r="AV180" s="114"/>
      <c r="AW180" s="115"/>
      <c r="AX180" s="111"/>
      <c r="AY180" s="112"/>
      <c r="AZ180" s="113"/>
      <c r="BA180" s="145"/>
      <c r="BC180" s="120"/>
      <c r="BD180" s="119"/>
      <c r="BE180" s="121"/>
      <c r="BF180" s="122"/>
      <c r="BG180" s="150">
        <v>1</v>
      </c>
      <c r="BH180" s="123"/>
      <c r="BI180" s="115"/>
      <c r="BJ180" s="111"/>
      <c r="BK180" s="112"/>
      <c r="BL180" s="113"/>
      <c r="BM180" s="145"/>
    </row>
    <row r="181" spans="1:65" x14ac:dyDescent="0.15">
      <c r="A181" s="27" t="s">
        <v>53</v>
      </c>
      <c r="B181" s="114"/>
      <c r="C181" s="115"/>
      <c r="D181" s="111"/>
      <c r="E181" s="117">
        <v>1</v>
      </c>
      <c r="F181" s="118">
        <v>1</v>
      </c>
      <c r="G181" s="146"/>
      <c r="H181" s="114"/>
      <c r="I181" s="115"/>
      <c r="J181" s="111"/>
      <c r="K181" s="112"/>
      <c r="L181" s="113"/>
      <c r="M181" s="145"/>
      <c r="N181" s="114"/>
      <c r="O181" s="115"/>
      <c r="P181" s="111"/>
      <c r="Q181" s="112"/>
      <c r="R181" s="113"/>
      <c r="S181" s="145"/>
      <c r="T181" s="114"/>
      <c r="U181" s="115"/>
      <c r="V181" s="111"/>
      <c r="W181" s="112"/>
      <c r="X181" s="113"/>
      <c r="Y181" s="145"/>
      <c r="Z181" s="124"/>
      <c r="AA181" s="125"/>
      <c r="AB181" s="116"/>
      <c r="AC181" s="117"/>
      <c r="AD181" s="118"/>
      <c r="AE181" s="146"/>
      <c r="AF181" s="114"/>
      <c r="AG181" s="115"/>
      <c r="AH181" s="111"/>
      <c r="AI181" s="112"/>
      <c r="AJ181" s="113"/>
      <c r="AK181" s="145"/>
      <c r="AL181" s="111"/>
      <c r="AM181" s="112"/>
      <c r="AN181" s="113"/>
      <c r="AO181" s="145"/>
      <c r="AP181" s="114"/>
      <c r="AQ181" s="115"/>
      <c r="AR181" s="111"/>
      <c r="AS181" s="112"/>
      <c r="AT181" s="113"/>
      <c r="AU181" s="145"/>
      <c r="AV181" s="114"/>
      <c r="AW181" s="115"/>
      <c r="AX181" s="111"/>
      <c r="AY181" s="112"/>
      <c r="AZ181" s="113"/>
      <c r="BA181" s="145"/>
      <c r="BC181" s="120"/>
      <c r="BD181" s="119"/>
      <c r="BE181" s="121"/>
      <c r="BF181" s="122"/>
      <c r="BG181" s="150"/>
      <c r="BH181" s="123"/>
      <c r="BI181" s="115"/>
      <c r="BJ181" s="111"/>
      <c r="BK181" s="112"/>
      <c r="BL181" s="113"/>
      <c r="BM181" s="145"/>
    </row>
    <row r="182" spans="1:65" x14ac:dyDescent="0.15">
      <c r="A182" s="2" t="s">
        <v>12</v>
      </c>
      <c r="B182">
        <v>3</v>
      </c>
      <c r="C182" s="21">
        <v>2</v>
      </c>
      <c r="D182" s="128">
        <v>2</v>
      </c>
      <c r="E182" s="54">
        <v>2</v>
      </c>
      <c r="F182" s="64">
        <v>2</v>
      </c>
      <c r="G182" s="69">
        <v>2</v>
      </c>
      <c r="H182">
        <v>3</v>
      </c>
      <c r="I182" s="21">
        <v>1</v>
      </c>
      <c r="J182" s="128"/>
      <c r="K182" s="54"/>
      <c r="L182" s="64"/>
      <c r="M182" s="69"/>
      <c r="O182" s="21"/>
      <c r="P182" s="128"/>
      <c r="Q182" s="54"/>
      <c r="R182" s="64">
        <v>1</v>
      </c>
      <c r="S182" s="69">
        <v>1</v>
      </c>
      <c r="T182">
        <v>1</v>
      </c>
      <c r="U182" s="21">
        <v>1</v>
      </c>
      <c r="V182" s="128">
        <v>1</v>
      </c>
      <c r="W182" s="54">
        <v>1</v>
      </c>
      <c r="X182" s="64">
        <v>1</v>
      </c>
      <c r="Y182" s="69">
        <v>1</v>
      </c>
      <c r="Z182">
        <v>5</v>
      </c>
      <c r="AA182" s="21">
        <v>3</v>
      </c>
      <c r="AB182" s="128">
        <v>4</v>
      </c>
      <c r="AC182" s="54">
        <v>2</v>
      </c>
      <c r="AD182" s="64">
        <v>3</v>
      </c>
      <c r="AE182" s="69">
        <v>1</v>
      </c>
      <c r="AF182">
        <v>4</v>
      </c>
      <c r="AG182" s="21">
        <v>3</v>
      </c>
      <c r="AH182" s="128">
        <v>3</v>
      </c>
      <c r="AI182" s="54">
        <v>3</v>
      </c>
      <c r="AJ182" s="64">
        <v>3</v>
      </c>
      <c r="AK182" s="69">
        <v>4</v>
      </c>
      <c r="AL182" s="128">
        <v>2</v>
      </c>
      <c r="AM182" s="54">
        <v>3</v>
      </c>
      <c r="AN182" s="64">
        <v>2</v>
      </c>
      <c r="AO182" s="69">
        <v>3</v>
      </c>
      <c r="AP182">
        <v>4</v>
      </c>
      <c r="AQ182" s="21">
        <v>3</v>
      </c>
      <c r="AR182" s="128">
        <v>1</v>
      </c>
      <c r="AS182" s="54">
        <v>1</v>
      </c>
      <c r="AT182" s="64">
        <v>3</v>
      </c>
      <c r="AU182" s="69">
        <v>1</v>
      </c>
      <c r="AV182">
        <v>4</v>
      </c>
      <c r="AW182" s="21">
        <v>4</v>
      </c>
      <c r="AX182" s="128">
        <v>2</v>
      </c>
      <c r="AY182" s="54">
        <v>1</v>
      </c>
      <c r="AZ182" s="64">
        <v>2</v>
      </c>
      <c r="BA182" s="69">
        <v>3</v>
      </c>
      <c r="BB182">
        <v>3</v>
      </c>
      <c r="BC182" s="21">
        <v>3</v>
      </c>
      <c r="BD182" s="128">
        <v>2</v>
      </c>
      <c r="BE182" s="54">
        <v>3</v>
      </c>
      <c r="BF182" s="64">
        <v>3</v>
      </c>
      <c r="BG182" s="69">
        <v>3</v>
      </c>
      <c r="BH182">
        <v>3</v>
      </c>
      <c r="BI182" s="21">
        <v>4</v>
      </c>
      <c r="BJ182" s="128">
        <v>1</v>
      </c>
      <c r="BK182" s="54">
        <v>2</v>
      </c>
      <c r="BL182" s="64">
        <v>2</v>
      </c>
      <c r="BM182" s="69">
        <v>3</v>
      </c>
    </row>
    <row r="183" spans="1:65" x14ac:dyDescent="0.15">
      <c r="A183" s="2" t="s">
        <v>93</v>
      </c>
      <c r="C183" s="21"/>
      <c r="D183" s="128"/>
      <c r="E183" s="54"/>
      <c r="F183" s="64"/>
      <c r="G183" s="69">
        <v>1</v>
      </c>
      <c r="I183" s="21"/>
      <c r="J183" s="128"/>
      <c r="K183" s="54"/>
      <c r="L183" s="64"/>
      <c r="M183" s="69"/>
      <c r="O183" s="21"/>
      <c r="P183" s="128"/>
      <c r="Q183" s="54"/>
      <c r="R183" s="64"/>
      <c r="S183" s="69"/>
      <c r="U183" s="21"/>
      <c r="V183" s="128"/>
      <c r="W183" s="54"/>
      <c r="X183" s="64"/>
      <c r="Y183" s="69"/>
      <c r="AA183" s="21"/>
      <c r="AB183" s="128"/>
      <c r="AC183" s="54"/>
      <c r="AD183" s="64"/>
      <c r="AE183" s="69">
        <v>1</v>
      </c>
      <c r="AG183" s="21"/>
      <c r="AH183" s="128"/>
      <c r="AI183" s="54"/>
      <c r="AJ183" s="64"/>
      <c r="AK183" s="69"/>
      <c r="AL183" s="128"/>
      <c r="AM183" s="54"/>
      <c r="AN183" s="64"/>
      <c r="AO183" s="69"/>
      <c r="AQ183" s="21"/>
      <c r="AR183" s="128"/>
      <c r="AS183" s="54"/>
      <c r="AT183" s="64"/>
      <c r="AU183" s="69"/>
      <c r="AW183" s="21"/>
      <c r="AX183" s="128"/>
      <c r="AY183" s="54"/>
      <c r="AZ183" s="64">
        <v>1</v>
      </c>
      <c r="BA183" s="69">
        <v>1</v>
      </c>
      <c r="BC183" s="21"/>
      <c r="BD183" s="128">
        <v>1</v>
      </c>
      <c r="BE183" s="54">
        <v>1</v>
      </c>
      <c r="BF183" s="64"/>
      <c r="BG183" s="69">
        <v>1</v>
      </c>
      <c r="BI183" s="21"/>
      <c r="BJ183" s="128"/>
      <c r="BK183" s="54"/>
      <c r="BL183" s="64"/>
      <c r="BM183" s="69"/>
    </row>
    <row r="184" spans="1:65" x14ac:dyDescent="0.15">
      <c r="A184" s="2" t="s">
        <v>33</v>
      </c>
      <c r="C184" s="21"/>
      <c r="D184" s="128"/>
      <c r="E184" s="54"/>
      <c r="F184" s="64"/>
      <c r="G184" s="69"/>
      <c r="I184" s="21"/>
      <c r="J184" s="128"/>
      <c r="K184" s="54"/>
      <c r="L184" s="64"/>
      <c r="M184" s="69"/>
      <c r="O184" s="21"/>
      <c r="P184" s="128"/>
      <c r="Q184" s="54"/>
      <c r="R184" s="64"/>
      <c r="S184" s="69"/>
      <c r="U184" s="21"/>
      <c r="V184" s="128"/>
      <c r="W184" s="54"/>
      <c r="X184" s="64"/>
      <c r="Y184" s="69"/>
      <c r="AA184" s="21"/>
      <c r="AB184" s="128"/>
      <c r="AC184" s="54"/>
      <c r="AD184" s="64"/>
      <c r="AE184" s="69"/>
      <c r="AG184" s="21"/>
      <c r="AH184" s="128"/>
      <c r="AI184" s="54"/>
      <c r="AJ184" s="64"/>
      <c r="AK184" s="69"/>
      <c r="AL184" s="128"/>
      <c r="AM184" s="54"/>
      <c r="AN184" s="64"/>
      <c r="AO184" s="69"/>
      <c r="AQ184" s="21"/>
      <c r="AR184" s="128"/>
      <c r="AS184" s="54"/>
      <c r="AT184" s="64"/>
      <c r="AU184" s="69"/>
      <c r="AW184" s="21"/>
      <c r="AX184" s="128"/>
      <c r="AY184" s="54"/>
      <c r="AZ184" s="64"/>
      <c r="BA184" s="69"/>
      <c r="BC184" s="21"/>
      <c r="BD184" s="128"/>
      <c r="BE184" s="54"/>
      <c r="BF184" s="64"/>
      <c r="BG184" s="69"/>
      <c r="BI184" s="21"/>
      <c r="BJ184" s="128"/>
      <c r="BK184" s="54"/>
      <c r="BL184" s="64"/>
      <c r="BM184" s="69"/>
    </row>
    <row r="185" spans="1:65" x14ac:dyDescent="0.15">
      <c r="A185" s="2" t="s">
        <v>13</v>
      </c>
      <c r="C185" s="21"/>
      <c r="D185" s="128"/>
      <c r="E185" s="54"/>
      <c r="F185" s="64"/>
      <c r="G185" s="69"/>
      <c r="I185" s="21"/>
      <c r="J185" s="128"/>
      <c r="K185" s="54"/>
      <c r="L185" s="64"/>
      <c r="M185" s="69"/>
      <c r="O185" s="21"/>
      <c r="P185" s="128"/>
      <c r="Q185" s="54"/>
      <c r="R185" s="64"/>
      <c r="S185" s="69"/>
      <c r="U185" s="21"/>
      <c r="V185" s="128"/>
      <c r="W185" s="54"/>
      <c r="X185" s="64"/>
      <c r="Y185" s="69"/>
      <c r="AA185" s="21"/>
      <c r="AB185" s="128"/>
      <c r="AC185" s="54"/>
      <c r="AD185" s="64"/>
      <c r="AE185" s="69"/>
      <c r="AG185" s="21"/>
      <c r="AH185" s="128"/>
      <c r="AI185" s="54"/>
      <c r="AJ185" s="64"/>
      <c r="AK185" s="69"/>
      <c r="AL185" s="128"/>
      <c r="AM185" s="54"/>
      <c r="AN185" s="64"/>
      <c r="AO185" s="69"/>
      <c r="AQ185" s="21"/>
      <c r="AR185" s="128"/>
      <c r="AS185" s="54"/>
      <c r="AT185" s="64"/>
      <c r="AU185" s="69"/>
      <c r="AW185" s="21"/>
      <c r="AX185" s="128"/>
      <c r="AY185" s="54"/>
      <c r="AZ185" s="64"/>
      <c r="BA185" s="69"/>
      <c r="BC185" s="21"/>
      <c r="BD185" s="128"/>
      <c r="BE185" s="54"/>
      <c r="BF185" s="64"/>
      <c r="BG185" s="69"/>
      <c r="BI185" s="21"/>
      <c r="BJ185" s="128"/>
      <c r="BK185" s="54"/>
      <c r="BL185" s="64"/>
      <c r="BM185" s="69"/>
    </row>
    <row r="186" spans="1:65" x14ac:dyDescent="0.15">
      <c r="A186" s="2" t="s">
        <v>190</v>
      </c>
      <c r="C186" s="21"/>
      <c r="D186" s="128"/>
      <c r="E186" s="54"/>
      <c r="F186" s="64"/>
      <c r="G186" s="69"/>
      <c r="I186" s="21"/>
      <c r="J186" s="128"/>
      <c r="K186" s="54"/>
      <c r="L186" s="64"/>
      <c r="M186" s="69"/>
      <c r="O186" s="21"/>
      <c r="P186" s="128"/>
      <c r="Q186" s="54"/>
      <c r="R186" s="64"/>
      <c r="S186" s="69"/>
      <c r="U186" s="21"/>
      <c r="V186" s="128"/>
      <c r="W186" s="54"/>
      <c r="X186" s="64"/>
      <c r="Y186" s="69"/>
      <c r="AA186" s="21"/>
      <c r="AB186" s="128"/>
      <c r="AC186" s="54"/>
      <c r="AD186" s="64"/>
      <c r="AE186" s="69"/>
      <c r="AG186" s="21"/>
      <c r="AH186" s="128"/>
      <c r="AI186" s="54"/>
      <c r="AJ186" s="64"/>
      <c r="AK186" s="69"/>
      <c r="AL186" s="128"/>
      <c r="AM186" s="54"/>
      <c r="AN186" s="64"/>
      <c r="AO186" s="69"/>
      <c r="AQ186" s="21"/>
      <c r="AR186" s="128"/>
      <c r="AS186" s="54"/>
      <c r="AT186" s="64"/>
      <c r="AU186" s="69"/>
      <c r="AW186" s="21"/>
      <c r="AX186" s="128"/>
      <c r="AY186" s="54"/>
      <c r="AZ186" s="64"/>
      <c r="BA186" s="69"/>
      <c r="BC186" s="21"/>
      <c r="BD186" s="128"/>
      <c r="BE186" s="54"/>
      <c r="BF186" s="64"/>
      <c r="BG186" s="69"/>
      <c r="BI186" s="21"/>
      <c r="BJ186" s="128"/>
      <c r="BK186" s="54"/>
      <c r="BL186" s="64"/>
      <c r="BM186" s="69"/>
    </row>
    <row r="187" spans="1:65" x14ac:dyDescent="0.15">
      <c r="A187" s="2" t="s">
        <v>14</v>
      </c>
      <c r="C187" s="21"/>
      <c r="D187" s="128"/>
      <c r="E187" s="54"/>
      <c r="F187" s="64">
        <v>1</v>
      </c>
      <c r="G187" s="69"/>
      <c r="I187" s="21"/>
      <c r="J187" s="128"/>
      <c r="K187" s="54"/>
      <c r="L187" s="64"/>
      <c r="M187" s="69"/>
      <c r="O187" s="21"/>
      <c r="P187" s="128"/>
      <c r="Q187" s="54"/>
      <c r="R187" s="64"/>
      <c r="S187" s="69"/>
      <c r="U187" s="21"/>
      <c r="V187" s="128"/>
      <c r="W187" s="54"/>
      <c r="X187" s="64"/>
      <c r="Y187" s="69"/>
      <c r="AA187" s="21"/>
      <c r="AB187" s="128"/>
      <c r="AC187" s="54"/>
      <c r="AD187" s="64"/>
      <c r="AE187" s="69"/>
      <c r="AG187" s="21"/>
      <c r="AH187" s="128"/>
      <c r="AI187" s="54"/>
      <c r="AJ187" s="64"/>
      <c r="AK187" s="69"/>
      <c r="AL187" s="128"/>
      <c r="AM187" s="54"/>
      <c r="AN187" s="64"/>
      <c r="AO187" s="69"/>
      <c r="AQ187" s="21"/>
      <c r="AR187" s="128"/>
      <c r="AS187" s="54"/>
      <c r="AT187" s="64"/>
      <c r="AU187" s="69"/>
      <c r="AV187">
        <v>2</v>
      </c>
      <c r="AW187" s="21">
        <v>1</v>
      </c>
      <c r="AX187" s="128">
        <v>1</v>
      </c>
      <c r="AY187" s="54">
        <v>1</v>
      </c>
      <c r="AZ187" s="64"/>
      <c r="BA187" s="69"/>
      <c r="BB187">
        <v>1</v>
      </c>
      <c r="BC187" s="21">
        <v>1</v>
      </c>
      <c r="BD187" s="128">
        <v>1</v>
      </c>
      <c r="BE187" s="54">
        <v>1</v>
      </c>
      <c r="BF187" s="64"/>
      <c r="BG187" s="69"/>
      <c r="BI187" s="21"/>
      <c r="BJ187" s="128">
        <v>1</v>
      </c>
      <c r="BK187" s="54"/>
      <c r="BL187" s="64"/>
      <c r="BM187" s="69"/>
    </row>
    <row r="188" spans="1:65" x14ac:dyDescent="0.15">
      <c r="A188" s="2" t="s">
        <v>26</v>
      </c>
      <c r="C188" s="21"/>
      <c r="D188" s="128"/>
      <c r="E188" s="54"/>
      <c r="F188" s="64"/>
      <c r="G188" s="69"/>
      <c r="I188" s="21"/>
      <c r="J188" s="128"/>
      <c r="K188" s="54"/>
      <c r="L188" s="64"/>
      <c r="M188" s="69"/>
      <c r="O188" s="21"/>
      <c r="P188" s="128"/>
      <c r="Q188" s="54"/>
      <c r="R188" s="64"/>
      <c r="S188" s="69"/>
      <c r="U188" s="21"/>
      <c r="V188" s="128"/>
      <c r="W188" s="54"/>
      <c r="X188" s="64"/>
      <c r="Y188" s="69"/>
      <c r="AA188" s="21"/>
      <c r="AB188" s="128"/>
      <c r="AC188" s="54"/>
      <c r="AD188" s="64"/>
      <c r="AE188" s="69"/>
      <c r="AG188" s="21"/>
      <c r="AH188" s="128"/>
      <c r="AI188" s="54"/>
      <c r="AJ188" s="64"/>
      <c r="AK188" s="69"/>
      <c r="AL188" s="128"/>
      <c r="AM188" s="54"/>
      <c r="AN188" s="64"/>
      <c r="AO188" s="69"/>
      <c r="AQ188" s="21"/>
      <c r="AR188" s="128"/>
      <c r="AS188" s="54"/>
      <c r="AT188" s="64"/>
      <c r="AU188" s="69"/>
      <c r="AW188" s="21"/>
      <c r="AX188" s="128"/>
      <c r="AY188" s="54"/>
      <c r="AZ188" s="64"/>
      <c r="BA188" s="69"/>
      <c r="BC188" s="21"/>
      <c r="BD188" s="128"/>
      <c r="BE188" s="54"/>
      <c r="BF188" s="64"/>
      <c r="BG188" s="69"/>
      <c r="BI188" s="21"/>
      <c r="BJ188" s="128"/>
      <c r="BK188" s="54"/>
      <c r="BL188" s="64"/>
      <c r="BM188" s="69"/>
    </row>
    <row r="189" spans="1:65" x14ac:dyDescent="0.15">
      <c r="A189" s="2" t="s">
        <v>51</v>
      </c>
      <c r="C189" s="21">
        <v>2</v>
      </c>
      <c r="D189" s="128">
        <v>1</v>
      </c>
      <c r="E189" s="54">
        <v>1</v>
      </c>
      <c r="F189" s="64">
        <v>1</v>
      </c>
      <c r="G189" s="69">
        <v>1</v>
      </c>
      <c r="I189" s="21"/>
      <c r="J189" s="128"/>
      <c r="K189" s="54"/>
      <c r="L189" s="64"/>
      <c r="M189" s="69"/>
      <c r="O189" s="21"/>
      <c r="P189" s="128"/>
      <c r="Q189" s="54"/>
      <c r="R189" s="64"/>
      <c r="S189" s="69"/>
      <c r="U189" s="21"/>
      <c r="V189" s="128"/>
      <c r="W189" s="54">
        <v>1</v>
      </c>
      <c r="X189" s="64"/>
      <c r="Y189" s="69"/>
      <c r="AA189" s="21"/>
      <c r="AB189" s="128"/>
      <c r="AC189" s="54"/>
      <c r="AD189" s="64"/>
      <c r="AE189" s="69"/>
      <c r="AG189" s="21"/>
      <c r="AH189" s="128"/>
      <c r="AI189" s="54"/>
      <c r="AJ189" s="64"/>
      <c r="AK189" s="69"/>
      <c r="AL189" s="128"/>
      <c r="AM189" s="54"/>
      <c r="AN189" s="64">
        <v>1</v>
      </c>
      <c r="AO189" s="69"/>
      <c r="AQ189" s="21"/>
      <c r="AR189" s="128"/>
      <c r="AS189" s="54">
        <v>1</v>
      </c>
      <c r="AT189" s="64"/>
      <c r="AU189" s="69"/>
      <c r="AW189" s="21"/>
      <c r="AX189" s="128"/>
      <c r="AY189" s="54">
        <v>1</v>
      </c>
      <c r="AZ189" s="64"/>
      <c r="BA189" s="69"/>
      <c r="BC189" s="21">
        <v>2</v>
      </c>
      <c r="BD189" s="128"/>
      <c r="BE189" s="54">
        <v>2</v>
      </c>
      <c r="BF189" s="64">
        <v>1</v>
      </c>
      <c r="BG189" s="69">
        <v>1</v>
      </c>
      <c r="BI189" s="21"/>
      <c r="BJ189" s="128"/>
      <c r="BK189" s="54"/>
      <c r="BL189" s="64"/>
      <c r="BM189" s="69"/>
    </row>
    <row r="190" spans="1:65" x14ac:dyDescent="0.15">
      <c r="A190" s="2" t="s">
        <v>44</v>
      </c>
      <c r="C190" s="21"/>
      <c r="D190" s="128"/>
      <c r="E190" s="54"/>
      <c r="F190" s="64"/>
      <c r="G190" s="69">
        <v>1</v>
      </c>
      <c r="I190" s="21"/>
      <c r="J190" s="128"/>
      <c r="K190" s="54"/>
      <c r="L190" s="64"/>
      <c r="M190" s="69"/>
      <c r="O190" s="21"/>
      <c r="P190" s="128"/>
      <c r="Q190" s="54"/>
      <c r="R190" s="64"/>
      <c r="S190" s="69"/>
      <c r="U190" s="21"/>
      <c r="V190" s="128"/>
      <c r="W190" s="54"/>
      <c r="X190" s="64"/>
      <c r="Y190" s="69">
        <v>1</v>
      </c>
      <c r="AA190" s="21"/>
      <c r="AB190" s="128"/>
      <c r="AC190" s="54"/>
      <c r="AD190" s="64">
        <v>1</v>
      </c>
      <c r="AE190" s="69">
        <v>1</v>
      </c>
      <c r="AG190" s="21">
        <v>1</v>
      </c>
      <c r="AH190" s="128">
        <v>1</v>
      </c>
      <c r="AI190" s="54">
        <v>1</v>
      </c>
      <c r="AJ190" s="64">
        <v>1</v>
      </c>
      <c r="AK190" s="69">
        <v>1</v>
      </c>
      <c r="AL190" s="128"/>
      <c r="AM190" s="54"/>
      <c r="AN190" s="64">
        <v>1</v>
      </c>
      <c r="AO190" s="69">
        <v>1</v>
      </c>
      <c r="AQ190" s="21"/>
      <c r="AR190" s="128"/>
      <c r="AS190" s="54"/>
      <c r="AT190" s="64">
        <v>1</v>
      </c>
      <c r="AU190" s="69">
        <v>1</v>
      </c>
      <c r="AW190" s="21"/>
      <c r="AX190" s="128"/>
      <c r="AY190" s="54">
        <v>1</v>
      </c>
      <c r="AZ190" s="64">
        <v>2</v>
      </c>
      <c r="BA190" s="69">
        <v>2</v>
      </c>
      <c r="BC190" s="21"/>
      <c r="BD190" s="128"/>
      <c r="BE190" s="54">
        <v>1</v>
      </c>
      <c r="BF190" s="64"/>
      <c r="BG190" s="69">
        <v>1</v>
      </c>
      <c r="BI190" s="21">
        <v>1</v>
      </c>
      <c r="BJ190" s="128">
        <v>1</v>
      </c>
      <c r="BK190" s="54">
        <v>1</v>
      </c>
      <c r="BL190" s="64">
        <v>1</v>
      </c>
      <c r="BM190" s="69">
        <v>1</v>
      </c>
    </row>
    <row r="191" spans="1:65" x14ac:dyDescent="0.15">
      <c r="A191" s="2" t="s">
        <v>4</v>
      </c>
      <c r="C191" s="21"/>
      <c r="D191" s="128">
        <v>1</v>
      </c>
      <c r="E191" s="54">
        <v>1</v>
      </c>
      <c r="F191" s="64">
        <v>1</v>
      </c>
      <c r="G191" s="69">
        <v>1</v>
      </c>
      <c r="I191" s="21"/>
      <c r="J191" s="128"/>
      <c r="K191" s="54"/>
      <c r="L191" s="64"/>
      <c r="M191" s="69"/>
      <c r="O191" s="21"/>
      <c r="P191" s="128"/>
      <c r="Q191" s="54"/>
      <c r="R191" s="64"/>
      <c r="S191" s="69"/>
      <c r="U191" s="21"/>
      <c r="V191" s="128"/>
      <c r="W191" s="54"/>
      <c r="X191" s="64"/>
      <c r="Y191" s="69"/>
      <c r="AA191" s="21"/>
      <c r="AB191" s="128"/>
      <c r="AC191" s="54"/>
      <c r="AD191" s="64"/>
      <c r="AE191" s="69"/>
      <c r="AG191" s="21"/>
      <c r="AH191" s="128"/>
      <c r="AI191" s="54"/>
      <c r="AJ191" s="64"/>
      <c r="AK191" s="69"/>
      <c r="AL191" s="128"/>
      <c r="AM191" s="54"/>
      <c r="AN191" s="64"/>
      <c r="AO191" s="69"/>
      <c r="AQ191" s="21">
        <v>1</v>
      </c>
      <c r="AR191" s="128"/>
      <c r="AS191" s="54"/>
      <c r="AT191" s="64"/>
      <c r="AU191" s="69"/>
      <c r="AW191" s="21"/>
      <c r="AX191" s="128"/>
      <c r="AY191" s="54"/>
      <c r="AZ191" s="64"/>
      <c r="BA191" s="69"/>
      <c r="BB191">
        <v>3</v>
      </c>
      <c r="BC191" s="21">
        <v>1</v>
      </c>
      <c r="BD191" s="128"/>
      <c r="BE191" s="54"/>
      <c r="BF191" s="64"/>
      <c r="BG191" s="69"/>
      <c r="BI191" s="21"/>
      <c r="BJ191" s="128"/>
      <c r="BK191" s="54"/>
      <c r="BL191" s="64"/>
      <c r="BM191" s="69"/>
    </row>
    <row r="192" spans="1:65" x14ac:dyDescent="0.15">
      <c r="A192" s="2" t="s">
        <v>232</v>
      </c>
      <c r="C192" s="21"/>
      <c r="D192" s="128"/>
      <c r="E192" s="54"/>
      <c r="F192" s="64"/>
      <c r="G192" s="69"/>
      <c r="I192" s="21"/>
      <c r="J192" s="128"/>
      <c r="K192" s="54"/>
      <c r="L192" s="64"/>
      <c r="M192" s="69"/>
      <c r="O192" s="21"/>
      <c r="P192" s="128"/>
      <c r="Q192" s="54"/>
      <c r="R192" s="64"/>
      <c r="S192" s="69"/>
      <c r="U192" s="21"/>
      <c r="V192" s="128"/>
      <c r="W192" s="54"/>
      <c r="X192" s="64"/>
      <c r="Y192" s="69"/>
      <c r="AA192" s="21"/>
      <c r="AB192" s="128"/>
      <c r="AC192" s="54"/>
      <c r="AD192" s="64"/>
      <c r="AE192" s="69"/>
      <c r="AG192" s="21"/>
      <c r="AH192" s="128"/>
      <c r="AI192" s="54"/>
      <c r="AJ192" s="64"/>
      <c r="AK192" s="69"/>
      <c r="AL192" s="128"/>
      <c r="AM192" s="54"/>
      <c r="AN192" s="64"/>
      <c r="AO192" s="69"/>
      <c r="AQ192" s="21"/>
      <c r="AR192" s="128"/>
      <c r="AS192" s="54"/>
      <c r="AT192" s="64"/>
      <c r="AU192" s="69"/>
      <c r="AW192" s="21"/>
      <c r="AX192" s="128"/>
      <c r="AY192" s="54"/>
      <c r="AZ192" s="64"/>
      <c r="BA192" s="69"/>
      <c r="BC192" s="21"/>
      <c r="BD192" s="128"/>
      <c r="BE192" s="54"/>
      <c r="BF192" s="64"/>
      <c r="BG192" s="69"/>
      <c r="BI192" s="21"/>
      <c r="BJ192" s="128"/>
      <c r="BK192" s="54"/>
      <c r="BL192" s="64"/>
      <c r="BM192" s="69"/>
    </row>
    <row r="193" spans="1:65" x14ac:dyDescent="0.15">
      <c r="A193" s="2" t="s">
        <v>15</v>
      </c>
      <c r="C193" s="21"/>
      <c r="D193" s="128"/>
      <c r="E193" s="54"/>
      <c r="F193" s="64"/>
      <c r="G193" s="69"/>
      <c r="I193" s="21"/>
      <c r="J193" s="128"/>
      <c r="K193" s="54"/>
      <c r="L193" s="64"/>
      <c r="M193" s="69"/>
      <c r="O193" s="21"/>
      <c r="P193" s="128"/>
      <c r="Q193" s="54"/>
      <c r="R193" s="64"/>
      <c r="S193" s="69"/>
      <c r="U193" s="21"/>
      <c r="V193" s="128"/>
      <c r="W193" s="54"/>
      <c r="X193" s="64"/>
      <c r="Y193" s="69"/>
      <c r="AA193" s="21"/>
      <c r="AB193" s="128"/>
      <c r="AC193" s="54"/>
      <c r="AD193" s="64"/>
      <c r="AE193" s="69"/>
      <c r="AG193" s="21"/>
      <c r="AH193" s="128"/>
      <c r="AI193" s="54"/>
      <c r="AJ193" s="64"/>
      <c r="AK193" s="69"/>
      <c r="AL193" s="128"/>
      <c r="AM193" s="54"/>
      <c r="AN193" s="64"/>
      <c r="AO193" s="69"/>
      <c r="AQ193" s="21"/>
      <c r="AR193" s="128"/>
      <c r="AS193" s="54"/>
      <c r="AT193" s="64"/>
      <c r="AU193" s="69"/>
      <c r="AW193" s="21"/>
      <c r="AX193" s="128"/>
      <c r="AY193" s="54"/>
      <c r="AZ193" s="64"/>
      <c r="BA193" s="69"/>
      <c r="BC193" s="21">
        <v>1</v>
      </c>
      <c r="BD193" s="128"/>
      <c r="BE193" s="54"/>
      <c r="BF193" s="64"/>
      <c r="BG193" s="69"/>
      <c r="BI193" s="21"/>
      <c r="BJ193" s="128"/>
      <c r="BK193" s="54"/>
      <c r="BL193" s="64"/>
      <c r="BM193" s="69"/>
    </row>
    <row r="194" spans="1:65" x14ac:dyDescent="0.15">
      <c r="A194" s="2" t="s">
        <v>5</v>
      </c>
      <c r="C194" s="21"/>
      <c r="D194" s="128">
        <v>1</v>
      </c>
      <c r="E194" s="54">
        <v>1</v>
      </c>
      <c r="F194" s="64">
        <v>1</v>
      </c>
      <c r="G194" s="69">
        <v>1</v>
      </c>
      <c r="H194">
        <v>1</v>
      </c>
      <c r="I194" s="21"/>
      <c r="J194" s="128"/>
      <c r="K194" s="54">
        <v>1</v>
      </c>
      <c r="L194" s="64">
        <v>1</v>
      </c>
      <c r="M194" s="69">
        <v>1</v>
      </c>
      <c r="O194" s="21"/>
      <c r="P194" s="128"/>
      <c r="Q194" s="54"/>
      <c r="R194" s="64"/>
      <c r="S194" s="69"/>
      <c r="T194">
        <v>1</v>
      </c>
      <c r="U194" s="21">
        <v>1</v>
      </c>
      <c r="V194" s="128">
        <v>1</v>
      </c>
      <c r="W194" s="54">
        <v>1</v>
      </c>
      <c r="X194" s="64">
        <v>1</v>
      </c>
      <c r="Y194" s="69">
        <v>1</v>
      </c>
      <c r="AA194" s="21"/>
      <c r="AB194" s="128"/>
      <c r="AC194" s="54">
        <v>1</v>
      </c>
      <c r="AD194" s="64">
        <v>1</v>
      </c>
      <c r="AE194" s="69">
        <v>1</v>
      </c>
      <c r="AG194" s="21"/>
      <c r="AH194" s="128"/>
      <c r="AI194" s="54"/>
      <c r="AJ194" s="64"/>
      <c r="AK194" s="69"/>
      <c r="AL194" s="128"/>
      <c r="AM194" s="54"/>
      <c r="AN194" s="64"/>
      <c r="AO194" s="69"/>
      <c r="AP194">
        <v>1</v>
      </c>
      <c r="AQ194" s="21"/>
      <c r="AR194" s="128"/>
      <c r="AS194" s="54"/>
      <c r="AT194" s="64"/>
      <c r="AU194" s="69">
        <v>1</v>
      </c>
      <c r="AV194">
        <v>1</v>
      </c>
      <c r="AW194" s="21">
        <v>1</v>
      </c>
      <c r="AX194" s="128">
        <v>1</v>
      </c>
      <c r="AY194" s="54"/>
      <c r="AZ194" s="64">
        <v>1</v>
      </c>
      <c r="BA194" s="69">
        <v>1</v>
      </c>
      <c r="BB194">
        <v>1</v>
      </c>
      <c r="BC194" s="21"/>
      <c r="BD194" s="128">
        <v>1</v>
      </c>
      <c r="BE194" s="54">
        <v>1</v>
      </c>
      <c r="BF194" s="64">
        <v>1</v>
      </c>
      <c r="BG194" s="69"/>
      <c r="BH194">
        <v>2</v>
      </c>
      <c r="BI194" s="21">
        <v>2</v>
      </c>
      <c r="BJ194" s="128"/>
      <c r="BK194" s="54">
        <v>1</v>
      </c>
      <c r="BL194" s="64"/>
      <c r="BM194" s="69"/>
    </row>
    <row r="195" spans="1:65" x14ac:dyDescent="0.15">
      <c r="A195" s="2" t="s">
        <v>46</v>
      </c>
      <c r="C195" s="21"/>
      <c r="D195" s="128"/>
      <c r="E195" s="54"/>
      <c r="F195" s="64"/>
      <c r="G195" s="69"/>
      <c r="I195" s="21"/>
      <c r="J195" s="128"/>
      <c r="K195" s="54"/>
      <c r="L195" s="64"/>
      <c r="M195" s="69"/>
      <c r="O195" s="21"/>
      <c r="P195" s="128"/>
      <c r="Q195" s="54"/>
      <c r="R195" s="64"/>
      <c r="S195" s="69"/>
      <c r="U195" s="21"/>
      <c r="V195" s="128"/>
      <c r="W195" s="54"/>
      <c r="X195" s="64"/>
      <c r="Y195" s="69"/>
      <c r="AA195" s="21"/>
      <c r="AB195" s="128"/>
      <c r="AC195" s="54"/>
      <c r="AD195" s="64"/>
      <c r="AE195" s="69"/>
      <c r="AG195" s="21"/>
      <c r="AH195" s="128"/>
      <c r="AI195" s="54"/>
      <c r="AJ195" s="64"/>
      <c r="AK195" s="69"/>
      <c r="AL195" s="128"/>
      <c r="AM195" s="54"/>
      <c r="AN195" s="64"/>
      <c r="AO195" s="69"/>
      <c r="AQ195" s="21"/>
      <c r="AR195" s="128"/>
      <c r="AS195" s="54"/>
      <c r="AT195" s="64"/>
      <c r="AU195" s="69"/>
      <c r="AW195" s="21"/>
      <c r="AX195" s="128"/>
      <c r="AY195" s="54"/>
      <c r="AZ195" s="64"/>
      <c r="BA195" s="69"/>
      <c r="BC195" s="21">
        <v>1</v>
      </c>
      <c r="BD195" s="128"/>
      <c r="BE195" s="54"/>
      <c r="BF195" s="64"/>
      <c r="BG195" s="69"/>
      <c r="BI195" s="21"/>
      <c r="BJ195" s="128"/>
      <c r="BK195" s="54"/>
      <c r="BL195" s="64"/>
      <c r="BM195" s="69">
        <v>1</v>
      </c>
    </row>
    <row r="196" spans="1:65" x14ac:dyDescent="0.15">
      <c r="A196" s="2" t="s">
        <v>228</v>
      </c>
      <c r="C196" s="21"/>
      <c r="D196" s="128"/>
      <c r="E196" s="54"/>
      <c r="F196" s="64"/>
      <c r="G196" s="69"/>
      <c r="I196" s="21"/>
      <c r="J196" s="128"/>
      <c r="K196" s="54"/>
      <c r="L196" s="64"/>
      <c r="M196" s="69"/>
      <c r="O196" s="21"/>
      <c r="P196" s="128"/>
      <c r="Q196" s="54"/>
      <c r="R196" s="64"/>
      <c r="S196" s="69"/>
      <c r="U196" s="21"/>
      <c r="V196" s="128"/>
      <c r="W196" s="54"/>
      <c r="X196" s="64"/>
      <c r="Y196" s="69"/>
      <c r="AA196" s="21"/>
      <c r="AB196" s="128"/>
      <c r="AC196" s="54"/>
      <c r="AD196" s="64"/>
      <c r="AE196" s="69"/>
      <c r="AG196" s="21"/>
      <c r="AH196" s="128"/>
      <c r="AI196" s="54"/>
      <c r="AJ196" s="64"/>
      <c r="AK196" s="69"/>
      <c r="AL196" s="128"/>
      <c r="AM196" s="54"/>
      <c r="AN196" s="64"/>
      <c r="AO196" s="69"/>
      <c r="AQ196" s="21"/>
      <c r="AR196" s="128"/>
      <c r="AS196" s="54"/>
      <c r="AT196" s="64"/>
      <c r="AU196" s="69"/>
      <c r="AW196" s="21"/>
      <c r="AX196" s="128"/>
      <c r="AY196" s="54"/>
      <c r="AZ196" s="64">
        <v>1</v>
      </c>
      <c r="BA196" s="69"/>
      <c r="BC196" s="21"/>
      <c r="BD196" s="128"/>
      <c r="BE196" s="54"/>
      <c r="BF196" s="64"/>
      <c r="BG196" s="69"/>
      <c r="BI196" s="21"/>
      <c r="BJ196" s="128"/>
      <c r="BK196" s="54"/>
      <c r="BL196" s="64"/>
      <c r="BM196" s="69"/>
    </row>
    <row r="197" spans="1:65" x14ac:dyDescent="0.15">
      <c r="A197" s="5" t="s">
        <v>133</v>
      </c>
      <c r="C197" s="21"/>
      <c r="D197" s="128"/>
      <c r="E197" s="54"/>
      <c r="F197" s="64"/>
      <c r="G197" s="69"/>
      <c r="I197" s="21"/>
      <c r="J197" s="128"/>
      <c r="K197" s="54"/>
      <c r="L197" s="64"/>
      <c r="M197" s="69"/>
      <c r="O197" s="21"/>
      <c r="P197" s="128"/>
      <c r="Q197" s="54"/>
      <c r="R197" s="64"/>
      <c r="S197" s="69"/>
      <c r="U197" s="21"/>
      <c r="V197" s="128"/>
      <c r="W197" s="54"/>
      <c r="X197" s="64"/>
      <c r="Y197" s="69"/>
      <c r="AA197" s="21"/>
      <c r="AB197" s="128"/>
      <c r="AC197" s="54"/>
      <c r="AD197" s="64"/>
      <c r="AE197" s="69"/>
      <c r="AG197" s="21"/>
      <c r="AH197" s="128"/>
      <c r="AI197" s="54"/>
      <c r="AJ197" s="64"/>
      <c r="AK197" s="69"/>
      <c r="AL197" s="128"/>
      <c r="AM197" s="54"/>
      <c r="AN197" s="64"/>
      <c r="AO197" s="69"/>
      <c r="AQ197" s="21"/>
      <c r="AR197" s="128"/>
      <c r="AS197" s="54"/>
      <c r="AT197" s="64"/>
      <c r="AU197" s="69"/>
      <c r="AW197" s="21"/>
      <c r="AX197" s="128"/>
      <c r="AY197" s="54"/>
      <c r="AZ197" s="64"/>
      <c r="BA197" s="69"/>
      <c r="BC197" s="21"/>
      <c r="BD197" s="128"/>
      <c r="BE197" s="54"/>
      <c r="BF197" s="64"/>
      <c r="BG197" s="69"/>
      <c r="BI197" s="21"/>
      <c r="BJ197" s="128"/>
      <c r="BK197" s="54"/>
      <c r="BL197" s="64"/>
      <c r="BM197" s="69"/>
    </row>
    <row r="198" spans="1:65" x14ac:dyDescent="0.15">
      <c r="A198" s="5" t="s">
        <v>212</v>
      </c>
      <c r="C198" s="21"/>
      <c r="D198" s="128"/>
      <c r="E198" s="54"/>
      <c r="F198" s="64"/>
      <c r="G198" s="69"/>
      <c r="I198" s="21"/>
      <c r="J198" s="128"/>
      <c r="K198" s="54"/>
      <c r="L198" s="64"/>
      <c r="M198" s="69"/>
      <c r="O198" s="21"/>
      <c r="P198" s="128"/>
      <c r="Q198" s="54"/>
      <c r="R198" s="64"/>
      <c r="S198" s="69"/>
      <c r="U198" s="21"/>
      <c r="V198" s="128"/>
      <c r="W198" s="54"/>
      <c r="X198" s="64"/>
      <c r="Y198" s="69"/>
      <c r="AA198" s="21"/>
      <c r="AB198" s="128"/>
      <c r="AC198" s="54"/>
      <c r="AD198" s="64"/>
      <c r="AE198" s="69"/>
      <c r="AG198" s="21"/>
      <c r="AH198" s="128"/>
      <c r="AI198" s="54"/>
      <c r="AJ198" s="64"/>
      <c r="AK198" s="69"/>
      <c r="AL198" s="128"/>
      <c r="AM198" s="54"/>
      <c r="AN198" s="64"/>
      <c r="AO198" s="69"/>
      <c r="AQ198" s="21"/>
      <c r="AR198" s="128"/>
      <c r="AS198" s="54"/>
      <c r="AT198" s="64"/>
      <c r="AU198" s="69"/>
      <c r="AW198" s="21"/>
      <c r="AX198" s="128"/>
      <c r="AY198" s="54"/>
      <c r="AZ198" s="64"/>
      <c r="BA198" s="69"/>
      <c r="BC198" s="21"/>
      <c r="BD198" s="128"/>
      <c r="BE198" s="54"/>
      <c r="BF198" s="64"/>
      <c r="BG198" s="69"/>
      <c r="BI198" s="21"/>
      <c r="BJ198" s="128"/>
      <c r="BK198" s="54"/>
      <c r="BL198" s="64"/>
      <c r="BM198" s="69"/>
    </row>
    <row r="199" spans="1:65" x14ac:dyDescent="0.15">
      <c r="A199" s="2" t="s">
        <v>45</v>
      </c>
      <c r="C199" s="21"/>
      <c r="D199" s="128"/>
      <c r="E199" s="54"/>
      <c r="F199" s="64"/>
      <c r="G199" s="69"/>
      <c r="I199" s="21"/>
      <c r="J199" s="128"/>
      <c r="K199" s="54"/>
      <c r="L199" s="64"/>
      <c r="M199" s="69"/>
      <c r="O199" s="21"/>
      <c r="P199" s="128"/>
      <c r="Q199" s="54"/>
      <c r="R199" s="64"/>
      <c r="S199" s="69"/>
      <c r="U199" s="21"/>
      <c r="V199" s="128"/>
      <c r="W199" s="54"/>
      <c r="X199" s="64"/>
      <c r="Y199" s="69"/>
      <c r="AA199" s="21"/>
      <c r="AB199" s="128"/>
      <c r="AC199" s="54"/>
      <c r="AD199" s="64">
        <v>1</v>
      </c>
      <c r="AE199" s="69"/>
      <c r="AG199" s="21"/>
      <c r="AH199" s="128"/>
      <c r="AI199" s="54"/>
      <c r="AJ199" s="64"/>
      <c r="AK199" s="69"/>
      <c r="AL199" s="128"/>
      <c r="AM199" s="54"/>
      <c r="AN199" s="64"/>
      <c r="AO199" s="69"/>
      <c r="AQ199" s="21"/>
      <c r="AR199" s="128"/>
      <c r="AS199" s="54"/>
      <c r="AT199" s="64"/>
      <c r="AU199" s="69"/>
      <c r="AW199" s="21"/>
      <c r="AX199" s="128"/>
      <c r="AY199" s="54"/>
      <c r="AZ199" s="64"/>
      <c r="BA199" s="69">
        <v>1</v>
      </c>
      <c r="BC199" s="21">
        <v>1</v>
      </c>
      <c r="BD199" s="128">
        <v>1</v>
      </c>
      <c r="BE199" s="54"/>
      <c r="BF199" s="64"/>
      <c r="BG199" s="69"/>
      <c r="BI199" s="21"/>
      <c r="BJ199" s="128"/>
      <c r="BK199" s="54"/>
      <c r="BL199" s="64"/>
      <c r="BM199" s="69"/>
    </row>
    <row r="200" spans="1:65" x14ac:dyDescent="0.15">
      <c r="A200" s="2" t="s">
        <v>16</v>
      </c>
      <c r="B200">
        <v>1</v>
      </c>
      <c r="C200" s="21">
        <v>1</v>
      </c>
      <c r="D200" s="128">
        <v>1</v>
      </c>
      <c r="E200" s="54">
        <v>1</v>
      </c>
      <c r="F200" s="64">
        <v>1</v>
      </c>
      <c r="G200" s="69">
        <v>1</v>
      </c>
      <c r="H200">
        <v>1</v>
      </c>
      <c r="I200" s="21"/>
      <c r="J200" s="128"/>
      <c r="K200" s="54"/>
      <c r="L200" s="64"/>
      <c r="M200" s="69"/>
      <c r="O200" s="21"/>
      <c r="P200" s="128"/>
      <c r="Q200" s="54"/>
      <c r="R200" s="64"/>
      <c r="S200" s="69"/>
      <c r="U200" s="21"/>
      <c r="V200" s="128"/>
      <c r="W200" s="54"/>
      <c r="X200" s="64"/>
      <c r="Y200" s="69"/>
      <c r="Z200">
        <v>1</v>
      </c>
      <c r="AA200" s="21">
        <v>1</v>
      </c>
      <c r="AB200" s="128">
        <v>1</v>
      </c>
      <c r="AC200" s="54">
        <v>1</v>
      </c>
      <c r="AD200" s="64"/>
      <c r="AE200" s="69">
        <v>1</v>
      </c>
      <c r="AG200" s="21"/>
      <c r="AH200" s="128"/>
      <c r="AI200" s="54"/>
      <c r="AJ200" s="64"/>
      <c r="AK200" s="69"/>
      <c r="AL200" s="128"/>
      <c r="AM200" s="54"/>
      <c r="AN200" s="64"/>
      <c r="AO200" s="69"/>
      <c r="AQ200" s="21"/>
      <c r="AR200" s="128"/>
      <c r="AS200" s="54"/>
      <c r="AT200" s="64"/>
      <c r="AU200" s="69"/>
      <c r="AW200" s="21"/>
      <c r="AX200" s="128"/>
      <c r="AY200" s="54"/>
      <c r="AZ200" s="64"/>
      <c r="BA200" s="69"/>
      <c r="BC200" s="21"/>
      <c r="BD200" s="128"/>
      <c r="BE200" s="54"/>
      <c r="BF200" s="64"/>
      <c r="BG200" s="69"/>
      <c r="BI200" s="21"/>
      <c r="BJ200" s="128"/>
      <c r="BK200" s="54"/>
      <c r="BL200" s="64"/>
      <c r="BM200" s="69"/>
    </row>
    <row r="201" spans="1:65" x14ac:dyDescent="0.15">
      <c r="A201" s="2" t="s">
        <v>219</v>
      </c>
      <c r="C201" s="21"/>
      <c r="D201" s="128"/>
      <c r="E201" s="54"/>
      <c r="F201" s="64"/>
      <c r="G201" s="69"/>
      <c r="I201" s="21"/>
      <c r="J201" s="128"/>
      <c r="K201" s="54"/>
      <c r="L201" s="64"/>
      <c r="M201" s="69"/>
      <c r="O201" s="21"/>
      <c r="P201" s="128"/>
      <c r="Q201" s="54"/>
      <c r="R201" s="64"/>
      <c r="S201" s="69"/>
      <c r="U201" s="21"/>
      <c r="V201" s="128"/>
      <c r="W201" s="54"/>
      <c r="X201" s="64"/>
      <c r="Y201" s="69"/>
      <c r="AA201" s="21"/>
      <c r="AB201" s="128"/>
      <c r="AC201" s="54"/>
      <c r="AD201" s="64"/>
      <c r="AE201" s="69"/>
      <c r="AG201" s="21"/>
      <c r="AH201" s="128"/>
      <c r="AI201" s="54"/>
      <c r="AJ201" s="64"/>
      <c r="AK201" s="69"/>
      <c r="AL201" s="128"/>
      <c r="AM201" s="54"/>
      <c r="AN201" s="64"/>
      <c r="AO201" s="69"/>
      <c r="AQ201" s="21"/>
      <c r="AR201" s="128"/>
      <c r="AS201" s="54"/>
      <c r="AT201" s="64"/>
      <c r="AU201" s="69"/>
      <c r="AW201" s="21"/>
      <c r="AX201" s="128"/>
      <c r="AY201" s="54"/>
      <c r="AZ201" s="64"/>
      <c r="BA201" s="69"/>
      <c r="BC201" s="21"/>
      <c r="BD201" s="128"/>
      <c r="BE201" s="54"/>
      <c r="BF201" s="64"/>
      <c r="BG201" s="69"/>
      <c r="BI201" s="21"/>
      <c r="BJ201" s="128"/>
      <c r="BK201" s="54"/>
      <c r="BL201" s="64"/>
      <c r="BM201" s="69"/>
    </row>
    <row r="202" spans="1:65" x14ac:dyDescent="0.15">
      <c r="A202" s="5" t="s">
        <v>70</v>
      </c>
      <c r="C202" s="21"/>
      <c r="D202" s="128"/>
      <c r="E202" s="54"/>
      <c r="F202" s="64"/>
      <c r="G202" s="69"/>
      <c r="I202" s="21"/>
      <c r="J202" s="128"/>
      <c r="K202" s="54"/>
      <c r="L202" s="64"/>
      <c r="M202" s="69"/>
      <c r="O202" s="21"/>
      <c r="P202" s="128"/>
      <c r="Q202" s="54"/>
      <c r="R202" s="64"/>
      <c r="S202" s="69"/>
      <c r="U202" s="21"/>
      <c r="V202" s="128"/>
      <c r="W202" s="54"/>
      <c r="X202" s="64"/>
      <c r="Y202" s="69"/>
      <c r="AA202" s="21"/>
      <c r="AB202" s="128"/>
      <c r="AC202" s="54"/>
      <c r="AD202" s="64"/>
      <c r="AE202" s="69"/>
      <c r="AG202" s="21"/>
      <c r="AH202" s="128"/>
      <c r="AI202" s="54"/>
      <c r="AJ202" s="64"/>
      <c r="AK202" s="69"/>
      <c r="AL202" s="128"/>
      <c r="AM202" s="54"/>
      <c r="AN202" s="64"/>
      <c r="AO202" s="69"/>
      <c r="AQ202" s="21"/>
      <c r="AR202" s="128"/>
      <c r="AS202" s="54"/>
      <c r="AT202" s="64"/>
      <c r="AU202" s="69"/>
      <c r="AW202" s="21"/>
      <c r="AX202" s="128"/>
      <c r="AY202" s="54"/>
      <c r="AZ202" s="64"/>
      <c r="BA202" s="69"/>
      <c r="BC202" s="21"/>
      <c r="BD202" s="128"/>
      <c r="BE202" s="54"/>
      <c r="BF202" s="64"/>
      <c r="BG202" s="69"/>
      <c r="BI202" s="21"/>
      <c r="BJ202" s="128"/>
      <c r="BK202" s="54"/>
      <c r="BL202" s="64"/>
      <c r="BM202" s="69"/>
    </row>
    <row r="203" spans="1:65" x14ac:dyDescent="0.15">
      <c r="A203" s="5" t="s">
        <v>221</v>
      </c>
      <c r="C203" s="21"/>
      <c r="D203" s="128"/>
      <c r="E203" s="54"/>
      <c r="F203" s="64"/>
      <c r="G203" s="69"/>
      <c r="I203" s="21"/>
      <c r="J203" s="128"/>
      <c r="K203" s="54"/>
      <c r="L203" s="64"/>
      <c r="M203" s="69"/>
      <c r="O203" s="21"/>
      <c r="P203" s="128"/>
      <c r="Q203" s="54"/>
      <c r="R203" s="64"/>
      <c r="S203" s="69"/>
      <c r="U203" s="21"/>
      <c r="V203" s="128"/>
      <c r="W203" s="54"/>
      <c r="X203" s="64"/>
      <c r="Y203" s="69"/>
      <c r="AA203" s="21"/>
      <c r="AB203" s="128"/>
      <c r="AC203" s="54"/>
      <c r="AD203" s="64"/>
      <c r="AE203" s="69"/>
      <c r="AG203" s="21"/>
      <c r="AH203" s="128"/>
      <c r="AI203" s="54"/>
      <c r="AJ203" s="64"/>
      <c r="AK203" s="69"/>
      <c r="AL203" s="128"/>
      <c r="AM203" s="54"/>
      <c r="AN203" s="64"/>
      <c r="AO203" s="69"/>
      <c r="AQ203" s="21"/>
      <c r="AR203" s="128"/>
      <c r="AS203" s="54"/>
      <c r="AT203" s="64"/>
      <c r="AU203" s="69"/>
      <c r="AW203" s="21"/>
      <c r="AX203" s="128"/>
      <c r="AY203" s="54"/>
      <c r="AZ203" s="64"/>
      <c r="BA203" s="69"/>
      <c r="BC203" s="21"/>
      <c r="BD203" s="128"/>
      <c r="BE203" s="54"/>
      <c r="BF203" s="64"/>
      <c r="BG203" s="69"/>
      <c r="BI203" s="21"/>
      <c r="BJ203" s="128"/>
      <c r="BK203" s="54"/>
      <c r="BL203" s="64"/>
      <c r="BM203" s="69"/>
    </row>
    <row r="204" spans="1:65" x14ac:dyDescent="0.15">
      <c r="A204" s="5" t="s">
        <v>199</v>
      </c>
      <c r="C204" s="21"/>
      <c r="D204" s="128"/>
      <c r="E204" s="54"/>
      <c r="F204" s="64"/>
      <c r="G204" s="69"/>
      <c r="I204" s="21"/>
      <c r="J204" s="128"/>
      <c r="K204" s="54"/>
      <c r="L204" s="64"/>
      <c r="M204" s="69"/>
      <c r="O204" s="21"/>
      <c r="P204" s="128"/>
      <c r="Q204" s="54"/>
      <c r="R204" s="64"/>
      <c r="S204" s="69"/>
      <c r="U204" s="21"/>
      <c r="V204" s="128"/>
      <c r="W204" s="54"/>
      <c r="X204" s="64"/>
      <c r="Y204" s="69"/>
      <c r="AA204" s="21"/>
      <c r="AB204" s="128"/>
      <c r="AC204" s="54"/>
      <c r="AD204" s="64"/>
      <c r="AE204" s="69"/>
      <c r="AG204" s="21"/>
      <c r="AH204" s="128"/>
      <c r="AI204" s="54"/>
      <c r="AJ204" s="64"/>
      <c r="AK204" s="69"/>
      <c r="AL204" s="128"/>
      <c r="AM204" s="54"/>
      <c r="AN204" s="64"/>
      <c r="AO204" s="69"/>
      <c r="AQ204" s="21"/>
      <c r="AR204" s="128"/>
      <c r="AS204" s="54"/>
      <c r="AT204" s="64"/>
      <c r="AU204" s="69"/>
      <c r="AW204" s="21"/>
      <c r="AX204" s="128"/>
      <c r="AY204" s="54"/>
      <c r="AZ204" s="64"/>
      <c r="BA204" s="69"/>
      <c r="BC204" s="21"/>
      <c r="BD204" s="128"/>
      <c r="BE204" s="54"/>
      <c r="BF204" s="64"/>
      <c r="BG204" s="69"/>
      <c r="BI204" s="21"/>
      <c r="BJ204" s="128"/>
      <c r="BK204" s="54"/>
      <c r="BL204" s="64"/>
      <c r="BM204" s="69"/>
    </row>
    <row r="205" spans="1:65" x14ac:dyDescent="0.15">
      <c r="A205" s="5" t="s">
        <v>222</v>
      </c>
      <c r="C205" s="21"/>
      <c r="D205" s="128"/>
      <c r="E205" s="54"/>
      <c r="F205" s="64"/>
      <c r="G205" s="69"/>
      <c r="I205" s="21"/>
      <c r="J205" s="128"/>
      <c r="K205" s="54"/>
      <c r="L205" s="64"/>
      <c r="M205" s="69"/>
      <c r="O205" s="21"/>
      <c r="P205" s="128"/>
      <c r="Q205" s="54"/>
      <c r="R205" s="64"/>
      <c r="S205" s="69"/>
      <c r="U205" s="21"/>
      <c r="V205" s="128"/>
      <c r="W205" s="54"/>
      <c r="X205" s="64"/>
      <c r="Y205" s="69"/>
      <c r="AA205" s="21"/>
      <c r="AB205" s="128"/>
      <c r="AC205" s="54"/>
      <c r="AD205" s="64"/>
      <c r="AE205" s="69"/>
      <c r="AG205" s="21"/>
      <c r="AH205" s="128"/>
      <c r="AI205" s="54"/>
      <c r="AJ205" s="64"/>
      <c r="AK205" s="69"/>
      <c r="AL205" s="128"/>
      <c r="AM205" s="54"/>
      <c r="AN205" s="64"/>
      <c r="AO205" s="69"/>
      <c r="AQ205" s="21"/>
      <c r="AR205" s="128"/>
      <c r="AS205" s="54"/>
      <c r="AT205" s="64"/>
      <c r="AU205" s="69"/>
      <c r="AW205" s="21"/>
      <c r="AX205" s="128"/>
      <c r="AY205" s="54"/>
      <c r="AZ205" s="64"/>
      <c r="BA205" s="69"/>
      <c r="BC205" s="21"/>
      <c r="BD205" s="128"/>
      <c r="BE205" s="54"/>
      <c r="BF205" s="64"/>
      <c r="BG205" s="69"/>
      <c r="BI205" s="21"/>
      <c r="BJ205" s="128"/>
      <c r="BK205" s="54"/>
      <c r="BL205" s="64"/>
      <c r="BM205" s="69"/>
    </row>
    <row r="206" spans="1:65" x14ac:dyDescent="0.15">
      <c r="A206" s="2" t="s">
        <v>62</v>
      </c>
      <c r="C206" s="21"/>
      <c r="D206" s="128"/>
      <c r="E206" s="54"/>
      <c r="F206" s="64"/>
      <c r="G206" s="69"/>
      <c r="I206" s="21"/>
      <c r="J206" s="128"/>
      <c r="K206" s="54"/>
      <c r="L206" s="64"/>
      <c r="M206" s="69"/>
      <c r="O206" s="21"/>
      <c r="P206" s="128"/>
      <c r="Q206" s="54"/>
      <c r="R206" s="64"/>
      <c r="S206" s="69"/>
      <c r="U206" s="21"/>
      <c r="V206" s="128"/>
      <c r="W206" s="54"/>
      <c r="X206" s="64"/>
      <c r="Y206" s="69"/>
      <c r="AA206" s="21"/>
      <c r="AB206" s="128"/>
      <c r="AC206" s="54"/>
      <c r="AD206" s="64"/>
      <c r="AE206" s="69"/>
      <c r="AG206" s="21"/>
      <c r="AH206" s="128"/>
      <c r="AI206" s="54"/>
      <c r="AJ206" s="64"/>
      <c r="AK206" s="69"/>
      <c r="AL206" s="128"/>
      <c r="AM206" s="54"/>
      <c r="AN206" s="64"/>
      <c r="AO206" s="69"/>
      <c r="AQ206" s="21"/>
      <c r="AR206" s="128"/>
      <c r="AS206" s="54"/>
      <c r="AT206" s="64"/>
      <c r="AU206" s="69"/>
      <c r="AW206" s="21"/>
      <c r="AX206" s="128"/>
      <c r="AY206" s="54"/>
      <c r="AZ206" s="64"/>
      <c r="BA206" s="69"/>
      <c r="BC206" s="21"/>
      <c r="BD206" s="128"/>
      <c r="BE206" s="54"/>
      <c r="BF206" s="64"/>
      <c r="BG206" s="69"/>
      <c r="BI206" s="21"/>
      <c r="BJ206" s="128"/>
      <c r="BK206" s="54"/>
      <c r="BL206" s="64"/>
      <c r="BM206" s="69"/>
    </row>
    <row r="207" spans="1:65" x14ac:dyDescent="0.15">
      <c r="A207" s="2" t="s">
        <v>17</v>
      </c>
      <c r="C207" s="21"/>
      <c r="D207" s="128"/>
      <c r="E207" s="54"/>
      <c r="F207" s="64"/>
      <c r="G207" s="69"/>
      <c r="I207" s="21"/>
      <c r="J207" s="128"/>
      <c r="K207" s="54"/>
      <c r="L207" s="64"/>
      <c r="M207" s="69"/>
      <c r="O207" s="21"/>
      <c r="P207" s="128"/>
      <c r="Q207" s="54"/>
      <c r="R207" s="64"/>
      <c r="S207" s="69"/>
      <c r="U207" s="21"/>
      <c r="V207" s="128"/>
      <c r="W207" s="54"/>
      <c r="X207" s="64"/>
      <c r="Y207" s="69"/>
      <c r="AA207" s="21"/>
      <c r="AB207" s="128"/>
      <c r="AC207" s="54"/>
      <c r="AD207" s="64"/>
      <c r="AE207" s="69"/>
      <c r="AG207" s="21"/>
      <c r="AH207" s="128"/>
      <c r="AI207" s="54"/>
      <c r="AJ207" s="64"/>
      <c r="AK207" s="69"/>
      <c r="AL207" s="128"/>
      <c r="AM207" s="54"/>
      <c r="AN207" s="64"/>
      <c r="AO207" s="69"/>
      <c r="AQ207" s="21"/>
      <c r="AR207" s="128"/>
      <c r="AS207" s="54"/>
      <c r="AT207" s="64"/>
      <c r="AU207" s="69"/>
      <c r="AW207" s="21"/>
      <c r="AX207" s="128"/>
      <c r="AY207" s="54"/>
      <c r="AZ207" s="64"/>
      <c r="BA207" s="69"/>
      <c r="BC207" s="21"/>
      <c r="BD207" s="128"/>
      <c r="BE207" s="54"/>
      <c r="BF207" s="64"/>
      <c r="BG207" s="69"/>
      <c r="BI207" s="21"/>
      <c r="BJ207" s="128"/>
      <c r="BK207" s="54"/>
      <c r="BL207" s="64"/>
      <c r="BM207" s="69"/>
    </row>
    <row r="208" spans="1:65" x14ac:dyDescent="0.15">
      <c r="A208" s="2" t="s">
        <v>49</v>
      </c>
      <c r="C208" s="21">
        <v>2</v>
      </c>
      <c r="D208" s="128">
        <v>2</v>
      </c>
      <c r="E208" s="54">
        <v>2</v>
      </c>
      <c r="F208" s="64">
        <v>2</v>
      </c>
      <c r="G208" s="69">
        <v>2</v>
      </c>
      <c r="I208" s="21"/>
      <c r="J208" s="128"/>
      <c r="K208" s="54"/>
      <c r="L208" s="64"/>
      <c r="M208" s="69"/>
      <c r="O208" s="21">
        <v>1</v>
      </c>
      <c r="P208" s="128">
        <v>1</v>
      </c>
      <c r="Q208" s="54"/>
      <c r="R208" s="64">
        <v>1</v>
      </c>
      <c r="S208" s="69">
        <v>1</v>
      </c>
      <c r="U208" s="21">
        <v>1</v>
      </c>
      <c r="V208" s="128">
        <v>2</v>
      </c>
      <c r="W208" s="54">
        <v>1</v>
      </c>
      <c r="X208" s="64">
        <v>1</v>
      </c>
      <c r="Y208" s="69">
        <v>1</v>
      </c>
      <c r="AA208" s="21"/>
      <c r="AB208" s="128">
        <v>2</v>
      </c>
      <c r="AC208" s="54">
        <v>1</v>
      </c>
      <c r="AD208" s="64">
        <v>2</v>
      </c>
      <c r="AE208" s="69">
        <v>2</v>
      </c>
      <c r="AG208" s="21"/>
      <c r="AH208" s="128">
        <v>1</v>
      </c>
      <c r="AI208" s="54">
        <v>1</v>
      </c>
      <c r="AJ208" s="64">
        <v>2</v>
      </c>
      <c r="AK208" s="69">
        <v>3</v>
      </c>
      <c r="AL208" s="128">
        <v>1</v>
      </c>
      <c r="AM208" s="54">
        <v>1</v>
      </c>
      <c r="AN208" s="64">
        <v>1</v>
      </c>
      <c r="AO208" s="69">
        <v>3</v>
      </c>
      <c r="AQ208" s="21">
        <v>2</v>
      </c>
      <c r="AR208" s="128">
        <v>1</v>
      </c>
      <c r="AS208" s="54">
        <v>1</v>
      </c>
      <c r="AT208" s="64">
        <v>2</v>
      </c>
      <c r="AU208" s="69">
        <v>2</v>
      </c>
      <c r="AW208" s="21">
        <v>1</v>
      </c>
      <c r="AX208" s="128">
        <v>1</v>
      </c>
      <c r="AY208" s="54">
        <v>1</v>
      </c>
      <c r="AZ208" s="64">
        <v>1</v>
      </c>
      <c r="BA208" s="69">
        <v>1</v>
      </c>
      <c r="BC208" s="21">
        <v>1</v>
      </c>
      <c r="BD208" s="128">
        <v>2</v>
      </c>
      <c r="BE208" s="54">
        <v>2</v>
      </c>
      <c r="BF208" s="64">
        <v>1</v>
      </c>
      <c r="BG208" s="69">
        <v>2</v>
      </c>
      <c r="BI208" s="21">
        <v>1</v>
      </c>
      <c r="BJ208" s="128">
        <v>1</v>
      </c>
      <c r="BK208" s="54">
        <v>1</v>
      </c>
      <c r="BL208" s="64">
        <v>1</v>
      </c>
      <c r="BM208" s="69">
        <v>1</v>
      </c>
    </row>
    <row r="209" spans="1:65" x14ac:dyDescent="0.15">
      <c r="A209" s="2" t="s">
        <v>6</v>
      </c>
      <c r="C209" s="21"/>
      <c r="D209" s="128"/>
      <c r="E209" s="54"/>
      <c r="F209" s="64"/>
      <c r="G209" s="69"/>
      <c r="I209" s="21"/>
      <c r="J209" s="128"/>
      <c r="K209" s="54"/>
      <c r="L209" s="64"/>
      <c r="M209" s="69"/>
      <c r="O209" s="21"/>
      <c r="P209" s="128"/>
      <c r="Q209" s="54"/>
      <c r="R209" s="64"/>
      <c r="S209" s="69"/>
      <c r="U209" s="21"/>
      <c r="V209" s="128"/>
      <c r="W209" s="54"/>
      <c r="X209" s="64"/>
      <c r="Y209" s="69"/>
      <c r="AA209" s="21"/>
      <c r="AB209" s="128"/>
      <c r="AC209" s="54"/>
      <c r="AD209" s="64"/>
      <c r="AE209" s="69"/>
      <c r="AG209" s="21"/>
      <c r="AH209" s="128"/>
      <c r="AI209" s="54"/>
      <c r="AJ209" s="64"/>
      <c r="AK209" s="69"/>
      <c r="AL209" s="128"/>
      <c r="AM209" s="54"/>
      <c r="AN209" s="64"/>
      <c r="AO209" s="69"/>
      <c r="AQ209" s="21"/>
      <c r="AR209" s="128"/>
      <c r="AS209" s="54"/>
      <c r="AT209" s="64"/>
      <c r="AU209" s="69"/>
      <c r="AW209" s="21"/>
      <c r="AX209" s="128"/>
      <c r="AY209" s="54"/>
      <c r="AZ209" s="64"/>
      <c r="BA209" s="69"/>
      <c r="BC209" s="21"/>
      <c r="BD209" s="128"/>
      <c r="BE209" s="54"/>
      <c r="BF209" s="64"/>
      <c r="BG209" s="69"/>
      <c r="BI209" s="21"/>
      <c r="BJ209" s="128"/>
      <c r="BK209" s="54"/>
      <c r="BL209" s="64"/>
      <c r="BM209" s="69"/>
    </row>
    <row r="210" spans="1:65" x14ac:dyDescent="0.15">
      <c r="A210" s="2" t="s">
        <v>19</v>
      </c>
      <c r="C210" s="21"/>
      <c r="D210" s="128">
        <v>1</v>
      </c>
      <c r="E210" s="54"/>
      <c r="F210" s="64">
        <v>1</v>
      </c>
      <c r="G210" s="69">
        <v>1</v>
      </c>
      <c r="I210" s="21"/>
      <c r="J210" s="128"/>
      <c r="K210" s="54"/>
      <c r="L210" s="64"/>
      <c r="M210" s="69"/>
      <c r="O210" s="21">
        <v>1</v>
      </c>
      <c r="P210" s="128">
        <v>1</v>
      </c>
      <c r="Q210" s="54">
        <v>1</v>
      </c>
      <c r="R210" s="64">
        <v>1</v>
      </c>
      <c r="S210" s="69">
        <v>1</v>
      </c>
      <c r="T210">
        <v>1</v>
      </c>
      <c r="U210" s="21">
        <v>2</v>
      </c>
      <c r="V210" s="128">
        <v>2</v>
      </c>
      <c r="W210" s="54">
        <v>2</v>
      </c>
      <c r="X210" s="64">
        <v>2</v>
      </c>
      <c r="Y210" s="69">
        <v>2</v>
      </c>
      <c r="Z210">
        <v>1</v>
      </c>
      <c r="AA210" s="21">
        <v>2</v>
      </c>
      <c r="AB210" s="128">
        <v>1</v>
      </c>
      <c r="AC210" s="54">
        <v>1</v>
      </c>
      <c r="AD210" s="64">
        <v>1</v>
      </c>
      <c r="AE210" s="69">
        <v>1</v>
      </c>
      <c r="AG210" s="21"/>
      <c r="AH210" s="128"/>
      <c r="AI210" s="54"/>
      <c r="AJ210" s="64"/>
      <c r="AK210" s="69"/>
      <c r="AL210" s="128"/>
      <c r="AM210" s="54"/>
      <c r="AN210" s="64"/>
      <c r="AO210" s="69"/>
      <c r="AQ210" s="21"/>
      <c r="AR210" s="128"/>
      <c r="AS210" s="54"/>
      <c r="AT210" s="64"/>
      <c r="AU210" s="69"/>
      <c r="AW210" s="21">
        <v>1</v>
      </c>
      <c r="AX210" s="128">
        <v>1</v>
      </c>
      <c r="AY210" s="54">
        <v>1</v>
      </c>
      <c r="AZ210" s="64">
        <v>1</v>
      </c>
      <c r="BA210" s="69">
        <v>1</v>
      </c>
      <c r="BC210" s="21">
        <v>1</v>
      </c>
      <c r="BD210" s="128"/>
      <c r="BE210" s="54"/>
      <c r="BF210" s="64"/>
      <c r="BG210" s="69"/>
      <c r="BI210" s="21"/>
      <c r="BJ210" s="128"/>
      <c r="BK210" s="54"/>
      <c r="BL210" s="64"/>
      <c r="BM210" s="69"/>
    </row>
    <row r="211" spans="1:65" x14ac:dyDescent="0.15">
      <c r="A211" s="2" t="s">
        <v>68</v>
      </c>
      <c r="C211" s="21"/>
      <c r="D211" s="128"/>
      <c r="E211" s="54"/>
      <c r="F211" s="64"/>
      <c r="G211" s="69"/>
      <c r="I211" s="21"/>
      <c r="J211" s="128"/>
      <c r="K211" s="54"/>
      <c r="L211" s="64"/>
      <c r="M211" s="69"/>
      <c r="O211" s="21"/>
      <c r="P211" s="128"/>
      <c r="Q211" s="54"/>
      <c r="R211" s="64"/>
      <c r="S211" s="69"/>
      <c r="T211">
        <v>1</v>
      </c>
      <c r="U211" s="21"/>
      <c r="V211" s="128"/>
      <c r="W211" s="54"/>
      <c r="X211" s="64"/>
      <c r="Y211" s="69"/>
      <c r="Z211">
        <v>1</v>
      </c>
      <c r="AA211" s="21"/>
      <c r="AB211" s="128"/>
      <c r="AC211" s="54"/>
      <c r="AD211" s="64"/>
      <c r="AE211" s="69"/>
      <c r="AG211" s="21"/>
      <c r="AH211" s="128"/>
      <c r="AI211" s="54"/>
      <c r="AJ211" s="64"/>
      <c r="AK211" s="69"/>
      <c r="AL211" s="128"/>
      <c r="AM211" s="54"/>
      <c r="AN211" s="64"/>
      <c r="AO211" s="69"/>
      <c r="AQ211" s="21"/>
      <c r="AR211" s="128"/>
      <c r="AS211" s="54"/>
      <c r="AT211" s="64"/>
      <c r="AU211" s="69"/>
      <c r="AW211" s="21"/>
      <c r="AX211" s="128"/>
      <c r="AY211" s="54"/>
      <c r="AZ211" s="64"/>
      <c r="BA211" s="69"/>
      <c r="BC211" s="21"/>
      <c r="BD211" s="128"/>
      <c r="BE211" s="54"/>
      <c r="BF211" s="64"/>
      <c r="BG211" s="69"/>
      <c r="BH211">
        <v>1</v>
      </c>
      <c r="BI211" s="21"/>
      <c r="BJ211" s="128"/>
      <c r="BK211" s="54"/>
      <c r="BL211" s="64"/>
      <c r="BM211" s="69"/>
    </row>
    <row r="212" spans="1:65" x14ac:dyDescent="0.15">
      <c r="A212" s="2" t="s">
        <v>37</v>
      </c>
      <c r="C212" s="21"/>
      <c r="D212" s="128"/>
      <c r="E212" s="54"/>
      <c r="F212" s="64"/>
      <c r="G212" s="69"/>
      <c r="I212" s="21"/>
      <c r="J212" s="128"/>
      <c r="K212" s="54"/>
      <c r="L212" s="64"/>
      <c r="M212" s="69"/>
      <c r="O212" s="21"/>
      <c r="P212" s="128"/>
      <c r="Q212" s="54"/>
      <c r="R212" s="64"/>
      <c r="S212" s="69"/>
      <c r="U212" s="21"/>
      <c r="V212" s="128"/>
      <c r="W212" s="54"/>
      <c r="X212" s="64"/>
      <c r="Y212" s="69"/>
      <c r="AA212" s="21"/>
      <c r="AB212" s="128"/>
      <c r="AC212" s="54"/>
      <c r="AD212" s="64"/>
      <c r="AE212" s="69"/>
      <c r="AG212" s="21"/>
      <c r="AH212" s="128"/>
      <c r="AI212" s="54"/>
      <c r="AJ212" s="64"/>
      <c r="AK212" s="69"/>
      <c r="AL212" s="128"/>
      <c r="AM212" s="54"/>
      <c r="AN212" s="64"/>
      <c r="AO212" s="69"/>
      <c r="AQ212" s="21"/>
      <c r="AR212" s="128"/>
      <c r="AS212" s="54"/>
      <c r="AT212" s="64"/>
      <c r="AU212" s="69"/>
      <c r="AW212" s="21"/>
      <c r="AX212" s="128"/>
      <c r="AY212" s="54"/>
      <c r="AZ212" s="64"/>
      <c r="BA212" s="69"/>
      <c r="BC212" s="21"/>
      <c r="BD212" s="128"/>
      <c r="BE212" s="54"/>
      <c r="BF212" s="64"/>
      <c r="BG212" s="69"/>
      <c r="BI212" s="21"/>
      <c r="BJ212" s="128"/>
      <c r="BK212" s="54"/>
      <c r="BL212" s="64"/>
      <c r="BM212" s="69"/>
    </row>
    <row r="213" spans="1:65" x14ac:dyDescent="0.15">
      <c r="A213" s="2" t="s">
        <v>20</v>
      </c>
      <c r="C213" s="21">
        <v>1</v>
      </c>
      <c r="D213" s="128">
        <v>1</v>
      </c>
      <c r="E213" s="54">
        <v>1</v>
      </c>
      <c r="F213" s="64">
        <v>1</v>
      </c>
      <c r="G213" s="69"/>
      <c r="I213" s="21"/>
      <c r="J213" s="128"/>
      <c r="K213" s="54"/>
      <c r="L213" s="64"/>
      <c r="M213" s="69"/>
      <c r="O213" s="21"/>
      <c r="P213" s="128"/>
      <c r="Q213" s="54"/>
      <c r="R213" s="64"/>
      <c r="S213" s="69"/>
      <c r="U213" s="21"/>
      <c r="V213" s="128"/>
      <c r="W213" s="54"/>
      <c r="X213" s="64">
        <v>1</v>
      </c>
      <c r="Y213" s="69">
        <v>1</v>
      </c>
      <c r="AA213" s="21"/>
      <c r="AB213" s="128"/>
      <c r="AC213" s="54"/>
      <c r="AD213" s="64">
        <v>1</v>
      </c>
      <c r="AE213" s="69"/>
      <c r="AF213">
        <v>3</v>
      </c>
      <c r="AG213" s="21">
        <v>2</v>
      </c>
      <c r="AH213" s="128">
        <v>1</v>
      </c>
      <c r="AI213" s="54">
        <v>1</v>
      </c>
      <c r="AJ213" s="64">
        <v>2</v>
      </c>
      <c r="AK213" s="69">
        <v>2</v>
      </c>
      <c r="AL213" s="128"/>
      <c r="AM213" s="54"/>
      <c r="AN213" s="64"/>
      <c r="AO213" s="69"/>
      <c r="AQ213" s="21"/>
      <c r="AR213" s="128"/>
      <c r="AS213" s="54"/>
      <c r="AT213" s="64"/>
      <c r="AU213" s="69"/>
      <c r="AW213" s="21"/>
      <c r="AX213" s="128"/>
      <c r="AY213" s="54"/>
      <c r="AZ213" s="64"/>
      <c r="BA213" s="69"/>
      <c r="BC213" s="21"/>
      <c r="BD213" s="128"/>
      <c r="BE213" s="54"/>
      <c r="BF213" s="64"/>
      <c r="BG213" s="69"/>
      <c r="BI213" s="21"/>
      <c r="BJ213" s="128">
        <v>1</v>
      </c>
      <c r="BK213" s="54"/>
      <c r="BL213" s="64"/>
      <c r="BM213" s="69"/>
    </row>
    <row r="214" spans="1:65" x14ac:dyDescent="0.15">
      <c r="A214" s="2" t="s">
        <v>11</v>
      </c>
      <c r="C214" s="21"/>
      <c r="D214" s="128"/>
      <c r="E214" s="54"/>
      <c r="F214" s="64"/>
      <c r="G214" s="69"/>
      <c r="I214" s="21"/>
      <c r="J214" s="128"/>
      <c r="K214" s="54"/>
      <c r="L214" s="64"/>
      <c r="M214" s="69"/>
      <c r="O214" s="21"/>
      <c r="P214" s="128"/>
      <c r="Q214" s="54"/>
      <c r="R214" s="64"/>
      <c r="S214" s="69"/>
      <c r="U214" s="21"/>
      <c r="V214" s="128"/>
      <c r="W214" s="54"/>
      <c r="X214" s="64"/>
      <c r="Y214" s="69"/>
      <c r="AA214" s="21"/>
      <c r="AB214" s="128"/>
      <c r="AC214" s="54"/>
      <c r="AD214" s="64"/>
      <c r="AE214" s="69"/>
      <c r="AG214" s="21"/>
      <c r="AH214" s="128"/>
      <c r="AI214" s="54"/>
      <c r="AJ214" s="64"/>
      <c r="AK214" s="69"/>
      <c r="AL214" s="128"/>
      <c r="AM214" s="54"/>
      <c r="AN214" s="64"/>
      <c r="AO214" s="69"/>
      <c r="AQ214" s="21"/>
      <c r="AR214" s="128"/>
      <c r="AS214" s="54"/>
      <c r="AT214" s="64"/>
      <c r="AU214" s="69"/>
      <c r="AW214" s="21"/>
      <c r="AX214" s="128"/>
      <c r="AY214" s="54"/>
      <c r="AZ214" s="64"/>
      <c r="BA214" s="69"/>
      <c r="BC214" s="21"/>
      <c r="BD214" s="128"/>
      <c r="BE214" s="54"/>
      <c r="BF214" s="64"/>
      <c r="BG214" s="69"/>
      <c r="BI214" s="21"/>
      <c r="BJ214" s="128"/>
      <c r="BK214" s="54"/>
      <c r="BL214" s="64"/>
      <c r="BM214" s="69"/>
    </row>
    <row r="215" spans="1:65" x14ac:dyDescent="0.15">
      <c r="A215" s="2" t="s">
        <v>21</v>
      </c>
      <c r="B215">
        <v>3</v>
      </c>
      <c r="C215" s="21">
        <v>1</v>
      </c>
      <c r="D215" s="128">
        <v>1</v>
      </c>
      <c r="E215" s="54">
        <v>1</v>
      </c>
      <c r="F215" s="64">
        <v>1</v>
      </c>
      <c r="G215" s="69">
        <v>1</v>
      </c>
      <c r="H215">
        <v>3</v>
      </c>
      <c r="I215" s="21"/>
      <c r="J215" s="128"/>
      <c r="K215" s="54"/>
      <c r="L215" s="64"/>
      <c r="M215" s="69"/>
      <c r="O215" s="21"/>
      <c r="P215" s="128"/>
      <c r="Q215" s="54"/>
      <c r="R215" s="64"/>
      <c r="S215" s="69"/>
      <c r="T215">
        <v>1</v>
      </c>
      <c r="U215" s="21">
        <v>1</v>
      </c>
      <c r="V215" s="128">
        <v>1</v>
      </c>
      <c r="W215" s="54">
        <v>1</v>
      </c>
      <c r="X215" s="64">
        <v>1</v>
      </c>
      <c r="Y215" s="69">
        <v>1</v>
      </c>
      <c r="Z215">
        <v>1</v>
      </c>
      <c r="AA215" s="21">
        <v>1</v>
      </c>
      <c r="AB215" s="128">
        <v>1</v>
      </c>
      <c r="AC215" s="54">
        <v>1</v>
      </c>
      <c r="AD215" s="64">
        <v>1</v>
      </c>
      <c r="AE215" s="69">
        <v>1</v>
      </c>
      <c r="AG215" s="21"/>
      <c r="AH215" s="128"/>
      <c r="AI215" s="54"/>
      <c r="AJ215" s="64"/>
      <c r="AK215" s="69"/>
      <c r="AL215" s="128"/>
      <c r="AM215" s="54"/>
      <c r="AN215" s="64"/>
      <c r="AO215" s="69"/>
      <c r="AQ215" s="21"/>
      <c r="AR215" s="128">
        <v>1</v>
      </c>
      <c r="AS215" s="54"/>
      <c r="AT215" s="64"/>
      <c r="AU215" s="69"/>
      <c r="AV215">
        <v>3</v>
      </c>
      <c r="AW215" s="21">
        <v>2</v>
      </c>
      <c r="AX215" s="128">
        <v>2</v>
      </c>
      <c r="AY215" s="54">
        <v>2</v>
      </c>
      <c r="AZ215" s="64">
        <v>2</v>
      </c>
      <c r="BA215" s="69">
        <v>1</v>
      </c>
      <c r="BB215">
        <v>4</v>
      </c>
      <c r="BC215" s="21">
        <v>2</v>
      </c>
      <c r="BD215" s="128">
        <v>2</v>
      </c>
      <c r="BE215" s="54">
        <v>2</v>
      </c>
      <c r="BF215" s="64">
        <v>1</v>
      </c>
      <c r="BG215" s="69">
        <v>1</v>
      </c>
      <c r="BI215" s="21"/>
      <c r="BJ215" s="128">
        <v>1</v>
      </c>
      <c r="BK215" s="54">
        <v>1</v>
      </c>
      <c r="BL215" s="64">
        <v>1</v>
      </c>
      <c r="BM215" s="69">
        <v>1</v>
      </c>
    </row>
    <row r="216" spans="1:65" x14ac:dyDescent="0.15">
      <c r="A216" s="2" t="s">
        <v>197</v>
      </c>
      <c r="C216" s="21"/>
      <c r="D216" s="128"/>
      <c r="E216" s="54"/>
      <c r="F216" s="64"/>
      <c r="G216" s="69"/>
      <c r="I216" s="21"/>
      <c r="J216" s="128"/>
      <c r="K216" s="54"/>
      <c r="L216" s="64"/>
      <c r="M216" s="69"/>
      <c r="O216" s="21"/>
      <c r="P216" s="128"/>
      <c r="Q216" s="54"/>
      <c r="R216" s="64"/>
      <c r="S216" s="69"/>
      <c r="U216" s="21"/>
      <c r="V216" s="128"/>
      <c r="W216" s="54"/>
      <c r="X216" s="64"/>
      <c r="Y216" s="69"/>
      <c r="AA216" s="21"/>
      <c r="AB216" s="128"/>
      <c r="AC216" s="54"/>
      <c r="AD216" s="64"/>
      <c r="AE216" s="69"/>
      <c r="AG216" s="21"/>
      <c r="AH216" s="128"/>
      <c r="AI216" s="54"/>
      <c r="AJ216" s="64"/>
      <c r="AK216" s="69"/>
      <c r="AL216" s="128"/>
      <c r="AM216" s="54"/>
      <c r="AN216" s="64"/>
      <c r="AO216" s="69"/>
      <c r="AQ216" s="21"/>
      <c r="AR216" s="128"/>
      <c r="AS216" s="54"/>
      <c r="AT216" s="64"/>
      <c r="AU216" s="69"/>
      <c r="AW216" s="21"/>
      <c r="AX216" s="128"/>
      <c r="AY216" s="54"/>
      <c r="AZ216" s="64"/>
      <c r="BA216" s="69"/>
      <c r="BC216" s="21"/>
      <c r="BD216" s="128"/>
      <c r="BE216" s="54"/>
      <c r="BF216" s="64"/>
      <c r="BG216" s="69"/>
      <c r="BI216" s="21"/>
      <c r="BJ216" s="128"/>
      <c r="BK216" s="54"/>
      <c r="BL216" s="64"/>
      <c r="BM216" s="69"/>
    </row>
    <row r="217" spans="1:65" x14ac:dyDescent="0.15">
      <c r="A217" s="2" t="s">
        <v>196</v>
      </c>
      <c r="C217" s="21"/>
      <c r="D217" s="128"/>
      <c r="E217" s="54"/>
      <c r="F217" s="64"/>
      <c r="G217" s="69"/>
      <c r="I217" s="21"/>
      <c r="J217" s="128"/>
      <c r="K217" s="54"/>
      <c r="L217" s="64"/>
      <c r="M217" s="69"/>
      <c r="O217" s="21"/>
      <c r="P217" s="128"/>
      <c r="Q217" s="54"/>
      <c r="R217" s="64"/>
      <c r="S217" s="69"/>
      <c r="U217" s="21"/>
      <c r="V217" s="128"/>
      <c r="W217" s="54"/>
      <c r="X217" s="64"/>
      <c r="Y217" s="69"/>
      <c r="AA217" s="21"/>
      <c r="AB217" s="128"/>
      <c r="AC217" s="54"/>
      <c r="AD217" s="64"/>
      <c r="AE217" s="69"/>
      <c r="AG217" s="21"/>
      <c r="AH217" s="128"/>
      <c r="AI217" s="54"/>
      <c r="AJ217" s="64"/>
      <c r="AK217" s="69"/>
      <c r="AL217" s="128"/>
      <c r="AM217" s="54"/>
      <c r="AN217" s="64"/>
      <c r="AO217" s="69"/>
      <c r="AQ217" s="21"/>
      <c r="AR217" s="128"/>
      <c r="AS217" s="54"/>
      <c r="AT217" s="64"/>
      <c r="AU217" s="69"/>
      <c r="AW217" s="21"/>
      <c r="AX217" s="128"/>
      <c r="AY217" s="54"/>
      <c r="AZ217" s="64"/>
      <c r="BA217" s="69"/>
      <c r="BC217" s="21"/>
      <c r="BD217" s="128"/>
      <c r="BE217" s="54"/>
      <c r="BF217" s="64"/>
      <c r="BG217" s="69"/>
      <c r="BI217" s="21"/>
      <c r="BJ217" s="128"/>
      <c r="BK217" s="54"/>
      <c r="BL217" s="64"/>
      <c r="BM217" s="69"/>
    </row>
    <row r="218" spans="1:65" x14ac:dyDescent="0.15">
      <c r="A218" s="5" t="s">
        <v>198</v>
      </c>
      <c r="C218" s="21"/>
      <c r="D218" s="128"/>
      <c r="E218" s="54"/>
      <c r="F218" s="64"/>
      <c r="G218" s="69"/>
      <c r="I218" s="21"/>
      <c r="J218" s="128"/>
      <c r="K218" s="54"/>
      <c r="L218" s="64"/>
      <c r="M218" s="69"/>
      <c r="O218" s="21"/>
      <c r="P218" s="128"/>
      <c r="Q218" s="54"/>
      <c r="R218" s="64"/>
      <c r="S218" s="69"/>
      <c r="U218" s="21"/>
      <c r="V218" s="128"/>
      <c r="W218" s="54"/>
      <c r="X218" s="64"/>
      <c r="Y218" s="69"/>
      <c r="AA218" s="21"/>
      <c r="AB218" s="128"/>
      <c r="AC218" s="54"/>
      <c r="AD218" s="64"/>
      <c r="AE218" s="69"/>
      <c r="AG218" s="21"/>
      <c r="AH218" s="128"/>
      <c r="AI218" s="54"/>
      <c r="AJ218" s="64"/>
      <c r="AK218" s="69"/>
      <c r="AL218" s="128"/>
      <c r="AM218" s="54"/>
      <c r="AN218" s="64"/>
      <c r="AO218" s="69"/>
      <c r="AQ218" s="21"/>
      <c r="AR218" s="128"/>
      <c r="AS218" s="54"/>
      <c r="AT218" s="64"/>
      <c r="AU218" s="69"/>
      <c r="AW218" s="21"/>
      <c r="AX218" s="128"/>
      <c r="AY218" s="54"/>
      <c r="AZ218" s="64"/>
      <c r="BA218" s="69"/>
      <c r="BC218" s="21"/>
      <c r="BD218" s="128"/>
      <c r="BE218" s="54"/>
      <c r="BF218" s="64"/>
      <c r="BG218" s="69"/>
      <c r="BI218" s="21"/>
      <c r="BJ218" s="128"/>
      <c r="BK218" s="54"/>
      <c r="BL218" s="64"/>
      <c r="BM218" s="69"/>
    </row>
    <row r="219" spans="1:65" x14ac:dyDescent="0.15">
      <c r="A219" s="2" t="s">
        <v>35</v>
      </c>
      <c r="C219" s="21"/>
      <c r="D219" s="128"/>
      <c r="E219" s="54">
        <v>1</v>
      </c>
      <c r="F219" s="64"/>
      <c r="G219" s="69">
        <v>1</v>
      </c>
      <c r="I219" s="21">
        <v>1</v>
      </c>
      <c r="J219" s="128">
        <v>1</v>
      </c>
      <c r="K219" s="54">
        <v>1</v>
      </c>
      <c r="L219" s="64">
        <v>1</v>
      </c>
      <c r="M219" s="69"/>
      <c r="O219" s="21">
        <v>1</v>
      </c>
      <c r="P219" s="128">
        <v>1</v>
      </c>
      <c r="Q219" s="54">
        <v>1</v>
      </c>
      <c r="R219" s="64">
        <v>1</v>
      </c>
      <c r="S219" s="69"/>
      <c r="T219">
        <v>1</v>
      </c>
      <c r="U219" s="21">
        <v>1</v>
      </c>
      <c r="V219" s="128">
        <v>1</v>
      </c>
      <c r="W219" s="54">
        <v>1</v>
      </c>
      <c r="X219" s="64">
        <v>1</v>
      </c>
      <c r="Y219" s="69">
        <v>1</v>
      </c>
      <c r="Z219">
        <v>2</v>
      </c>
      <c r="AA219" s="21">
        <v>1</v>
      </c>
      <c r="AB219" s="128">
        <v>1</v>
      </c>
      <c r="AC219" s="54">
        <v>1</v>
      </c>
      <c r="AD219" s="64">
        <v>1</v>
      </c>
      <c r="AE219" s="69">
        <v>1</v>
      </c>
      <c r="AF219">
        <v>3</v>
      </c>
      <c r="AG219" s="21">
        <v>1</v>
      </c>
      <c r="AH219" s="128"/>
      <c r="AI219" s="54"/>
      <c r="AJ219" s="64"/>
      <c r="AK219" s="69"/>
      <c r="AL219" s="128"/>
      <c r="AM219" s="54"/>
      <c r="AN219" s="64"/>
      <c r="AO219" s="69"/>
      <c r="AP219">
        <v>1</v>
      </c>
      <c r="AQ219" s="21"/>
      <c r="AR219" s="128"/>
      <c r="AS219" s="54"/>
      <c r="AT219" s="64"/>
      <c r="AU219" s="69"/>
      <c r="AV219">
        <v>2</v>
      </c>
      <c r="AW219" s="21">
        <v>2</v>
      </c>
      <c r="AX219" s="128">
        <v>1</v>
      </c>
      <c r="AY219" s="54">
        <v>2</v>
      </c>
      <c r="AZ219" s="64">
        <v>2</v>
      </c>
      <c r="BA219" s="69">
        <v>2</v>
      </c>
      <c r="BB219">
        <v>3</v>
      </c>
      <c r="BC219" s="21">
        <v>1</v>
      </c>
      <c r="BD219" s="128">
        <v>1</v>
      </c>
      <c r="BE219" s="54">
        <v>2</v>
      </c>
      <c r="BF219" s="64">
        <v>2</v>
      </c>
      <c r="BG219" s="69">
        <v>1</v>
      </c>
      <c r="BH219">
        <v>1</v>
      </c>
      <c r="BI219" s="21">
        <v>1</v>
      </c>
      <c r="BJ219" s="128">
        <v>1</v>
      </c>
      <c r="BK219" s="54">
        <v>1</v>
      </c>
      <c r="BL219" s="64">
        <v>1</v>
      </c>
      <c r="BM219" s="69">
        <v>1</v>
      </c>
    </row>
    <row r="220" spans="1:65" x14ac:dyDescent="0.15">
      <c r="A220" s="2" t="s">
        <v>110</v>
      </c>
      <c r="C220" s="21"/>
      <c r="D220" s="128"/>
      <c r="E220" s="54"/>
      <c r="F220" s="64"/>
      <c r="G220" s="69"/>
      <c r="I220" s="21"/>
      <c r="J220" s="128"/>
      <c r="K220" s="54"/>
      <c r="L220" s="64"/>
      <c r="M220" s="69"/>
      <c r="O220" s="21"/>
      <c r="P220" s="128"/>
      <c r="Q220" s="54"/>
      <c r="R220" s="64"/>
      <c r="S220" s="69"/>
      <c r="U220" s="21"/>
      <c r="V220" s="128"/>
      <c r="W220" s="54"/>
      <c r="X220" s="64"/>
      <c r="Y220" s="69"/>
      <c r="AA220" s="21"/>
      <c r="AB220" s="128"/>
      <c r="AC220" s="54"/>
      <c r="AD220" s="64"/>
      <c r="AE220" s="69"/>
      <c r="AG220" s="21"/>
      <c r="AH220" s="128"/>
      <c r="AI220" s="54"/>
      <c r="AJ220" s="64"/>
      <c r="AK220" s="69"/>
      <c r="AL220" s="128"/>
      <c r="AM220" s="54"/>
      <c r="AN220" s="64"/>
      <c r="AO220" s="69"/>
      <c r="AQ220" s="21"/>
      <c r="AR220" s="128"/>
      <c r="AS220" s="54"/>
      <c r="AT220" s="64"/>
      <c r="AU220" s="69"/>
      <c r="AW220" s="21"/>
      <c r="AX220" s="128"/>
      <c r="AY220" s="54"/>
      <c r="AZ220" s="64"/>
      <c r="BA220" s="69"/>
      <c r="BC220" s="21"/>
      <c r="BD220" s="128"/>
      <c r="BE220" s="54"/>
      <c r="BF220" s="64"/>
      <c r="BG220" s="69"/>
      <c r="BI220" s="21"/>
      <c r="BJ220" s="128"/>
      <c r="BK220" s="54"/>
      <c r="BL220" s="64"/>
      <c r="BM220" s="69"/>
    </row>
    <row r="221" spans="1:65" x14ac:dyDescent="0.15">
      <c r="A221" s="2" t="s">
        <v>25</v>
      </c>
      <c r="C221" s="21"/>
      <c r="D221" s="128"/>
      <c r="E221" s="54"/>
      <c r="F221" s="64"/>
      <c r="G221" s="69"/>
      <c r="I221" s="21"/>
      <c r="J221" s="128"/>
      <c r="K221" s="54"/>
      <c r="L221" s="64"/>
      <c r="M221" s="69"/>
      <c r="O221" s="21"/>
      <c r="P221" s="128"/>
      <c r="Q221" s="54"/>
      <c r="R221" s="64"/>
      <c r="S221" s="69"/>
      <c r="U221" s="21"/>
      <c r="V221" s="128"/>
      <c r="W221" s="54"/>
      <c r="X221" s="64"/>
      <c r="Y221" s="69"/>
      <c r="AA221" s="21"/>
      <c r="AB221" s="128"/>
      <c r="AC221" s="54"/>
      <c r="AD221" s="64"/>
      <c r="AE221" s="69"/>
      <c r="AG221" s="21"/>
      <c r="AH221" s="128"/>
      <c r="AI221" s="54"/>
      <c r="AJ221" s="64"/>
      <c r="AK221" s="69"/>
      <c r="AL221" s="128"/>
      <c r="AM221" s="54"/>
      <c r="AN221" s="64"/>
      <c r="AO221" s="69"/>
      <c r="AQ221" s="21"/>
      <c r="AR221" s="128"/>
      <c r="AS221" s="54"/>
      <c r="AT221" s="64"/>
      <c r="AU221" s="69"/>
      <c r="AW221" s="21"/>
      <c r="AX221" s="128"/>
      <c r="AY221" s="54"/>
      <c r="AZ221" s="64"/>
      <c r="BA221" s="69"/>
      <c r="BC221" s="21"/>
      <c r="BD221" s="128"/>
      <c r="BE221" s="54"/>
      <c r="BF221" s="64"/>
      <c r="BG221" s="69"/>
      <c r="BI221" s="21"/>
      <c r="BJ221" s="128"/>
      <c r="BK221" s="54"/>
      <c r="BL221" s="64"/>
      <c r="BM221" s="69"/>
    </row>
    <row r="222" spans="1:65" x14ac:dyDescent="0.15">
      <c r="A222" s="2" t="s">
        <v>38</v>
      </c>
      <c r="C222" s="21"/>
      <c r="D222" s="128"/>
      <c r="E222" s="54"/>
      <c r="F222" s="64"/>
      <c r="G222" s="69"/>
      <c r="I222" s="21"/>
      <c r="J222" s="128"/>
      <c r="K222" s="54"/>
      <c r="L222" s="64"/>
      <c r="M222" s="69"/>
      <c r="O222" s="21"/>
      <c r="P222" s="128"/>
      <c r="Q222" s="54"/>
      <c r="R222" s="64"/>
      <c r="S222" s="69"/>
      <c r="U222" s="21"/>
      <c r="V222" s="128"/>
      <c r="W222" s="54"/>
      <c r="X222" s="64"/>
      <c r="Y222" s="69"/>
      <c r="AA222" s="21"/>
      <c r="AB222" s="128"/>
      <c r="AC222" s="54"/>
      <c r="AD222" s="64"/>
      <c r="AE222" s="69"/>
      <c r="AG222" s="21"/>
      <c r="AH222" s="128"/>
      <c r="AI222" s="54"/>
      <c r="AJ222" s="64"/>
      <c r="AK222" s="69"/>
      <c r="AL222" s="128"/>
      <c r="AM222" s="54"/>
      <c r="AN222" s="64"/>
      <c r="AO222" s="69"/>
      <c r="AQ222" s="21"/>
      <c r="AR222" s="128"/>
      <c r="AS222" s="54"/>
      <c r="AT222" s="64"/>
      <c r="AU222" s="69"/>
      <c r="AW222" s="21"/>
      <c r="AX222" s="128"/>
      <c r="AY222" s="54"/>
      <c r="AZ222" s="64"/>
      <c r="BA222" s="69"/>
      <c r="BC222" s="21"/>
      <c r="BD222" s="128"/>
      <c r="BE222" s="54"/>
      <c r="BF222" s="64"/>
      <c r="BG222" s="69"/>
      <c r="BI222" s="21"/>
      <c r="BJ222" s="128"/>
      <c r="BK222" s="54"/>
      <c r="BL222" s="64"/>
      <c r="BM222" s="69"/>
    </row>
    <row r="223" spans="1:65" x14ac:dyDescent="0.15">
      <c r="A223" s="2" t="s">
        <v>27</v>
      </c>
      <c r="C223" s="21"/>
      <c r="D223" s="128"/>
      <c r="E223" s="54"/>
      <c r="F223" s="64"/>
      <c r="G223" s="69"/>
      <c r="I223" s="21"/>
      <c r="J223" s="128"/>
      <c r="K223" s="54"/>
      <c r="L223" s="64"/>
      <c r="M223" s="69"/>
      <c r="O223" s="21"/>
      <c r="P223" s="128"/>
      <c r="Q223" s="54"/>
      <c r="R223" s="64"/>
      <c r="S223" s="69"/>
      <c r="U223" s="21"/>
      <c r="V223" s="128"/>
      <c r="W223" s="54"/>
      <c r="X223" s="64"/>
      <c r="Y223" s="69"/>
      <c r="AA223" s="21"/>
      <c r="AB223" s="128"/>
      <c r="AC223" s="54"/>
      <c r="AD223" s="64"/>
      <c r="AE223" s="69"/>
      <c r="AG223" s="21"/>
      <c r="AH223" s="128"/>
      <c r="AI223" s="54"/>
      <c r="AJ223" s="64"/>
      <c r="AK223" s="69"/>
      <c r="AL223" s="128"/>
      <c r="AM223" s="54"/>
      <c r="AN223" s="64"/>
      <c r="AO223" s="69"/>
      <c r="AQ223" s="21"/>
      <c r="AR223" s="128"/>
      <c r="AS223" s="54"/>
      <c r="AT223" s="64"/>
      <c r="AU223" s="69"/>
      <c r="AW223" s="21"/>
      <c r="AX223" s="128"/>
      <c r="AY223" s="54"/>
      <c r="AZ223" s="64"/>
      <c r="BA223" s="69"/>
      <c r="BC223" s="21"/>
      <c r="BD223" s="128"/>
      <c r="BE223" s="54"/>
      <c r="BF223" s="64"/>
      <c r="BG223" s="69"/>
      <c r="BI223" s="21"/>
      <c r="BJ223" s="128"/>
      <c r="BK223" s="54"/>
      <c r="BL223" s="64"/>
      <c r="BM223" s="69"/>
    </row>
    <row r="224" spans="1:65" x14ac:dyDescent="0.15">
      <c r="A224" s="2" t="s">
        <v>229</v>
      </c>
      <c r="C224" s="21"/>
      <c r="D224" s="128"/>
      <c r="E224" s="54"/>
      <c r="F224" s="64"/>
      <c r="G224" s="69"/>
      <c r="I224" s="21"/>
      <c r="J224" s="128"/>
      <c r="K224" s="54"/>
      <c r="L224" s="64"/>
      <c r="M224" s="69"/>
      <c r="O224" s="21"/>
      <c r="P224" s="128"/>
      <c r="Q224" s="54"/>
      <c r="R224" s="64"/>
      <c r="S224" s="69"/>
      <c r="U224" s="21"/>
      <c r="V224" s="128"/>
      <c r="W224" s="54"/>
      <c r="X224" s="64"/>
      <c r="Y224" s="69"/>
      <c r="AA224" s="21"/>
      <c r="AB224" s="128"/>
      <c r="AC224" s="54"/>
      <c r="AD224" s="64"/>
      <c r="AE224" s="69"/>
      <c r="AG224" s="21"/>
      <c r="AH224" s="128"/>
      <c r="AI224" s="54"/>
      <c r="AJ224" s="64"/>
      <c r="AK224" s="69"/>
      <c r="AL224" s="128"/>
      <c r="AM224" s="54"/>
      <c r="AN224" s="64"/>
      <c r="AO224" s="69"/>
      <c r="AQ224" s="21"/>
      <c r="AR224" s="128"/>
      <c r="AS224" s="54"/>
      <c r="AT224" s="64"/>
      <c r="AU224" s="69"/>
      <c r="AW224" s="21"/>
      <c r="AX224" s="128"/>
      <c r="AY224" s="54"/>
      <c r="AZ224" s="64"/>
      <c r="BA224" s="69"/>
      <c r="BC224" s="21"/>
      <c r="BD224" s="128"/>
      <c r="BE224" s="54"/>
      <c r="BF224" s="64"/>
      <c r="BG224" s="69"/>
      <c r="BI224" s="21"/>
      <c r="BJ224" s="128"/>
      <c r="BK224" s="54"/>
      <c r="BL224" s="64"/>
      <c r="BM224" s="69"/>
    </row>
    <row r="225" spans="1:65" x14ac:dyDescent="0.15">
      <c r="A225" s="2" t="s">
        <v>36</v>
      </c>
      <c r="C225" s="21"/>
      <c r="D225" s="128"/>
      <c r="E225" s="54"/>
      <c r="F225" s="64"/>
      <c r="G225" s="69"/>
      <c r="I225" s="21"/>
      <c r="J225" s="128"/>
      <c r="K225" s="54"/>
      <c r="L225" s="64"/>
      <c r="M225" s="69"/>
      <c r="O225" s="21"/>
      <c r="P225" s="128"/>
      <c r="Q225" s="54"/>
      <c r="R225" s="64"/>
      <c r="S225" s="69"/>
      <c r="U225" s="21"/>
      <c r="V225" s="128"/>
      <c r="W225" s="54"/>
      <c r="X225" s="64"/>
      <c r="Y225" s="69"/>
      <c r="AA225" s="21"/>
      <c r="AB225" s="128"/>
      <c r="AC225" s="54"/>
      <c r="AD225" s="64"/>
      <c r="AE225" s="69"/>
      <c r="AG225" s="21"/>
      <c r="AH225" s="128"/>
      <c r="AI225" s="54"/>
      <c r="AJ225" s="64"/>
      <c r="AK225" s="69"/>
      <c r="AL225" s="128"/>
      <c r="AM225" s="54"/>
      <c r="AN225" s="64"/>
      <c r="AO225" s="69"/>
      <c r="AQ225" s="21"/>
      <c r="AR225" s="128"/>
      <c r="AS225" s="54"/>
      <c r="AT225" s="64"/>
      <c r="AU225" s="69"/>
      <c r="AW225" s="21"/>
      <c r="AX225" s="128"/>
      <c r="AY225" s="54"/>
      <c r="AZ225" s="64"/>
      <c r="BA225" s="69"/>
      <c r="BC225" s="21"/>
      <c r="BD225" s="128"/>
      <c r="BE225" s="54"/>
      <c r="BF225" s="64"/>
      <c r="BG225" s="69"/>
      <c r="BI225" s="21"/>
      <c r="BJ225" s="128"/>
      <c r="BK225" s="54"/>
      <c r="BL225" s="64"/>
      <c r="BM225" s="69"/>
    </row>
    <row r="226" spans="1:65" x14ac:dyDescent="0.15">
      <c r="A226" s="2" t="s">
        <v>50</v>
      </c>
      <c r="C226" s="21"/>
      <c r="D226" s="128"/>
      <c r="E226" s="54"/>
      <c r="F226" s="64"/>
      <c r="G226" s="69"/>
      <c r="I226" s="21"/>
      <c r="J226" s="128"/>
      <c r="K226" s="54"/>
      <c r="L226" s="64"/>
      <c r="M226" s="69"/>
      <c r="O226" s="21"/>
      <c r="P226" s="128"/>
      <c r="Q226" s="54"/>
      <c r="R226" s="64"/>
      <c r="S226" s="69"/>
      <c r="U226" s="21"/>
      <c r="V226" s="128"/>
      <c r="W226" s="54"/>
      <c r="X226" s="64"/>
      <c r="Y226" s="69"/>
      <c r="AA226" s="21"/>
      <c r="AB226" s="128"/>
      <c r="AC226" s="54"/>
      <c r="AD226" s="64"/>
      <c r="AE226" s="69"/>
      <c r="AG226" s="21"/>
      <c r="AH226" s="128"/>
      <c r="AI226" s="54"/>
      <c r="AJ226" s="64"/>
      <c r="AK226" s="69"/>
      <c r="AL226" s="128"/>
      <c r="AM226" s="54"/>
      <c r="AN226" s="64"/>
      <c r="AO226" s="69"/>
      <c r="AQ226" s="21"/>
      <c r="AR226" s="128"/>
      <c r="AS226" s="54"/>
      <c r="AT226" s="64"/>
      <c r="AU226" s="69"/>
      <c r="AW226" s="21"/>
      <c r="AX226" s="128"/>
      <c r="AY226" s="54"/>
      <c r="AZ226" s="64"/>
      <c r="BA226" s="69"/>
      <c r="BC226" s="21"/>
      <c r="BD226" s="128"/>
      <c r="BE226" s="54"/>
      <c r="BF226" s="64"/>
      <c r="BG226" s="69"/>
      <c r="BI226" s="21"/>
      <c r="BJ226" s="128"/>
      <c r="BK226" s="54"/>
      <c r="BL226" s="64"/>
      <c r="BM226" s="69"/>
    </row>
    <row r="227" spans="1:65" x14ac:dyDescent="0.15">
      <c r="A227" s="2" t="s">
        <v>231</v>
      </c>
      <c r="C227" s="21"/>
      <c r="D227" s="128"/>
      <c r="E227" s="54"/>
      <c r="F227" s="64"/>
      <c r="G227" s="69"/>
      <c r="I227" s="21"/>
      <c r="J227" s="128"/>
      <c r="K227" s="54"/>
      <c r="L227" s="64"/>
      <c r="M227" s="69"/>
      <c r="O227" s="21"/>
      <c r="P227" s="128"/>
      <c r="Q227" s="54"/>
      <c r="R227" s="64"/>
      <c r="S227" s="69"/>
      <c r="U227" s="21"/>
      <c r="V227" s="128"/>
      <c r="W227" s="54"/>
      <c r="X227" s="64"/>
      <c r="Y227" s="69"/>
      <c r="AA227" s="21"/>
      <c r="AB227" s="128"/>
      <c r="AC227" s="54"/>
      <c r="AD227" s="64"/>
      <c r="AE227" s="69"/>
      <c r="AG227" s="21"/>
      <c r="AH227" s="128"/>
      <c r="AI227" s="54"/>
      <c r="AJ227" s="64"/>
      <c r="AK227" s="69"/>
      <c r="AL227" s="128"/>
      <c r="AM227" s="54"/>
      <c r="AN227" s="64"/>
      <c r="AO227" s="69"/>
      <c r="AQ227" s="21"/>
      <c r="AR227" s="128"/>
      <c r="AS227" s="54"/>
      <c r="AT227" s="64"/>
      <c r="AU227" s="69"/>
      <c r="AW227" s="21"/>
      <c r="AX227" s="128"/>
      <c r="AY227" s="54"/>
      <c r="AZ227" s="64"/>
      <c r="BA227" s="69"/>
      <c r="BC227" s="21"/>
      <c r="BD227" s="128"/>
      <c r="BE227" s="54"/>
      <c r="BF227" s="64"/>
      <c r="BG227" s="69"/>
      <c r="BI227" s="21"/>
      <c r="BJ227" s="128"/>
      <c r="BK227" s="54"/>
      <c r="BL227" s="64"/>
      <c r="BM227" s="69"/>
    </row>
    <row r="228" spans="1:65" x14ac:dyDescent="0.15">
      <c r="A228" s="2" t="s">
        <v>58</v>
      </c>
      <c r="C228" s="21"/>
      <c r="D228" s="128"/>
      <c r="E228" s="54"/>
      <c r="F228" s="64"/>
      <c r="G228" s="69"/>
      <c r="I228" s="21"/>
      <c r="J228" s="128"/>
      <c r="K228" s="54"/>
      <c r="L228" s="64"/>
      <c r="M228" s="69"/>
      <c r="O228" s="21"/>
      <c r="P228" s="128"/>
      <c r="Q228" s="54"/>
      <c r="R228" s="64"/>
      <c r="S228" s="69"/>
      <c r="U228" s="21"/>
      <c r="V228" s="128"/>
      <c r="W228" s="54"/>
      <c r="X228" s="64"/>
      <c r="Y228" s="69"/>
      <c r="AA228" s="21"/>
      <c r="AB228" s="128"/>
      <c r="AC228" s="54"/>
      <c r="AD228" s="64"/>
      <c r="AE228" s="69">
        <v>1</v>
      </c>
      <c r="AG228" s="21"/>
      <c r="AH228" s="128"/>
      <c r="AI228" s="54"/>
      <c r="AJ228" s="64"/>
      <c r="AK228" s="69"/>
      <c r="AL228" s="128"/>
      <c r="AM228" s="54"/>
      <c r="AN228" s="64"/>
      <c r="AO228" s="69"/>
      <c r="AQ228" s="21"/>
      <c r="AR228" s="128"/>
      <c r="AS228" s="54"/>
      <c r="AT228" s="64"/>
      <c r="AU228" s="69"/>
      <c r="AW228" s="21"/>
      <c r="AX228" s="128"/>
      <c r="AY228" s="54"/>
      <c r="AZ228" s="64"/>
      <c r="BA228" s="69"/>
      <c r="BC228" s="21"/>
      <c r="BD228" s="128"/>
      <c r="BE228" s="54"/>
      <c r="BF228" s="64"/>
      <c r="BG228" s="69"/>
      <c r="BI228" s="21"/>
      <c r="BJ228" s="128"/>
      <c r="BK228" s="54"/>
      <c r="BL228" s="64"/>
      <c r="BM228" s="69"/>
    </row>
    <row r="229" spans="1:65" x14ac:dyDescent="0.15">
      <c r="A229" s="2" t="s">
        <v>57</v>
      </c>
      <c r="C229" s="21"/>
      <c r="D229" s="128"/>
      <c r="E229" s="54"/>
      <c r="F229" s="64"/>
      <c r="G229" s="69"/>
      <c r="I229" s="21"/>
      <c r="J229" s="128"/>
      <c r="K229" s="54"/>
      <c r="L229" s="64"/>
      <c r="M229" s="69"/>
      <c r="O229" s="21"/>
      <c r="P229" s="128"/>
      <c r="Q229" s="54"/>
      <c r="R229" s="64"/>
      <c r="S229" s="69"/>
      <c r="U229" s="21"/>
      <c r="V229" s="128"/>
      <c r="W229" s="54"/>
      <c r="X229" s="64"/>
      <c r="Y229" s="69"/>
      <c r="AA229" s="21"/>
      <c r="AB229" s="128"/>
      <c r="AC229" s="54"/>
      <c r="AD229" s="64"/>
      <c r="AE229" s="69"/>
      <c r="AG229" s="21"/>
      <c r="AH229" s="128"/>
      <c r="AI229" s="54"/>
      <c r="AJ229" s="64"/>
      <c r="AK229" s="69"/>
      <c r="AL229" s="128"/>
      <c r="AM229" s="54"/>
      <c r="AN229" s="64"/>
      <c r="AO229" s="69"/>
      <c r="AQ229" s="21"/>
      <c r="AR229" s="128"/>
      <c r="AS229" s="54"/>
      <c r="AT229" s="64"/>
      <c r="AU229" s="69"/>
      <c r="AW229" s="21"/>
      <c r="AX229" s="128"/>
      <c r="AY229" s="54"/>
      <c r="AZ229" s="64"/>
      <c r="BA229" s="69"/>
      <c r="BC229" s="21"/>
      <c r="BD229" s="128"/>
      <c r="BE229" s="54"/>
      <c r="BF229" s="64"/>
      <c r="BG229" s="69"/>
      <c r="BI229" s="21"/>
      <c r="BJ229" s="128"/>
      <c r="BK229" s="54"/>
      <c r="BL229" s="64"/>
      <c r="BM229" s="69"/>
    </row>
    <row r="230" spans="1:65" x14ac:dyDescent="0.15">
      <c r="A230" s="2" t="s">
        <v>28</v>
      </c>
      <c r="C230" s="21"/>
      <c r="D230" s="128"/>
      <c r="E230" s="54"/>
      <c r="F230" s="64"/>
      <c r="G230" s="69"/>
      <c r="I230" s="21"/>
      <c r="J230" s="128"/>
      <c r="K230" s="54"/>
      <c r="L230" s="64"/>
      <c r="M230" s="69"/>
      <c r="O230" s="21"/>
      <c r="P230" s="128"/>
      <c r="Q230" s="54"/>
      <c r="R230" s="64"/>
      <c r="S230" s="69"/>
      <c r="U230" s="21"/>
      <c r="V230" s="128"/>
      <c r="W230" s="54"/>
      <c r="X230" s="64"/>
      <c r="Y230" s="69"/>
      <c r="AA230" s="21"/>
      <c r="AB230" s="128"/>
      <c r="AC230" s="54"/>
      <c r="AD230" s="64"/>
      <c r="AE230" s="69"/>
      <c r="AG230" s="21"/>
      <c r="AH230" s="128"/>
      <c r="AI230" s="54"/>
      <c r="AJ230" s="64"/>
      <c r="AK230" s="69"/>
      <c r="AL230" s="128"/>
      <c r="AM230" s="54"/>
      <c r="AN230" s="64"/>
      <c r="AO230" s="69"/>
      <c r="AQ230" s="21"/>
      <c r="AR230" s="128"/>
      <c r="AS230" s="54"/>
      <c r="AT230" s="64"/>
      <c r="AU230" s="69"/>
      <c r="AW230" s="21"/>
      <c r="AX230" s="128"/>
      <c r="AY230" s="54"/>
      <c r="AZ230" s="64"/>
      <c r="BA230" s="69"/>
      <c r="BC230" s="21"/>
      <c r="BD230" s="128"/>
      <c r="BE230" s="54"/>
      <c r="BF230" s="64"/>
      <c r="BG230" s="69"/>
      <c r="BI230" s="21"/>
      <c r="BJ230" s="128"/>
      <c r="BK230" s="54"/>
      <c r="BL230" s="64"/>
      <c r="BM230" s="69"/>
    </row>
    <row r="231" spans="1:65" x14ac:dyDescent="0.15">
      <c r="A231" s="2" t="s">
        <v>194</v>
      </c>
      <c r="C231" s="21"/>
      <c r="D231" s="128"/>
      <c r="E231" s="54"/>
      <c r="F231" s="64"/>
      <c r="G231" s="69"/>
      <c r="I231" s="21"/>
      <c r="J231" s="128"/>
      <c r="K231" s="54"/>
      <c r="L231" s="64"/>
      <c r="M231" s="69"/>
      <c r="O231" s="21"/>
      <c r="P231" s="128"/>
      <c r="Q231" s="54"/>
      <c r="R231" s="64"/>
      <c r="S231" s="69"/>
      <c r="U231" s="21"/>
      <c r="V231" s="128"/>
      <c r="W231" s="54"/>
      <c r="X231" s="64"/>
      <c r="Y231" s="69"/>
      <c r="AA231" s="21"/>
      <c r="AB231" s="128"/>
      <c r="AC231" s="54"/>
      <c r="AD231" s="64"/>
      <c r="AE231" s="69"/>
      <c r="AG231" s="21"/>
      <c r="AH231" s="128"/>
      <c r="AI231" s="54"/>
      <c r="AJ231" s="64"/>
      <c r="AK231" s="69"/>
      <c r="AL231" s="128"/>
      <c r="AM231" s="54"/>
      <c r="AN231" s="64"/>
      <c r="AO231" s="69"/>
      <c r="AQ231" s="21"/>
      <c r="AR231" s="128"/>
      <c r="AS231" s="54"/>
      <c r="AT231" s="64"/>
      <c r="AU231" s="69"/>
      <c r="AW231" s="21"/>
      <c r="AX231" s="128"/>
      <c r="AY231" s="54"/>
      <c r="AZ231" s="64"/>
      <c r="BA231" s="69"/>
      <c r="BC231" s="21"/>
      <c r="BD231" s="128"/>
      <c r="BE231" s="54"/>
      <c r="BF231" s="64"/>
      <c r="BG231" s="69"/>
      <c r="BI231" s="21"/>
      <c r="BJ231" s="128"/>
      <c r="BK231" s="54"/>
      <c r="BL231" s="64"/>
      <c r="BM231" s="69"/>
    </row>
    <row r="232" spans="1:65" x14ac:dyDescent="0.15">
      <c r="A232" s="2" t="s">
        <v>10</v>
      </c>
      <c r="C232" s="21"/>
      <c r="D232" s="128"/>
      <c r="E232" s="54"/>
      <c r="F232" s="64"/>
      <c r="G232" s="69"/>
      <c r="I232" s="21"/>
      <c r="J232" s="128"/>
      <c r="K232" s="54"/>
      <c r="L232" s="64"/>
      <c r="M232" s="69"/>
      <c r="O232" s="21"/>
      <c r="P232" s="128"/>
      <c r="Q232" s="54"/>
      <c r="R232" s="64"/>
      <c r="S232" s="69"/>
      <c r="U232" s="21"/>
      <c r="V232" s="128"/>
      <c r="W232" s="54"/>
      <c r="X232" s="64"/>
      <c r="Y232" s="69"/>
      <c r="AA232" s="21"/>
      <c r="AB232" s="128"/>
      <c r="AC232" s="54"/>
      <c r="AD232" s="64"/>
      <c r="AE232" s="69"/>
      <c r="AG232" s="21"/>
      <c r="AH232" s="128"/>
      <c r="AI232" s="54"/>
      <c r="AJ232" s="64"/>
      <c r="AK232" s="69"/>
      <c r="AL232" s="128"/>
      <c r="AM232" s="54"/>
      <c r="AN232" s="64"/>
      <c r="AO232" s="69"/>
      <c r="AQ232" s="21"/>
      <c r="AR232" s="128"/>
      <c r="AS232" s="54"/>
      <c r="AT232" s="64"/>
      <c r="AU232" s="69"/>
      <c r="AW232" s="21"/>
      <c r="AX232" s="128"/>
      <c r="AY232" s="54"/>
      <c r="AZ232" s="64"/>
      <c r="BA232" s="69"/>
      <c r="BC232" s="21"/>
      <c r="BD232" s="128"/>
      <c r="BE232" s="54"/>
      <c r="BF232" s="64"/>
      <c r="BG232" s="69"/>
      <c r="BI232" s="21"/>
      <c r="BJ232" s="128"/>
      <c r="BK232" s="54"/>
      <c r="BL232" s="64"/>
      <c r="BM232" s="69"/>
    </row>
    <row r="233" spans="1:65" x14ac:dyDescent="0.15">
      <c r="A233" s="5" t="s">
        <v>174</v>
      </c>
      <c r="B233" s="114"/>
      <c r="C233" s="115"/>
      <c r="D233" s="111"/>
      <c r="E233" s="112"/>
      <c r="F233" s="113"/>
      <c r="G233" s="145"/>
      <c r="H233" s="114"/>
      <c r="I233" s="115"/>
      <c r="J233" s="111"/>
      <c r="K233" s="112"/>
      <c r="L233" s="113"/>
      <c r="M233" s="145"/>
      <c r="N233" s="114"/>
      <c r="O233" s="115"/>
      <c r="P233" s="111"/>
      <c r="Q233" s="112"/>
      <c r="R233" s="113"/>
      <c r="S233" s="145"/>
      <c r="T233" s="114"/>
      <c r="U233" s="115"/>
      <c r="V233" s="111"/>
      <c r="W233" s="112"/>
      <c r="X233" s="113"/>
      <c r="Y233" s="145"/>
      <c r="Z233" s="4"/>
      <c r="AA233" s="138"/>
      <c r="AB233" s="38">
        <v>1</v>
      </c>
      <c r="AC233" s="117">
        <v>1</v>
      </c>
      <c r="AD233" s="118"/>
      <c r="AE233" s="146">
        <v>2</v>
      </c>
      <c r="AF233" s="114"/>
      <c r="AG233" s="115"/>
      <c r="AH233" s="111"/>
      <c r="AI233" s="112"/>
      <c r="AJ233" s="113"/>
      <c r="AK233" s="145"/>
      <c r="AL233" s="111"/>
      <c r="AM233" s="112"/>
      <c r="AN233" s="113"/>
      <c r="AO233" s="145"/>
      <c r="AP233" s="4">
        <v>1</v>
      </c>
      <c r="AQ233" s="138"/>
      <c r="AR233" s="38"/>
      <c r="AS233" s="112"/>
      <c r="AT233" s="113"/>
      <c r="AU233" s="145"/>
      <c r="AV233" s="114"/>
      <c r="AW233" s="115"/>
      <c r="AX233" s="111"/>
      <c r="AY233" s="112"/>
      <c r="AZ233" s="113"/>
      <c r="BA233" s="145"/>
      <c r="BC233" s="120"/>
      <c r="BD233" s="119"/>
      <c r="BE233" s="121"/>
      <c r="BF233" s="122"/>
      <c r="BG233" s="150"/>
      <c r="BH233" s="123"/>
      <c r="BI233" s="115"/>
      <c r="BJ233" s="111"/>
      <c r="BK233" s="112"/>
      <c r="BL233" s="113"/>
      <c r="BM233" s="145"/>
    </row>
    <row r="234" spans="1:65" x14ac:dyDescent="0.15">
      <c r="A234" s="2" t="s">
        <v>22</v>
      </c>
      <c r="C234" s="21"/>
      <c r="D234" s="128"/>
      <c r="E234" s="54"/>
      <c r="F234" s="64"/>
      <c r="G234" s="69"/>
      <c r="I234" s="21"/>
      <c r="J234" s="128"/>
      <c r="K234" s="54"/>
      <c r="L234" s="64"/>
      <c r="M234" s="69"/>
      <c r="O234" s="21"/>
      <c r="P234" s="128"/>
      <c r="Q234" s="54"/>
      <c r="R234" s="64"/>
      <c r="S234" s="69"/>
      <c r="U234" s="21"/>
      <c r="V234" s="128"/>
      <c r="W234" s="54"/>
      <c r="X234" s="64"/>
      <c r="Y234" s="69"/>
      <c r="AA234" s="21"/>
      <c r="AB234" s="128"/>
      <c r="AC234" s="54"/>
      <c r="AD234" s="64"/>
      <c r="AE234" s="69"/>
      <c r="AG234" s="21"/>
      <c r="AH234" s="128"/>
      <c r="AI234" s="54"/>
      <c r="AJ234" s="64"/>
      <c r="AK234" s="69"/>
      <c r="AL234" s="128"/>
      <c r="AM234" s="54"/>
      <c r="AN234" s="64"/>
      <c r="AO234" s="69"/>
      <c r="AP234">
        <v>1</v>
      </c>
      <c r="AQ234" s="21"/>
      <c r="AR234" s="128"/>
      <c r="AS234" s="54"/>
      <c r="AT234" s="64"/>
      <c r="AU234" s="69"/>
      <c r="AV234">
        <v>1</v>
      </c>
      <c r="AW234" s="21"/>
      <c r="AX234" s="128"/>
      <c r="AY234" s="54"/>
      <c r="AZ234" s="64"/>
      <c r="BA234" s="69"/>
      <c r="BC234" s="21">
        <v>1</v>
      </c>
      <c r="BD234" s="128"/>
      <c r="BE234" s="54"/>
      <c r="BF234" s="64"/>
      <c r="BG234" s="69"/>
      <c r="BI234" s="21"/>
      <c r="BJ234" s="128"/>
      <c r="BK234" s="54"/>
      <c r="BL234" s="64"/>
      <c r="BM234" s="69"/>
    </row>
    <row r="235" spans="1:65" x14ac:dyDescent="0.15">
      <c r="A235" s="5" t="s">
        <v>132</v>
      </c>
      <c r="C235" s="21"/>
      <c r="D235" s="128"/>
      <c r="E235" s="54"/>
      <c r="F235" s="64"/>
      <c r="G235" s="69"/>
      <c r="I235" s="21"/>
      <c r="J235" s="128"/>
      <c r="K235" s="54"/>
      <c r="L235" s="64"/>
      <c r="M235" s="69"/>
      <c r="O235" s="21"/>
      <c r="P235" s="128"/>
      <c r="Q235" s="54"/>
      <c r="R235" s="64"/>
      <c r="S235" s="69"/>
      <c r="U235" s="21"/>
      <c r="V235" s="128"/>
      <c r="W235" s="54"/>
      <c r="X235" s="64"/>
      <c r="Y235" s="69"/>
      <c r="AA235" s="21"/>
      <c r="AB235" s="128"/>
      <c r="AC235" s="54"/>
      <c r="AD235" s="64"/>
      <c r="AE235" s="69"/>
      <c r="AG235" s="21"/>
      <c r="AH235" s="128"/>
      <c r="AI235" s="54"/>
      <c r="AJ235" s="64"/>
      <c r="AK235" s="69"/>
      <c r="AL235" s="128"/>
      <c r="AM235" s="54"/>
      <c r="AN235" s="64"/>
      <c r="AO235" s="69"/>
      <c r="AQ235" s="21"/>
      <c r="AR235" s="128"/>
      <c r="AS235" s="54"/>
      <c r="AT235" s="64"/>
      <c r="AU235" s="69"/>
      <c r="AW235" s="21"/>
      <c r="AX235" s="128"/>
      <c r="AY235" s="54"/>
      <c r="AZ235" s="64"/>
      <c r="BA235" s="69"/>
      <c r="BC235" s="21"/>
      <c r="BD235" s="128"/>
      <c r="BE235" s="54"/>
      <c r="BF235" s="64"/>
      <c r="BG235" s="69"/>
      <c r="BI235" s="21"/>
      <c r="BJ235" s="128"/>
      <c r="BK235" s="54"/>
      <c r="BL235" s="64"/>
      <c r="BM235" s="69"/>
    </row>
    <row r="236" spans="1:65" x14ac:dyDescent="0.15">
      <c r="A236" s="5" t="s">
        <v>191</v>
      </c>
      <c r="C236" s="21"/>
      <c r="D236" s="128"/>
      <c r="E236" s="54"/>
      <c r="F236" s="64"/>
      <c r="G236" s="69"/>
      <c r="I236" s="21"/>
      <c r="J236" s="128"/>
      <c r="K236" s="54"/>
      <c r="L236" s="64"/>
      <c r="M236" s="69"/>
      <c r="O236" s="21"/>
      <c r="P236" s="128"/>
      <c r="Q236" s="54"/>
      <c r="R236" s="64"/>
      <c r="S236" s="69"/>
      <c r="U236" s="21"/>
      <c r="V236" s="128"/>
      <c r="W236" s="54"/>
      <c r="X236" s="64"/>
      <c r="Y236" s="69"/>
      <c r="AA236" s="21"/>
      <c r="AB236" s="128"/>
      <c r="AC236" s="54"/>
      <c r="AD236" s="64"/>
      <c r="AE236" s="69"/>
      <c r="AG236" s="21"/>
      <c r="AH236" s="128"/>
      <c r="AI236" s="54"/>
      <c r="AJ236" s="64"/>
      <c r="AK236" s="69"/>
      <c r="AL236" s="128"/>
      <c r="AM236" s="54"/>
      <c r="AN236" s="64"/>
      <c r="AO236" s="69"/>
      <c r="AQ236" s="21"/>
      <c r="AR236" s="128"/>
      <c r="AS236" s="54"/>
      <c r="AT236" s="64"/>
      <c r="AU236" s="69"/>
      <c r="AW236" s="21"/>
      <c r="AX236" s="128"/>
      <c r="AY236" s="54"/>
      <c r="AZ236" s="64"/>
      <c r="BA236" s="69"/>
      <c r="BC236" s="21"/>
      <c r="BD236" s="128"/>
      <c r="BE236" s="54"/>
      <c r="BF236" s="64"/>
      <c r="BG236" s="69"/>
      <c r="BI236" s="21"/>
      <c r="BJ236" s="128"/>
      <c r="BK236" s="54"/>
      <c r="BL236" s="64"/>
      <c r="BM236" s="69"/>
    </row>
    <row r="237" spans="1:65" x14ac:dyDescent="0.15">
      <c r="A237" s="5" t="s">
        <v>218</v>
      </c>
      <c r="C237" s="21"/>
      <c r="D237" s="128"/>
      <c r="E237" s="54"/>
      <c r="F237" s="64"/>
      <c r="G237" s="69"/>
      <c r="I237" s="21"/>
      <c r="J237" s="128"/>
      <c r="K237" s="54"/>
      <c r="L237" s="64"/>
      <c r="M237" s="69"/>
      <c r="O237" s="21"/>
      <c r="P237" s="128"/>
      <c r="Q237" s="54"/>
      <c r="R237" s="64"/>
      <c r="S237" s="69"/>
      <c r="U237" s="21"/>
      <c r="V237" s="128"/>
      <c r="W237" s="54"/>
      <c r="X237" s="64"/>
      <c r="Y237" s="69"/>
      <c r="AA237" s="21"/>
      <c r="AB237" s="128"/>
      <c r="AC237" s="54"/>
      <c r="AD237" s="64"/>
      <c r="AE237" s="69"/>
      <c r="AG237" s="21"/>
      <c r="AH237" s="128"/>
      <c r="AI237" s="54"/>
      <c r="AJ237" s="64"/>
      <c r="AK237" s="69"/>
      <c r="AL237" s="128"/>
      <c r="AM237" s="54"/>
      <c r="AN237" s="64"/>
      <c r="AO237" s="69"/>
      <c r="AQ237" s="21"/>
      <c r="AR237" s="128"/>
      <c r="AS237" s="54"/>
      <c r="AT237" s="64"/>
      <c r="AU237" s="69"/>
      <c r="AW237" s="21"/>
      <c r="AX237" s="128"/>
      <c r="AY237" s="54"/>
      <c r="AZ237" s="64"/>
      <c r="BA237" s="69"/>
      <c r="BC237" s="21"/>
      <c r="BD237" s="128"/>
      <c r="BE237" s="54"/>
      <c r="BF237" s="64"/>
      <c r="BG237" s="69"/>
      <c r="BI237" s="21"/>
      <c r="BJ237" s="128"/>
      <c r="BK237" s="54"/>
      <c r="BL237" s="64"/>
      <c r="BM237" s="69"/>
    </row>
    <row r="238" spans="1:65" x14ac:dyDescent="0.15">
      <c r="A238" s="5" t="s">
        <v>203</v>
      </c>
      <c r="C238" s="21"/>
      <c r="D238" s="128"/>
      <c r="E238" s="54"/>
      <c r="F238" s="64"/>
      <c r="G238" s="69"/>
      <c r="I238" s="21"/>
      <c r="J238" s="128"/>
      <c r="K238" s="54"/>
      <c r="L238" s="64"/>
      <c r="M238" s="69"/>
      <c r="O238" s="21"/>
      <c r="P238" s="128"/>
      <c r="Q238" s="54"/>
      <c r="R238" s="64"/>
      <c r="S238" s="69"/>
      <c r="U238" s="21"/>
      <c r="V238" s="128"/>
      <c r="W238" s="54"/>
      <c r="X238" s="64"/>
      <c r="Y238" s="69"/>
      <c r="AA238" s="21"/>
      <c r="AB238" s="128"/>
      <c r="AC238" s="54"/>
      <c r="AD238" s="64"/>
      <c r="AE238" s="69"/>
      <c r="AG238" s="21"/>
      <c r="AH238" s="128"/>
      <c r="AI238" s="54"/>
      <c r="AJ238" s="64"/>
      <c r="AK238" s="69"/>
      <c r="AL238" s="128"/>
      <c r="AM238" s="54"/>
      <c r="AN238" s="64"/>
      <c r="AO238" s="69"/>
      <c r="AQ238" s="21"/>
      <c r="AR238" s="128"/>
      <c r="AS238" s="54"/>
      <c r="AT238" s="64"/>
      <c r="AU238" s="69"/>
      <c r="AW238" s="21"/>
      <c r="AX238" s="128"/>
      <c r="AY238" s="54"/>
      <c r="AZ238" s="64"/>
      <c r="BA238" s="69"/>
      <c r="BC238" s="21"/>
      <c r="BD238" s="128">
        <v>1</v>
      </c>
      <c r="BE238" s="54">
        <v>1</v>
      </c>
      <c r="BF238" s="64">
        <v>1</v>
      </c>
      <c r="BG238" s="69"/>
      <c r="BI238" s="21"/>
      <c r="BJ238" s="128"/>
      <c r="BK238" s="54"/>
      <c r="BL238" s="64"/>
      <c r="BM238" s="69">
        <v>1</v>
      </c>
    </row>
    <row r="239" spans="1:65" x14ac:dyDescent="0.15">
      <c r="A239" s="2" t="s">
        <v>23</v>
      </c>
      <c r="C239" s="21"/>
      <c r="D239" s="128"/>
      <c r="E239" s="54"/>
      <c r="F239" s="64"/>
      <c r="G239" s="69"/>
      <c r="I239" s="21"/>
      <c r="J239" s="128"/>
      <c r="K239" s="54"/>
      <c r="L239" s="64"/>
      <c r="M239" s="69"/>
      <c r="O239" s="21"/>
      <c r="P239" s="128"/>
      <c r="Q239" s="54"/>
      <c r="R239" s="64"/>
      <c r="S239" s="69"/>
      <c r="U239" s="21"/>
      <c r="V239" s="128"/>
      <c r="W239" s="54"/>
      <c r="X239" s="64"/>
      <c r="Y239" s="69"/>
      <c r="AA239" s="21"/>
      <c r="AB239" s="128"/>
      <c r="AC239" s="54"/>
      <c r="AD239" s="64"/>
      <c r="AE239" s="69"/>
      <c r="AG239" s="21"/>
      <c r="AH239" s="128"/>
      <c r="AI239" s="54"/>
      <c r="AJ239" s="64"/>
      <c r="AK239" s="69"/>
      <c r="AL239" s="128"/>
      <c r="AM239" s="54"/>
      <c r="AN239" s="64"/>
      <c r="AO239" s="69"/>
      <c r="AQ239" s="21"/>
      <c r="AR239" s="128"/>
      <c r="AS239" s="54"/>
      <c r="AT239" s="64"/>
      <c r="AU239" s="69"/>
      <c r="AW239" s="21"/>
      <c r="AX239" s="128"/>
      <c r="AY239" s="54"/>
      <c r="AZ239" s="64"/>
      <c r="BA239" s="69"/>
      <c r="BC239" s="21"/>
      <c r="BD239" s="128"/>
      <c r="BE239" s="54"/>
      <c r="BF239" s="64"/>
      <c r="BG239" s="69"/>
      <c r="BI239" s="21"/>
      <c r="BJ239" s="128"/>
      <c r="BK239" s="54"/>
      <c r="BL239" s="64"/>
      <c r="BM239" s="69"/>
    </row>
    <row r="240" spans="1:65" x14ac:dyDescent="0.15">
      <c r="A240" s="2" t="s">
        <v>208</v>
      </c>
      <c r="C240" s="21"/>
      <c r="D240" s="128"/>
      <c r="E240" s="54"/>
      <c r="F240" s="64"/>
      <c r="G240" s="69"/>
      <c r="I240" s="21"/>
      <c r="J240" s="128"/>
      <c r="K240" s="54"/>
      <c r="L240" s="64"/>
      <c r="M240" s="69"/>
      <c r="O240" s="21"/>
      <c r="P240" s="128"/>
      <c r="Q240" s="54"/>
      <c r="R240" s="64"/>
      <c r="S240" s="69"/>
      <c r="U240" s="21"/>
      <c r="V240" s="128"/>
      <c r="W240" s="54"/>
      <c r="X240" s="64"/>
      <c r="Y240" s="69"/>
      <c r="AA240" s="21"/>
      <c r="AB240" s="128"/>
      <c r="AC240" s="54"/>
      <c r="AD240" s="64"/>
      <c r="AE240" s="69">
        <v>1</v>
      </c>
      <c r="AG240" s="21"/>
      <c r="AH240" s="128"/>
      <c r="AI240" s="54"/>
      <c r="AJ240" s="64"/>
      <c r="AK240" s="69">
        <v>1</v>
      </c>
      <c r="AL240" s="128"/>
      <c r="AM240" s="54"/>
      <c r="AN240" s="64">
        <v>1</v>
      </c>
      <c r="AO240" s="69">
        <v>1</v>
      </c>
      <c r="AQ240" s="21"/>
      <c r="AR240" s="128"/>
      <c r="AS240" s="54"/>
      <c r="AT240" s="64"/>
      <c r="AU240" s="69">
        <v>1</v>
      </c>
      <c r="AW240" s="21"/>
      <c r="AX240" s="128"/>
      <c r="AY240" s="54"/>
      <c r="AZ240" s="64"/>
      <c r="BA240" s="69"/>
      <c r="BC240" s="21"/>
      <c r="BD240" s="128"/>
      <c r="BE240" s="54"/>
      <c r="BF240" s="64"/>
      <c r="BG240" s="69"/>
      <c r="BI240" s="21"/>
      <c r="BJ240" s="128"/>
      <c r="BK240" s="54"/>
      <c r="BL240" s="64"/>
      <c r="BM240" s="69"/>
    </row>
    <row r="241" spans="1:65" x14ac:dyDescent="0.15">
      <c r="A241" s="2" t="s">
        <v>41</v>
      </c>
      <c r="C241" s="21"/>
      <c r="D241" s="128"/>
      <c r="E241" s="54"/>
      <c r="F241" s="64"/>
      <c r="G241" s="69"/>
      <c r="I241" s="21"/>
      <c r="J241" s="128"/>
      <c r="K241" s="54"/>
      <c r="L241" s="64"/>
      <c r="M241" s="69"/>
      <c r="O241" s="21"/>
      <c r="P241" s="128"/>
      <c r="Q241" s="54"/>
      <c r="R241" s="64"/>
      <c r="S241" s="69"/>
      <c r="T241">
        <v>3</v>
      </c>
      <c r="U241" s="21"/>
      <c r="V241" s="128"/>
      <c r="W241" s="54"/>
      <c r="X241" s="64"/>
      <c r="Y241" s="69"/>
      <c r="AA241" s="21"/>
      <c r="AB241" s="128"/>
      <c r="AC241" s="54"/>
      <c r="AD241" s="64"/>
      <c r="AE241" s="69"/>
      <c r="AG241" s="21"/>
      <c r="AH241" s="128"/>
      <c r="AI241" s="54"/>
      <c r="AJ241" s="64"/>
      <c r="AK241" s="69"/>
      <c r="AL241" s="128"/>
      <c r="AM241" s="54"/>
      <c r="AN241" s="64"/>
      <c r="AO241" s="69"/>
      <c r="AQ241" s="21"/>
      <c r="AR241" s="128"/>
      <c r="AS241" s="54"/>
      <c r="AT241" s="64"/>
      <c r="AU241" s="69"/>
      <c r="AW241" s="21"/>
      <c r="AX241" s="128"/>
      <c r="AY241" s="54"/>
      <c r="AZ241" s="64"/>
      <c r="BA241" s="69"/>
      <c r="BB241">
        <v>3</v>
      </c>
      <c r="BC241" s="21"/>
      <c r="BD241" s="128"/>
      <c r="BE241" s="54"/>
      <c r="BF241" s="64"/>
      <c r="BG241" s="69"/>
      <c r="BI241" s="21"/>
      <c r="BJ241" s="128"/>
      <c r="BK241" s="54"/>
      <c r="BL241" s="64"/>
      <c r="BM241" s="69"/>
    </row>
    <row r="242" spans="1:65" x14ac:dyDescent="0.15">
      <c r="A242" s="5" t="s">
        <v>95</v>
      </c>
      <c r="C242" s="21"/>
      <c r="D242" s="128"/>
      <c r="E242" s="54"/>
      <c r="F242" s="64"/>
      <c r="G242" s="69"/>
      <c r="I242" s="21"/>
      <c r="J242" s="128"/>
      <c r="K242" s="54"/>
      <c r="L242" s="64"/>
      <c r="M242" s="69"/>
      <c r="O242" s="21"/>
      <c r="P242" s="128"/>
      <c r="Q242" s="54"/>
      <c r="R242" s="64"/>
      <c r="S242" s="69"/>
      <c r="U242" s="21"/>
      <c r="V242" s="128"/>
      <c r="W242" s="54"/>
      <c r="X242" s="64"/>
      <c r="Y242" s="69"/>
      <c r="AA242" s="21"/>
      <c r="AB242" s="128"/>
      <c r="AC242" s="54"/>
      <c r="AD242" s="64"/>
      <c r="AE242" s="69"/>
      <c r="AG242" s="21"/>
      <c r="AH242" s="128"/>
      <c r="AI242" s="54"/>
      <c r="AJ242" s="64"/>
      <c r="AK242" s="69"/>
      <c r="AL242" s="128"/>
      <c r="AM242" s="54"/>
      <c r="AN242" s="64"/>
      <c r="AO242" s="69"/>
      <c r="AQ242" s="21"/>
      <c r="AR242" s="128"/>
      <c r="AS242" s="54"/>
      <c r="AT242" s="64"/>
      <c r="AU242" s="69"/>
      <c r="AW242" s="21"/>
      <c r="AX242" s="128"/>
      <c r="AY242" s="54"/>
      <c r="AZ242" s="64"/>
      <c r="BA242" s="69"/>
      <c r="BC242" s="21"/>
      <c r="BD242" s="128"/>
      <c r="BE242" s="54"/>
      <c r="BF242" s="64"/>
      <c r="BG242" s="69"/>
      <c r="BI242" s="21"/>
      <c r="BJ242" s="128"/>
      <c r="BK242" s="54"/>
      <c r="BL242" s="64"/>
      <c r="BM242" s="69"/>
    </row>
    <row r="243" spans="1:65" x14ac:dyDescent="0.15">
      <c r="A243" s="5" t="s">
        <v>111</v>
      </c>
      <c r="C243" s="21"/>
      <c r="D243" s="128"/>
      <c r="E243" s="54"/>
      <c r="F243" s="64"/>
      <c r="G243" s="69"/>
      <c r="I243" s="21"/>
      <c r="J243" s="128"/>
      <c r="K243" s="54"/>
      <c r="L243" s="64"/>
      <c r="M243" s="69"/>
      <c r="O243" s="21"/>
      <c r="P243" s="128"/>
      <c r="Q243" s="54"/>
      <c r="R243" s="64"/>
      <c r="S243" s="69"/>
      <c r="U243" s="21"/>
      <c r="V243" s="128"/>
      <c r="W243" s="54"/>
      <c r="X243" s="64"/>
      <c r="Y243" s="69"/>
      <c r="AA243" s="21"/>
      <c r="AB243" s="128"/>
      <c r="AC243" s="54"/>
      <c r="AD243" s="64"/>
      <c r="AE243" s="69"/>
      <c r="AG243" s="21"/>
      <c r="AH243" s="128"/>
      <c r="AI243" s="54"/>
      <c r="AJ243" s="64"/>
      <c r="AK243" s="69"/>
      <c r="AL243" s="128"/>
      <c r="AM243" s="54"/>
      <c r="AN243" s="64"/>
      <c r="AO243" s="69"/>
      <c r="AQ243" s="21"/>
      <c r="AR243" s="128"/>
      <c r="AS243" s="54"/>
      <c r="AT243" s="64"/>
      <c r="AU243" s="69"/>
      <c r="AW243" s="21"/>
      <c r="AX243" s="128"/>
      <c r="AY243" s="54"/>
      <c r="AZ243" s="64"/>
      <c r="BA243" s="69"/>
      <c r="BC243" s="21"/>
      <c r="BD243" s="128"/>
      <c r="BE243" s="54"/>
      <c r="BF243" s="64"/>
      <c r="BG243" s="69"/>
      <c r="BI243" s="21"/>
      <c r="BJ243" s="128"/>
      <c r="BK243" s="54"/>
      <c r="BL243" s="64"/>
      <c r="BM243" s="69"/>
    </row>
    <row r="244" spans="1:65" x14ac:dyDescent="0.15">
      <c r="A244" s="2" t="s">
        <v>7</v>
      </c>
      <c r="C244" s="21">
        <v>1</v>
      </c>
      <c r="D244" s="128">
        <v>1</v>
      </c>
      <c r="E244" s="54">
        <v>1</v>
      </c>
      <c r="F244" s="64">
        <v>1</v>
      </c>
      <c r="G244" s="69">
        <v>1</v>
      </c>
      <c r="I244" s="21"/>
      <c r="J244" s="128"/>
      <c r="K244" s="54"/>
      <c r="L244" s="64"/>
      <c r="M244" s="69"/>
      <c r="O244" s="21">
        <v>2</v>
      </c>
      <c r="P244" s="128">
        <v>1</v>
      </c>
      <c r="Q244" s="54">
        <v>1</v>
      </c>
      <c r="R244" s="64">
        <v>2</v>
      </c>
      <c r="S244" s="69">
        <v>2</v>
      </c>
      <c r="T244">
        <v>1</v>
      </c>
      <c r="U244" s="21">
        <v>2</v>
      </c>
      <c r="V244" s="128">
        <v>1</v>
      </c>
      <c r="W244" s="54">
        <v>1</v>
      </c>
      <c r="X244" s="64">
        <v>1</v>
      </c>
      <c r="Y244" s="69">
        <v>1</v>
      </c>
      <c r="AA244" s="21"/>
      <c r="AB244" s="128">
        <v>1</v>
      </c>
      <c r="AC244" s="54">
        <v>1</v>
      </c>
      <c r="AD244" s="64">
        <v>1</v>
      </c>
      <c r="AE244" s="69">
        <v>1</v>
      </c>
      <c r="AF244">
        <v>1</v>
      </c>
      <c r="AG244" s="21">
        <v>1</v>
      </c>
      <c r="AH244" s="128">
        <v>1</v>
      </c>
      <c r="AI244" s="54">
        <v>1</v>
      </c>
      <c r="AJ244" s="64">
        <v>1</v>
      </c>
      <c r="AK244" s="69">
        <v>1</v>
      </c>
      <c r="AL244" s="128">
        <v>1</v>
      </c>
      <c r="AM244" s="54">
        <v>1</v>
      </c>
      <c r="AN244" s="64">
        <v>1</v>
      </c>
      <c r="AO244" s="69">
        <v>2</v>
      </c>
      <c r="AP244">
        <v>1</v>
      </c>
      <c r="AQ244" s="21">
        <v>1</v>
      </c>
      <c r="AR244" s="128">
        <v>1</v>
      </c>
      <c r="AS244" s="54">
        <v>1</v>
      </c>
      <c r="AT244" s="64">
        <v>1</v>
      </c>
      <c r="AU244" s="69">
        <v>1</v>
      </c>
      <c r="AW244" s="21"/>
      <c r="AX244" s="128">
        <v>1</v>
      </c>
      <c r="AY244" s="54">
        <v>1</v>
      </c>
      <c r="AZ244" s="64">
        <v>1</v>
      </c>
      <c r="BA244" s="69">
        <v>1</v>
      </c>
      <c r="BB244">
        <v>2</v>
      </c>
      <c r="BC244" s="21">
        <v>2</v>
      </c>
      <c r="BD244" s="128">
        <v>2</v>
      </c>
      <c r="BE244" s="54">
        <v>2</v>
      </c>
      <c r="BF244" s="64">
        <v>2</v>
      </c>
      <c r="BG244" s="69">
        <v>2</v>
      </c>
      <c r="BH244">
        <v>1</v>
      </c>
      <c r="BI244" s="21">
        <v>1</v>
      </c>
      <c r="BJ244" s="128">
        <v>1</v>
      </c>
      <c r="BK244" s="54"/>
      <c r="BL244" s="64">
        <v>1</v>
      </c>
      <c r="BM244" s="69">
        <v>1</v>
      </c>
    </row>
    <row r="245" spans="1:65" x14ac:dyDescent="0.15">
      <c r="A245" s="2" t="s">
        <v>32</v>
      </c>
      <c r="C245" s="21"/>
      <c r="D245" s="128"/>
      <c r="E245" s="54"/>
      <c r="F245" s="64">
        <v>1</v>
      </c>
      <c r="G245" s="69"/>
      <c r="I245" s="21"/>
      <c r="J245" s="128"/>
      <c r="K245" s="54"/>
      <c r="L245" s="64"/>
      <c r="M245" s="69"/>
      <c r="O245" s="21"/>
      <c r="P245" s="128"/>
      <c r="Q245" s="54"/>
      <c r="R245" s="64"/>
      <c r="S245" s="69"/>
      <c r="U245" s="21"/>
      <c r="V245" s="128"/>
      <c r="W245" s="54"/>
      <c r="X245" s="64"/>
      <c r="Y245" s="69"/>
      <c r="AA245" s="21"/>
      <c r="AB245" s="128"/>
      <c r="AC245" s="54"/>
      <c r="AD245" s="64"/>
      <c r="AE245" s="69"/>
      <c r="AG245" s="21"/>
      <c r="AH245" s="128"/>
      <c r="AI245" s="54"/>
      <c r="AJ245" s="64"/>
      <c r="AK245" s="69"/>
      <c r="AL245" s="128"/>
      <c r="AM245" s="54"/>
      <c r="AN245" s="64"/>
      <c r="AO245" s="69"/>
      <c r="AQ245" s="21"/>
      <c r="AR245" s="128"/>
      <c r="AS245" s="54"/>
      <c r="AT245" s="64"/>
      <c r="AU245" s="69"/>
      <c r="AW245" s="21"/>
      <c r="AX245" s="128"/>
      <c r="AY245" s="54"/>
      <c r="AZ245" s="64"/>
      <c r="BA245" s="69"/>
      <c r="BB245">
        <v>1</v>
      </c>
      <c r="BC245" s="21"/>
      <c r="BD245" s="128"/>
      <c r="BE245" s="54"/>
      <c r="BF245" s="64"/>
      <c r="BG245" s="69"/>
      <c r="BI245" s="21"/>
      <c r="BJ245" s="128"/>
      <c r="BK245" s="54"/>
      <c r="BL245" s="64"/>
      <c r="BM245" s="69"/>
    </row>
    <row r="246" spans="1:65" x14ac:dyDescent="0.15">
      <c r="A246" s="5" t="s">
        <v>72</v>
      </c>
      <c r="C246" s="21"/>
      <c r="D246" s="128"/>
      <c r="E246" s="54"/>
      <c r="F246" s="64"/>
      <c r="G246" s="69"/>
      <c r="I246" s="21"/>
      <c r="J246" s="128"/>
      <c r="K246" s="54"/>
      <c r="L246" s="64"/>
      <c r="M246" s="69"/>
      <c r="O246" s="21"/>
      <c r="P246" s="128"/>
      <c r="Q246" s="54"/>
      <c r="R246" s="64"/>
      <c r="S246" s="69"/>
      <c r="U246" s="21"/>
      <c r="V246" s="128"/>
      <c r="W246" s="54"/>
      <c r="X246" s="64"/>
      <c r="Y246" s="69"/>
      <c r="AA246" s="21"/>
      <c r="AB246" s="128"/>
      <c r="AC246" s="54"/>
      <c r="AD246" s="64"/>
      <c r="AE246" s="69"/>
      <c r="AG246" s="21"/>
      <c r="AH246" s="128"/>
      <c r="AI246" s="54"/>
      <c r="AJ246" s="64"/>
      <c r="AK246" s="69"/>
      <c r="AL246" s="128"/>
      <c r="AM246" s="54"/>
      <c r="AN246" s="64"/>
      <c r="AO246" s="69"/>
      <c r="AQ246" s="21"/>
      <c r="AR246" s="128"/>
      <c r="AS246" s="54"/>
      <c r="AT246" s="64"/>
      <c r="AU246" s="69"/>
      <c r="AW246" s="21"/>
      <c r="AX246" s="128"/>
      <c r="AY246" s="54"/>
      <c r="AZ246" s="64"/>
      <c r="BA246" s="69"/>
      <c r="BC246" s="21"/>
      <c r="BD246" s="128"/>
      <c r="BE246" s="54"/>
      <c r="BF246" s="64"/>
      <c r="BG246" s="69"/>
      <c r="BI246" s="21"/>
      <c r="BJ246" s="128"/>
      <c r="BK246" s="54"/>
      <c r="BL246" s="64"/>
      <c r="BM246" s="69"/>
    </row>
    <row r="247" spans="1:65" x14ac:dyDescent="0.15">
      <c r="A247" s="5" t="s">
        <v>61</v>
      </c>
      <c r="C247" s="21"/>
      <c r="D247" s="128"/>
      <c r="E247" s="54"/>
      <c r="F247" s="64"/>
      <c r="G247" s="69"/>
      <c r="I247" s="21"/>
      <c r="J247" s="128"/>
      <c r="K247" s="54"/>
      <c r="L247" s="64"/>
      <c r="M247" s="69"/>
      <c r="O247" s="21"/>
      <c r="P247" s="128"/>
      <c r="Q247" s="54"/>
      <c r="R247" s="64"/>
      <c r="S247" s="69"/>
      <c r="U247" s="21"/>
      <c r="V247" s="128"/>
      <c r="W247" s="54"/>
      <c r="X247" s="64"/>
      <c r="Y247" s="69"/>
      <c r="AA247" s="21"/>
      <c r="AB247" s="128"/>
      <c r="AC247" s="54"/>
      <c r="AD247" s="64"/>
      <c r="AE247" s="69"/>
      <c r="AG247" s="21"/>
      <c r="AH247" s="128"/>
      <c r="AI247" s="54"/>
      <c r="AJ247" s="64"/>
      <c r="AK247" s="69"/>
      <c r="AL247" s="128"/>
      <c r="AM247" s="54"/>
      <c r="AN247" s="64"/>
      <c r="AO247" s="69"/>
      <c r="AQ247" s="21"/>
      <c r="AR247" s="128"/>
      <c r="AS247" s="54"/>
      <c r="AT247" s="64"/>
      <c r="AU247" s="69"/>
      <c r="AW247" s="21"/>
      <c r="AX247" s="128"/>
      <c r="AY247" s="54"/>
      <c r="AZ247" s="64"/>
      <c r="BA247" s="69"/>
      <c r="BC247" s="21"/>
      <c r="BD247" s="128"/>
      <c r="BE247" s="54"/>
      <c r="BF247" s="64"/>
      <c r="BG247" s="69"/>
      <c r="BI247" s="21"/>
      <c r="BJ247" s="128"/>
      <c r="BK247" s="54"/>
      <c r="BL247" s="64"/>
      <c r="BM247" s="69"/>
    </row>
    <row r="248" spans="1:65" x14ac:dyDescent="0.15">
      <c r="A248" s="5" t="s">
        <v>42</v>
      </c>
      <c r="C248" s="21"/>
      <c r="D248" s="128"/>
      <c r="E248" s="54"/>
      <c r="F248" s="64"/>
      <c r="G248" s="69"/>
      <c r="I248" s="21"/>
      <c r="J248" s="128"/>
      <c r="K248" s="54"/>
      <c r="L248" s="64"/>
      <c r="M248" s="69"/>
      <c r="O248" s="21"/>
      <c r="P248" s="128"/>
      <c r="Q248" s="54"/>
      <c r="R248" s="64"/>
      <c r="S248" s="69"/>
      <c r="U248" s="21">
        <v>2</v>
      </c>
      <c r="V248" s="128">
        <v>2</v>
      </c>
      <c r="W248" s="54">
        <v>2</v>
      </c>
      <c r="X248" s="64">
        <v>2</v>
      </c>
      <c r="Y248" s="69">
        <v>2</v>
      </c>
      <c r="AA248" s="21"/>
      <c r="AB248" s="128"/>
      <c r="AC248" s="54"/>
      <c r="AD248" s="64"/>
      <c r="AE248" s="69"/>
      <c r="AG248" s="21"/>
      <c r="AH248" s="128"/>
      <c r="AI248" s="54"/>
      <c r="AJ248" s="64"/>
      <c r="AK248" s="69"/>
      <c r="AL248" s="128"/>
      <c r="AM248" s="54"/>
      <c r="AN248" s="64"/>
      <c r="AO248" s="69"/>
      <c r="AQ248" s="21"/>
      <c r="AR248" s="128"/>
      <c r="AS248" s="54"/>
      <c r="AT248" s="64"/>
      <c r="AU248" s="69"/>
      <c r="AW248" s="21"/>
      <c r="AX248" s="128">
        <v>1</v>
      </c>
      <c r="AY248" s="54"/>
      <c r="AZ248" s="64"/>
      <c r="BA248" s="69">
        <v>1</v>
      </c>
      <c r="BC248" s="21">
        <v>2</v>
      </c>
      <c r="BD248" s="128">
        <v>1</v>
      </c>
      <c r="BE248" s="54">
        <v>2</v>
      </c>
      <c r="BF248" s="64"/>
      <c r="BG248" s="69"/>
      <c r="BI248" s="21">
        <v>2</v>
      </c>
      <c r="BJ248" s="128"/>
      <c r="BK248" s="54">
        <v>1</v>
      </c>
      <c r="BL248" s="64">
        <v>1</v>
      </c>
      <c r="BM248" s="69">
        <v>1</v>
      </c>
    </row>
    <row r="249" spans="1:65" x14ac:dyDescent="0.15">
      <c r="A249" s="5" t="s">
        <v>205</v>
      </c>
      <c r="C249" s="21"/>
      <c r="D249" s="128"/>
      <c r="E249" s="54"/>
      <c r="F249" s="64"/>
      <c r="G249" s="69"/>
      <c r="I249" s="21"/>
      <c r="J249" s="128"/>
      <c r="K249" s="54"/>
      <c r="L249" s="64"/>
      <c r="M249" s="69"/>
      <c r="O249" s="21"/>
      <c r="P249" s="128"/>
      <c r="Q249" s="54"/>
      <c r="R249" s="64"/>
      <c r="S249" s="69"/>
      <c r="U249" s="21"/>
      <c r="V249" s="128"/>
      <c r="W249" s="54"/>
      <c r="X249" s="64"/>
      <c r="Y249" s="69"/>
      <c r="AA249" s="21"/>
      <c r="AB249" s="128"/>
      <c r="AC249" s="54"/>
      <c r="AD249" s="64"/>
      <c r="AE249" s="69"/>
      <c r="AG249" s="21"/>
      <c r="AH249" s="128"/>
      <c r="AI249" s="54"/>
      <c r="AJ249" s="64"/>
      <c r="AK249" s="69"/>
      <c r="AL249" s="128"/>
      <c r="AM249" s="54"/>
      <c r="AN249" s="64"/>
      <c r="AO249" s="69"/>
      <c r="AQ249" s="21"/>
      <c r="AR249" s="128"/>
      <c r="AS249" s="54"/>
      <c r="AT249" s="64"/>
      <c r="AU249" s="69"/>
      <c r="AW249" s="21"/>
      <c r="AX249" s="128"/>
      <c r="AY249" s="54"/>
      <c r="AZ249" s="64"/>
      <c r="BA249" s="69"/>
      <c r="BC249" s="21"/>
      <c r="BD249" s="128"/>
      <c r="BE249" s="54"/>
      <c r="BF249" s="64"/>
      <c r="BG249" s="69"/>
      <c r="BI249" s="21"/>
      <c r="BJ249" s="128"/>
      <c r="BK249" s="54"/>
      <c r="BL249" s="64"/>
      <c r="BM249" s="69"/>
    </row>
    <row r="250" spans="1:65" x14ac:dyDescent="0.15">
      <c r="A250" s="2" t="s">
        <v>213</v>
      </c>
      <c r="C250" s="21"/>
      <c r="D250" s="128"/>
      <c r="E250" s="54"/>
      <c r="F250" s="64"/>
      <c r="G250" s="69"/>
      <c r="I250" s="21"/>
      <c r="J250" s="128"/>
      <c r="K250" s="54"/>
      <c r="L250" s="64"/>
      <c r="M250" s="69"/>
      <c r="O250" s="21"/>
      <c r="P250" s="128"/>
      <c r="Q250" s="54"/>
      <c r="R250" s="64"/>
      <c r="S250" s="69"/>
      <c r="U250" s="21"/>
      <c r="V250" s="128"/>
      <c r="W250" s="54"/>
      <c r="X250" s="64"/>
      <c r="Y250" s="69"/>
      <c r="AA250" s="21"/>
      <c r="AB250" s="128"/>
      <c r="AC250" s="54"/>
      <c r="AD250" s="64"/>
      <c r="AE250" s="69"/>
      <c r="AG250" s="21"/>
      <c r="AH250" s="128"/>
      <c r="AI250" s="54"/>
      <c r="AJ250" s="64"/>
      <c r="AK250" s="69"/>
      <c r="AL250" s="128"/>
      <c r="AM250" s="54"/>
      <c r="AN250" s="64"/>
      <c r="AO250" s="69"/>
      <c r="AQ250" s="21"/>
      <c r="AR250" s="128"/>
      <c r="AS250" s="54"/>
      <c r="AT250" s="64"/>
      <c r="AU250" s="69"/>
      <c r="AW250" s="21"/>
      <c r="AX250" s="128"/>
      <c r="AY250" s="54"/>
      <c r="AZ250" s="64"/>
      <c r="BA250" s="69"/>
      <c r="BC250" s="21"/>
      <c r="BD250" s="128"/>
      <c r="BE250" s="54"/>
      <c r="BF250" s="64"/>
      <c r="BG250" s="69"/>
      <c r="BI250" s="21"/>
      <c r="BJ250" s="128"/>
      <c r="BK250" s="54"/>
      <c r="BL250" s="64"/>
      <c r="BM250" s="69"/>
    </row>
    <row r="251" spans="1:65" x14ac:dyDescent="0.15">
      <c r="A251" s="5" t="s">
        <v>96</v>
      </c>
      <c r="C251" s="21"/>
      <c r="D251" s="128"/>
      <c r="E251" s="54"/>
      <c r="F251" s="64"/>
      <c r="G251" s="69"/>
      <c r="I251" s="21"/>
      <c r="J251" s="128"/>
      <c r="K251" s="54"/>
      <c r="L251" s="64"/>
      <c r="M251" s="69"/>
      <c r="O251" s="21"/>
      <c r="P251" s="128"/>
      <c r="Q251" s="54"/>
      <c r="R251" s="64"/>
      <c r="S251" s="69"/>
      <c r="U251" s="21"/>
      <c r="V251" s="128"/>
      <c r="W251" s="54"/>
      <c r="X251" s="64"/>
      <c r="Y251" s="69"/>
      <c r="AA251" s="21"/>
      <c r="AB251" s="128"/>
      <c r="AC251" s="54"/>
      <c r="AD251" s="64"/>
      <c r="AE251" s="69"/>
      <c r="AG251" s="21"/>
      <c r="AH251" s="128"/>
      <c r="AI251" s="54"/>
      <c r="AJ251" s="64"/>
      <c r="AK251" s="69"/>
      <c r="AL251" s="128"/>
      <c r="AM251" s="54"/>
      <c r="AN251" s="64"/>
      <c r="AO251" s="69"/>
      <c r="AQ251" s="21"/>
      <c r="AR251" s="128"/>
      <c r="AS251" s="54"/>
      <c r="AT251" s="64"/>
      <c r="AU251" s="69"/>
      <c r="AW251" s="21"/>
      <c r="AX251" s="128"/>
      <c r="AY251" s="54"/>
      <c r="AZ251" s="64"/>
      <c r="BA251" s="69"/>
      <c r="BC251" s="21"/>
      <c r="BD251" s="128">
        <v>1</v>
      </c>
      <c r="BE251" s="54">
        <v>1</v>
      </c>
      <c r="BF251" s="64">
        <v>1</v>
      </c>
      <c r="BG251" s="69"/>
      <c r="BI251" s="21"/>
      <c r="BJ251" s="128"/>
      <c r="BK251" s="54"/>
      <c r="BL251" s="64"/>
      <c r="BM251" s="69"/>
    </row>
    <row r="252" spans="1:65" x14ac:dyDescent="0.15">
      <c r="A252" s="2" t="s">
        <v>175</v>
      </c>
      <c r="C252" s="21"/>
      <c r="D252" s="128"/>
      <c r="E252" s="54"/>
      <c r="F252" s="64"/>
      <c r="G252" s="69"/>
      <c r="I252" s="21"/>
      <c r="J252" s="128"/>
      <c r="K252" s="54"/>
      <c r="L252" s="64"/>
      <c r="M252" s="69"/>
      <c r="O252" s="21"/>
      <c r="P252" s="128"/>
      <c r="Q252" s="54"/>
      <c r="R252" s="64"/>
      <c r="S252" s="69"/>
      <c r="U252" s="21"/>
      <c r="V252" s="128"/>
      <c r="W252" s="54"/>
      <c r="X252" s="64"/>
      <c r="Y252" s="69"/>
      <c r="AA252" s="21"/>
      <c r="AB252" s="128"/>
      <c r="AC252" s="54"/>
      <c r="AD252" s="64"/>
      <c r="AE252" s="69"/>
      <c r="AG252" s="21"/>
      <c r="AH252" s="128"/>
      <c r="AI252" s="54"/>
      <c r="AJ252" s="64"/>
      <c r="AK252" s="69"/>
      <c r="AL252" s="128"/>
      <c r="AM252" s="54"/>
      <c r="AN252" s="64"/>
      <c r="AO252" s="69"/>
      <c r="AQ252" s="21"/>
      <c r="AR252" s="128"/>
      <c r="AS252" s="54"/>
      <c r="AT252" s="64"/>
      <c r="AU252" s="69"/>
      <c r="AW252" s="21"/>
      <c r="AX252" s="128"/>
      <c r="AY252" s="54"/>
      <c r="AZ252" s="64"/>
      <c r="BA252" s="69"/>
      <c r="BC252" s="21"/>
      <c r="BD252" s="128">
        <v>1</v>
      </c>
      <c r="BE252" s="54"/>
      <c r="BF252" s="64"/>
      <c r="BG252" s="69"/>
      <c r="BI252" s="21"/>
      <c r="BJ252" s="128"/>
      <c r="BK252" s="54"/>
      <c r="BL252" s="64"/>
      <c r="BM252" s="69"/>
    </row>
    <row r="253" spans="1:65" x14ac:dyDescent="0.15">
      <c r="A253" s="2" t="s">
        <v>24</v>
      </c>
      <c r="B253">
        <v>1</v>
      </c>
      <c r="C253" s="21">
        <v>1</v>
      </c>
      <c r="D253" s="128"/>
      <c r="E253" s="54"/>
      <c r="F253" s="64"/>
      <c r="G253" s="69"/>
      <c r="I253" s="21"/>
      <c r="J253" s="128"/>
      <c r="K253" s="54"/>
      <c r="L253" s="64"/>
      <c r="M253" s="69"/>
      <c r="O253" s="21"/>
      <c r="P253" s="128"/>
      <c r="Q253" s="54"/>
      <c r="R253" s="64"/>
      <c r="S253" s="69"/>
      <c r="U253" s="21">
        <v>1</v>
      </c>
      <c r="V253" s="128"/>
      <c r="W253" s="54">
        <v>1</v>
      </c>
      <c r="X253" s="64"/>
      <c r="Y253" s="69"/>
      <c r="Z253">
        <v>4</v>
      </c>
      <c r="AA253" s="21">
        <v>3</v>
      </c>
      <c r="AB253" s="128"/>
      <c r="AC253" s="54"/>
      <c r="AD253" s="64"/>
      <c r="AE253" s="69"/>
      <c r="AF253">
        <v>1</v>
      </c>
      <c r="AG253" s="21">
        <v>3</v>
      </c>
      <c r="AH253" s="128"/>
      <c r="AI253" s="54"/>
      <c r="AJ253" s="64"/>
      <c r="AK253" s="69"/>
      <c r="AL253" s="128"/>
      <c r="AM253" s="54"/>
      <c r="AN253" s="64"/>
      <c r="AO253" s="69"/>
      <c r="AP253">
        <v>3</v>
      </c>
      <c r="AQ253" s="21">
        <v>1</v>
      </c>
      <c r="AR253" s="128"/>
      <c r="AS253" s="54"/>
      <c r="AT253" s="64"/>
      <c r="AU253" s="69"/>
      <c r="AV253">
        <v>3</v>
      </c>
      <c r="AW253" s="21">
        <v>3</v>
      </c>
      <c r="AX253" s="128">
        <v>1</v>
      </c>
      <c r="AY253" s="54"/>
      <c r="AZ253" s="64"/>
      <c r="BA253" s="69">
        <v>1</v>
      </c>
      <c r="BC253" s="21">
        <v>3</v>
      </c>
      <c r="BD253" s="128"/>
      <c r="BE253" s="54"/>
      <c r="BF253" s="64"/>
      <c r="BG253" s="69"/>
      <c r="BI253" s="21">
        <v>3</v>
      </c>
      <c r="BJ253" s="128"/>
      <c r="BK253" s="54"/>
      <c r="BL253" s="64"/>
      <c r="BM253" s="69"/>
    </row>
    <row r="254" spans="1:65" x14ac:dyDescent="0.15">
      <c r="A254" s="2" t="s">
        <v>189</v>
      </c>
      <c r="C254" s="21"/>
      <c r="D254" s="128"/>
      <c r="E254" s="54"/>
      <c r="F254" s="64">
        <v>1</v>
      </c>
      <c r="G254" s="69">
        <v>1</v>
      </c>
      <c r="I254" s="21"/>
      <c r="J254" s="128"/>
      <c r="K254" s="54"/>
      <c r="L254" s="64"/>
      <c r="M254" s="69"/>
      <c r="O254" s="21"/>
      <c r="P254" s="128"/>
      <c r="Q254" s="54"/>
      <c r="R254" s="64"/>
      <c r="S254" s="69"/>
      <c r="U254" s="21"/>
      <c r="V254" s="128"/>
      <c r="W254" s="54"/>
      <c r="X254" s="64"/>
      <c r="Y254" s="69">
        <v>1</v>
      </c>
      <c r="AA254" s="21"/>
      <c r="AB254" s="128">
        <v>2</v>
      </c>
      <c r="AC254" s="54">
        <v>2</v>
      </c>
      <c r="AD254" s="64">
        <v>1</v>
      </c>
      <c r="AE254" s="69">
        <v>1</v>
      </c>
      <c r="AG254" s="21"/>
      <c r="AH254" s="128">
        <v>1</v>
      </c>
      <c r="AI254" s="54">
        <v>1</v>
      </c>
      <c r="AJ254" s="64">
        <v>1</v>
      </c>
      <c r="AK254" s="69"/>
      <c r="AL254" s="128"/>
      <c r="AM254" s="54"/>
      <c r="AN254" s="64"/>
      <c r="AO254" s="69"/>
      <c r="AQ254" s="21"/>
      <c r="AR254" s="128"/>
      <c r="AS254" s="54"/>
      <c r="AT254" s="64"/>
      <c r="AU254" s="69"/>
      <c r="AW254" s="21"/>
      <c r="AX254" s="128"/>
      <c r="AY254" s="54">
        <v>2</v>
      </c>
      <c r="AZ254" s="64">
        <v>2</v>
      </c>
      <c r="BA254" s="69">
        <v>1</v>
      </c>
      <c r="BC254" s="21"/>
      <c r="BD254" s="128">
        <v>2</v>
      </c>
      <c r="BE254" s="54">
        <v>2</v>
      </c>
      <c r="BF254" s="64">
        <v>2</v>
      </c>
      <c r="BG254" s="69">
        <v>3</v>
      </c>
      <c r="BI254" s="21"/>
      <c r="BJ254" s="128">
        <v>2</v>
      </c>
      <c r="BK254" s="54"/>
      <c r="BL254" s="64">
        <v>2</v>
      </c>
      <c r="BM254" s="69">
        <v>2</v>
      </c>
    </row>
    <row r="255" spans="1:65" x14ac:dyDescent="0.15">
      <c r="A255" s="196" t="s">
        <v>202</v>
      </c>
      <c r="B255" s="203"/>
      <c r="C255" s="197"/>
      <c r="D255" s="198"/>
      <c r="E255" s="199"/>
      <c r="F255" s="200"/>
      <c r="G255" s="201"/>
      <c r="H255" s="6"/>
      <c r="I255" s="197"/>
      <c r="J255" s="198"/>
      <c r="K255" s="199"/>
      <c r="L255" s="200"/>
      <c r="M255" s="201"/>
      <c r="N255" s="6"/>
      <c r="O255" s="197"/>
      <c r="P255" s="198"/>
      <c r="Q255" s="199"/>
      <c r="R255" s="200"/>
      <c r="S255" s="201"/>
      <c r="T255" s="6"/>
      <c r="U255" s="6"/>
      <c r="V255" s="198"/>
      <c r="W255" s="199"/>
      <c r="X255" s="200"/>
      <c r="Y255" s="201"/>
      <c r="Z255" s="6"/>
      <c r="AA255" s="6"/>
      <c r="AB255" s="198"/>
      <c r="AC255" s="199"/>
      <c r="AD255" s="200"/>
      <c r="AE255" s="201"/>
      <c r="AF255" s="6"/>
      <c r="AG255" s="197"/>
      <c r="AH255" s="198"/>
      <c r="AI255" s="199"/>
      <c r="AJ255" s="200"/>
      <c r="AK255" s="201"/>
      <c r="AL255" s="198"/>
      <c r="AM255" s="199"/>
      <c r="AN255" s="200"/>
      <c r="AO255" s="201"/>
      <c r="AP255" s="6"/>
      <c r="AQ255" s="197"/>
      <c r="AR255" s="198"/>
      <c r="AS255" s="199"/>
      <c r="AT255" s="200"/>
      <c r="AU255" s="204"/>
      <c r="AV255" s="6"/>
      <c r="AW255" s="197"/>
      <c r="AX255" s="198"/>
      <c r="AY255" s="199"/>
      <c r="AZ255" s="200"/>
      <c r="BA255" s="201"/>
      <c r="BB255" s="6"/>
      <c r="BC255" s="197"/>
      <c r="BD255" s="198"/>
      <c r="BE255" s="199"/>
      <c r="BF255" s="200"/>
      <c r="BG255" s="201"/>
      <c r="BH255" s="203"/>
      <c r="BI255" s="197"/>
      <c r="BJ255" s="198"/>
      <c r="BK255" s="199"/>
      <c r="BL255" s="200"/>
      <c r="BM255" s="201"/>
    </row>
    <row r="258" spans="1:57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</row>
    <row r="259" spans="1:57" ht="15.75" customHeight="1" x14ac:dyDescent="0.15">
      <c r="A259" t="s">
        <v>0</v>
      </c>
      <c r="B259" s="242">
        <v>31</v>
      </c>
      <c r="C259" s="242"/>
      <c r="D259" s="242"/>
      <c r="E259" s="242"/>
      <c r="F259" s="242"/>
      <c r="G259" s="242"/>
      <c r="H259" s="242">
        <v>32</v>
      </c>
      <c r="I259" s="242"/>
      <c r="J259" s="242"/>
      <c r="K259" s="242"/>
      <c r="L259" s="242"/>
      <c r="M259" s="242"/>
      <c r="N259" s="242">
        <v>33</v>
      </c>
      <c r="O259" s="242"/>
      <c r="P259" s="242"/>
      <c r="Q259" s="242"/>
      <c r="R259" s="242"/>
      <c r="S259" s="242"/>
      <c r="T259" s="242">
        <v>34</v>
      </c>
      <c r="U259" s="242"/>
      <c r="V259" s="242"/>
      <c r="W259" s="242"/>
      <c r="X259" s="242"/>
      <c r="Y259" s="242"/>
      <c r="Z259" s="242">
        <v>35</v>
      </c>
      <c r="AA259" s="242"/>
      <c r="AB259" s="242"/>
      <c r="AC259" s="242"/>
      <c r="AD259" s="242"/>
      <c r="AE259" s="242"/>
      <c r="AF259" s="242">
        <v>36</v>
      </c>
      <c r="AG259" s="242"/>
      <c r="AH259" s="242"/>
      <c r="AI259" s="242"/>
      <c r="AJ259" s="242"/>
      <c r="AK259" s="242"/>
      <c r="AL259" s="242">
        <v>37</v>
      </c>
      <c r="AM259" s="242"/>
      <c r="AN259" s="242"/>
      <c r="AO259" s="242"/>
      <c r="AP259" s="242"/>
      <c r="AQ259" s="242"/>
      <c r="AR259" s="242">
        <v>38</v>
      </c>
      <c r="AS259" s="242"/>
      <c r="AT259" s="242">
        <v>39</v>
      </c>
      <c r="AU259" s="242"/>
      <c r="AV259" s="242"/>
      <c r="AW259" s="242"/>
      <c r="AX259" s="242"/>
      <c r="AY259" s="242"/>
      <c r="AZ259" s="242">
        <v>40</v>
      </c>
      <c r="BA259" s="242"/>
      <c r="BB259" s="242"/>
      <c r="BC259" s="242"/>
      <c r="BD259" s="242"/>
      <c r="BE259" s="242"/>
    </row>
    <row r="260" spans="1:57" x14ac:dyDescent="0.15">
      <c r="A260" s="6" t="s">
        <v>1</v>
      </c>
      <c r="B260" s="243" t="s">
        <v>146</v>
      </c>
      <c r="C260" s="243"/>
      <c r="D260" s="243"/>
      <c r="E260" s="243"/>
      <c r="F260" s="243"/>
      <c r="G260" s="243"/>
      <c r="H260" s="243" t="s">
        <v>147</v>
      </c>
      <c r="I260" s="243"/>
      <c r="J260" s="243"/>
      <c r="K260" s="243"/>
      <c r="L260" s="243"/>
      <c r="M260" s="243"/>
      <c r="N260" s="243" t="s">
        <v>148</v>
      </c>
      <c r="O260" s="243"/>
      <c r="P260" s="243"/>
      <c r="Q260" s="243"/>
      <c r="R260" s="243"/>
      <c r="S260" s="243"/>
      <c r="T260" s="243" t="s">
        <v>148</v>
      </c>
      <c r="U260" s="243"/>
      <c r="V260" s="243"/>
      <c r="W260" s="243"/>
      <c r="X260" s="243"/>
      <c r="Y260" s="243"/>
      <c r="Z260" s="243" t="s">
        <v>149</v>
      </c>
      <c r="AA260" s="243"/>
      <c r="AB260" s="243"/>
      <c r="AC260" s="243"/>
      <c r="AD260" s="243"/>
      <c r="AE260" s="243"/>
      <c r="AF260" s="243" t="s">
        <v>150</v>
      </c>
      <c r="AG260" s="243"/>
      <c r="AH260" s="243"/>
      <c r="AI260" s="243"/>
      <c r="AJ260" s="243"/>
      <c r="AK260" s="243"/>
      <c r="AL260" s="243" t="s">
        <v>151</v>
      </c>
      <c r="AM260" s="243"/>
      <c r="AN260" s="243"/>
      <c r="AO260" s="243"/>
      <c r="AP260" s="243"/>
      <c r="AQ260" s="243"/>
      <c r="AR260" s="243" t="s">
        <v>161</v>
      </c>
      <c r="AS260" s="243"/>
      <c r="AT260" s="243" t="s">
        <v>162</v>
      </c>
      <c r="AU260" s="243"/>
      <c r="AV260" s="243"/>
      <c r="AW260" s="243"/>
      <c r="AX260" s="243"/>
      <c r="AY260" s="243"/>
      <c r="AZ260" s="243" t="s">
        <v>162</v>
      </c>
      <c r="BA260" s="243"/>
      <c r="BB260" s="243"/>
      <c r="BC260" s="243"/>
      <c r="BD260" s="243"/>
      <c r="BE260" s="243"/>
    </row>
    <row r="261" spans="1:57" x14ac:dyDescent="0.15">
      <c r="A261" s="8"/>
      <c r="B261" s="94" t="s">
        <v>169</v>
      </c>
      <c r="C261" s="95" t="s">
        <v>172</v>
      </c>
      <c r="D261" s="96" t="s">
        <v>101</v>
      </c>
      <c r="E261" s="97" t="s">
        <v>122</v>
      </c>
      <c r="F261" s="98" t="s">
        <v>173</v>
      </c>
      <c r="G261" s="144" t="s">
        <v>210</v>
      </c>
      <c r="H261" s="94" t="s">
        <v>169</v>
      </c>
      <c r="I261" s="95" t="s">
        <v>172</v>
      </c>
      <c r="J261" s="96" t="s">
        <v>101</v>
      </c>
      <c r="K261" s="97" t="s">
        <v>122</v>
      </c>
      <c r="L261" s="98" t="s">
        <v>173</v>
      </c>
      <c r="M261" s="144" t="s">
        <v>210</v>
      </c>
      <c r="N261" s="94" t="s">
        <v>169</v>
      </c>
      <c r="O261" s="95" t="s">
        <v>172</v>
      </c>
      <c r="P261" s="96" t="s">
        <v>101</v>
      </c>
      <c r="Q261" s="97" t="s">
        <v>122</v>
      </c>
      <c r="R261" s="98" t="s">
        <v>173</v>
      </c>
      <c r="S261" s="144" t="s">
        <v>210</v>
      </c>
      <c r="T261" s="94" t="s">
        <v>169</v>
      </c>
      <c r="U261" s="95" t="s">
        <v>172</v>
      </c>
      <c r="V261" s="96" t="s">
        <v>101</v>
      </c>
      <c r="W261" s="97" t="s">
        <v>122</v>
      </c>
      <c r="X261" s="98" t="s">
        <v>173</v>
      </c>
      <c r="Y261" s="144" t="s">
        <v>210</v>
      </c>
      <c r="Z261" s="94" t="s">
        <v>169</v>
      </c>
      <c r="AA261" s="95" t="s">
        <v>172</v>
      </c>
      <c r="AB261" s="96" t="s">
        <v>101</v>
      </c>
      <c r="AC261" s="97" t="s">
        <v>122</v>
      </c>
      <c r="AD261" s="98" t="s">
        <v>173</v>
      </c>
      <c r="AE261" s="144" t="s">
        <v>210</v>
      </c>
      <c r="AF261" s="94" t="s">
        <v>169</v>
      </c>
      <c r="AG261" s="95" t="s">
        <v>172</v>
      </c>
      <c r="AH261" s="96" t="s">
        <v>101</v>
      </c>
      <c r="AI261" s="97" t="s">
        <v>122</v>
      </c>
      <c r="AJ261" s="98" t="s">
        <v>173</v>
      </c>
      <c r="AK261" s="144" t="s">
        <v>211</v>
      </c>
      <c r="AL261" s="94" t="s">
        <v>169</v>
      </c>
      <c r="AM261" s="95" t="s">
        <v>172</v>
      </c>
      <c r="AN261" s="96" t="s">
        <v>101</v>
      </c>
      <c r="AO261" s="97" t="s">
        <v>122</v>
      </c>
      <c r="AP261" s="98" t="s">
        <v>173</v>
      </c>
      <c r="AQ261" s="144" t="s">
        <v>210</v>
      </c>
      <c r="AR261" s="94" t="s">
        <v>169</v>
      </c>
      <c r="AS261" s="95" t="s">
        <v>172</v>
      </c>
      <c r="AT261" s="94" t="s">
        <v>169</v>
      </c>
      <c r="AU261" s="95" t="s">
        <v>172</v>
      </c>
      <c r="AV261" s="96" t="s">
        <v>101</v>
      </c>
      <c r="AW261" s="97" t="s">
        <v>122</v>
      </c>
      <c r="AX261" s="98" t="s">
        <v>173</v>
      </c>
      <c r="AY261" s="144" t="s">
        <v>210</v>
      </c>
      <c r="AZ261" s="94" t="s">
        <v>169</v>
      </c>
      <c r="BA261" s="95" t="s">
        <v>172</v>
      </c>
      <c r="BB261" s="96" t="s">
        <v>101</v>
      </c>
      <c r="BC261" s="97" t="s">
        <v>122</v>
      </c>
      <c r="BD261" s="98" t="s">
        <v>173</v>
      </c>
      <c r="BE261" s="144" t="s">
        <v>210</v>
      </c>
    </row>
    <row r="262" spans="1:57" ht="14.25" x14ac:dyDescent="0.15">
      <c r="A262" s="26" t="s">
        <v>59</v>
      </c>
      <c r="B262" s="103">
        <f>COUNT(B263:B339)</f>
        <v>5</v>
      </c>
      <c r="C262" s="104">
        <f>COUNT(C263:C339)</f>
        <v>9</v>
      </c>
      <c r="D262" s="105">
        <f>COUNT(D263:D339)</f>
        <v>12</v>
      </c>
      <c r="E262" s="106">
        <f>COUNT(E263:E339)</f>
        <v>12</v>
      </c>
      <c r="F262" s="107">
        <f>COUNT(F263:F339)</f>
        <v>13</v>
      </c>
      <c r="G262" s="155">
        <f>COUNT(G263:G340)</f>
        <v>14</v>
      </c>
      <c r="H262" s="103">
        <f>COUNT(H263:H339)</f>
        <v>6</v>
      </c>
      <c r="I262" s="104">
        <f>COUNT(I263:I339)</f>
        <v>8</v>
      </c>
      <c r="J262" s="105">
        <f>COUNT(J263:J339)</f>
        <v>9</v>
      </c>
      <c r="K262" s="106">
        <f>COUNT(K263:K339)</f>
        <v>13</v>
      </c>
      <c r="L262" s="107">
        <f>COUNT(L263:L339)</f>
        <v>10</v>
      </c>
      <c r="M262" s="155">
        <f>COUNT(M263:M340)</f>
        <v>10</v>
      </c>
      <c r="N262" s="103">
        <f>COUNT(N263:N339)</f>
        <v>8</v>
      </c>
      <c r="O262" s="104">
        <f>COUNT(O263:O339)</f>
        <v>8</v>
      </c>
      <c r="P262" s="105">
        <f>COUNT(P263:P339)</f>
        <v>8</v>
      </c>
      <c r="Q262" s="106">
        <f>COUNT(Q263:Q339)</f>
        <v>11</v>
      </c>
      <c r="R262" s="107">
        <f>COUNT(R263:R339)</f>
        <v>8</v>
      </c>
      <c r="S262" s="155">
        <f>COUNT(S263:S340)</f>
        <v>10</v>
      </c>
      <c r="T262" s="103">
        <f>COUNT(T263:T339)</f>
        <v>4</v>
      </c>
      <c r="U262" s="108">
        <f>COUNT(U263:U339)</f>
        <v>7</v>
      </c>
      <c r="V262" s="105">
        <f>COUNT(V263:V339)</f>
        <v>6</v>
      </c>
      <c r="W262" s="106">
        <f>COUNT(W263:W339)</f>
        <v>6</v>
      </c>
      <c r="X262" s="107">
        <f>COUNT(X263:X339)</f>
        <v>6</v>
      </c>
      <c r="Y262" s="155">
        <f>COUNT(Y263:Y340)</f>
        <v>6</v>
      </c>
      <c r="Z262" s="103">
        <f>COUNT(Z263:Z339)</f>
        <v>3</v>
      </c>
      <c r="AA262" s="108">
        <f>COUNT(AA263:AA339)</f>
        <v>6</v>
      </c>
      <c r="AB262" s="105">
        <f>COUNT(AB263:AB339)</f>
        <v>4</v>
      </c>
      <c r="AC262" s="106">
        <f>COUNT(AC263:AC339)</f>
        <v>4</v>
      </c>
      <c r="AD262" s="107">
        <f>COUNT(AD263:AD339)</f>
        <v>6</v>
      </c>
      <c r="AE262" s="155">
        <f>COUNT(AE263:AE340)</f>
        <v>3</v>
      </c>
      <c r="AF262" s="103">
        <f>COUNT(AF263:AF339)</f>
        <v>4</v>
      </c>
      <c r="AG262" s="104">
        <f>COUNT(AG263:AG339)</f>
        <v>4</v>
      </c>
      <c r="AH262" s="105">
        <f>COUNT(AH263:AH339)</f>
        <v>4</v>
      </c>
      <c r="AI262" s="106">
        <f>COUNT(AI263:AI339)</f>
        <v>4</v>
      </c>
      <c r="AJ262" s="107">
        <f>COUNT(AJ263:AJ339)</f>
        <v>2</v>
      </c>
      <c r="AK262" s="155">
        <f>COUNT(AK263:AK340)</f>
        <v>4</v>
      </c>
      <c r="AL262" s="103">
        <f>COUNT(AL263:AL339)</f>
        <v>5</v>
      </c>
      <c r="AM262" s="104">
        <f>COUNT(AM263:AM339)</f>
        <v>7</v>
      </c>
      <c r="AN262" s="105">
        <f>COUNT(AN263:AN339)</f>
        <v>6</v>
      </c>
      <c r="AO262" s="106">
        <f>COUNT(AO263:AO339)</f>
        <v>6</v>
      </c>
      <c r="AP262" s="107">
        <f>COUNT(AP263:AP339)</f>
        <v>8</v>
      </c>
      <c r="AQ262" s="155">
        <v>8</v>
      </c>
      <c r="AR262" s="103">
        <f>COUNT(AR263:AR338)</f>
        <v>2</v>
      </c>
      <c r="AS262" s="104">
        <f>COUNT(AS263:AS338)</f>
        <v>0</v>
      </c>
      <c r="AT262" s="103">
        <f>COUNT(AT263:AT339)</f>
        <v>3</v>
      </c>
      <c r="AU262" s="103">
        <f>COUNT(AU263:AU339)</f>
        <v>7</v>
      </c>
      <c r="AV262" s="105">
        <f>COUNT(AV263:AV339)</f>
        <v>6</v>
      </c>
      <c r="AW262" s="106">
        <f>COUNT(AW263:AW339)</f>
        <v>5</v>
      </c>
      <c r="AX262" s="107">
        <f>COUNT(AX263:AX339)</f>
        <v>6</v>
      </c>
      <c r="AY262" s="155">
        <f>COUNT(AY263:AY340)</f>
        <v>5</v>
      </c>
      <c r="AZ262" s="103">
        <f>COUNT(AZ263:AZ339)</f>
        <v>5</v>
      </c>
      <c r="BA262" s="108">
        <f>COUNT(BA263:BA339)</f>
        <v>6</v>
      </c>
      <c r="BB262" s="105">
        <f>COUNT(BB263:BB339)</f>
        <v>3</v>
      </c>
      <c r="BC262" s="106">
        <f>COUNT(BC263:BC339)</f>
        <v>3</v>
      </c>
      <c r="BD262" s="107">
        <f>COUNT(BD263:BD340)</f>
        <v>4</v>
      </c>
      <c r="BE262" s="155">
        <f>COUNT(BE263:BE340)</f>
        <v>7</v>
      </c>
    </row>
    <row r="263" spans="1:57" x14ac:dyDescent="0.15">
      <c r="A263" s="27" t="s">
        <v>60</v>
      </c>
      <c r="B263" s="114"/>
      <c r="C263" s="115"/>
      <c r="D263" s="111"/>
      <c r="E263" s="112"/>
      <c r="F263" s="113"/>
      <c r="G263" s="145"/>
      <c r="H263" s="114"/>
      <c r="I263" s="115"/>
      <c r="J263" s="111"/>
      <c r="K263" s="112"/>
      <c r="L263" s="113"/>
      <c r="M263" s="145"/>
      <c r="N263" s="114"/>
      <c r="O263" s="115"/>
      <c r="P263" s="111"/>
      <c r="Q263" s="112"/>
      <c r="R263" s="113"/>
      <c r="S263" s="145"/>
      <c r="T263" s="114"/>
      <c r="U263" s="115"/>
      <c r="V263" s="111"/>
      <c r="W263" s="112"/>
      <c r="X263" s="113"/>
      <c r="Y263" s="145"/>
      <c r="Z263" s="114"/>
      <c r="AA263" s="115"/>
      <c r="AB263" s="111"/>
      <c r="AC263" s="112"/>
      <c r="AD263" s="113"/>
      <c r="AE263" s="145"/>
      <c r="AF263" s="114"/>
      <c r="AG263" s="115"/>
      <c r="AH263" s="111"/>
      <c r="AI263" s="112"/>
      <c r="AJ263" s="113"/>
      <c r="AK263" s="145"/>
      <c r="AL263" s="114"/>
      <c r="AM263" s="115"/>
      <c r="AN263" s="111"/>
      <c r="AO263" s="112"/>
      <c r="AP263" s="113"/>
      <c r="AQ263" s="145"/>
      <c r="AR263" s="114"/>
      <c r="AS263" s="115"/>
      <c r="AT263" s="114"/>
      <c r="AU263" s="115"/>
      <c r="AV263" s="111"/>
      <c r="AW263" s="112"/>
      <c r="AX263" s="113"/>
      <c r="AY263" s="145"/>
      <c r="AZ263" s="114"/>
      <c r="BA263" s="115"/>
      <c r="BB263" s="111"/>
      <c r="BC263" s="112"/>
      <c r="BD263" s="113"/>
      <c r="BE263" s="145"/>
    </row>
    <row r="264" spans="1:57" x14ac:dyDescent="0.15">
      <c r="A264" s="27" t="s">
        <v>105</v>
      </c>
      <c r="B264" s="114"/>
      <c r="C264" s="115"/>
      <c r="D264" s="116"/>
      <c r="E264" s="117"/>
      <c r="F264" s="118"/>
      <c r="G264" s="146"/>
      <c r="H264" s="114"/>
      <c r="I264" s="115"/>
      <c r="J264" s="111"/>
      <c r="K264" s="112"/>
      <c r="L264" s="113"/>
      <c r="M264" s="145"/>
      <c r="N264" s="114"/>
      <c r="O264" s="115"/>
      <c r="P264" s="111"/>
      <c r="Q264" s="112"/>
      <c r="R264" s="113"/>
      <c r="S264" s="145"/>
      <c r="T264" s="114"/>
      <c r="U264" s="115"/>
      <c r="V264" s="111"/>
      <c r="W264" s="112"/>
      <c r="X264" s="113"/>
      <c r="Y264" s="145"/>
      <c r="Z264" s="114"/>
      <c r="AA264" s="115"/>
      <c r="AB264" s="111"/>
      <c r="AC264" s="112"/>
      <c r="AD264" s="113"/>
      <c r="AE264" s="145"/>
      <c r="AF264" s="114"/>
      <c r="AG264" s="115"/>
      <c r="AH264" s="111"/>
      <c r="AI264" s="112"/>
      <c r="AJ264" s="113"/>
      <c r="AK264" s="145"/>
      <c r="AL264" s="114"/>
      <c r="AM264" s="125">
        <v>1</v>
      </c>
      <c r="AN264" s="116">
        <v>1</v>
      </c>
      <c r="AO264" s="117">
        <v>1</v>
      </c>
      <c r="AP264" s="118"/>
      <c r="AQ264" s="146"/>
      <c r="AR264" s="114"/>
      <c r="AS264" s="115"/>
      <c r="AT264" s="114"/>
      <c r="AU264" s="115"/>
      <c r="AV264" s="111"/>
      <c r="AW264" s="112"/>
      <c r="AX264" s="113"/>
      <c r="AY264" s="145"/>
      <c r="AZ264" s="114"/>
      <c r="BA264" s="115"/>
      <c r="BB264" s="111"/>
      <c r="BC264" s="112"/>
      <c r="BD264" s="113"/>
      <c r="BE264" s="145"/>
    </row>
    <row r="265" spans="1:57" x14ac:dyDescent="0.15">
      <c r="A265" s="2" t="s">
        <v>43</v>
      </c>
      <c r="B265" s="114"/>
      <c r="C265" s="115"/>
      <c r="D265" s="111"/>
      <c r="E265" s="112"/>
      <c r="F265" s="113">
        <v>1</v>
      </c>
      <c r="G265" s="145">
        <v>3</v>
      </c>
      <c r="H265" s="114"/>
      <c r="I265" s="115"/>
      <c r="J265" s="111"/>
      <c r="K265" s="112"/>
      <c r="L265" s="113"/>
      <c r="M265" s="145"/>
      <c r="N265" s="114"/>
      <c r="O265" s="115"/>
      <c r="P265" s="111"/>
      <c r="Q265" s="112"/>
      <c r="R265" s="113"/>
      <c r="S265" s="145">
        <v>1</v>
      </c>
      <c r="T265" s="114"/>
      <c r="U265" s="115"/>
      <c r="V265" s="111"/>
      <c r="W265" s="112"/>
      <c r="X265" s="113"/>
      <c r="Y265" s="145"/>
      <c r="Z265" s="114"/>
      <c r="AA265" s="115"/>
      <c r="AB265" s="111"/>
      <c r="AC265" s="112"/>
      <c r="AD265" s="113"/>
      <c r="AE265" s="145"/>
      <c r="AF265" s="114"/>
      <c r="AG265" s="115"/>
      <c r="AH265" s="111"/>
      <c r="AI265" s="112"/>
      <c r="AJ265" s="113"/>
      <c r="AK265" s="145"/>
      <c r="AL265" s="114"/>
      <c r="AM265" s="115"/>
      <c r="AN265" s="111"/>
      <c r="AO265" s="112"/>
      <c r="AP265" s="113"/>
      <c r="AQ265" s="145"/>
      <c r="AR265" s="114"/>
      <c r="AS265" s="115"/>
      <c r="AT265" s="114"/>
      <c r="AU265" s="115"/>
      <c r="AV265" s="111"/>
      <c r="AW265" s="112"/>
      <c r="AX265" s="113"/>
      <c r="AY265" s="145"/>
      <c r="AZ265" s="114"/>
      <c r="BA265" s="115"/>
      <c r="BB265" s="111"/>
      <c r="BC265" s="112"/>
      <c r="BD265" s="113"/>
      <c r="BE265" s="145">
        <v>1</v>
      </c>
    </row>
    <row r="266" spans="1:57" x14ac:dyDescent="0.15">
      <c r="A266" s="27" t="s">
        <v>53</v>
      </c>
      <c r="B266" s="114"/>
      <c r="C266" s="115"/>
      <c r="D266" s="111"/>
      <c r="E266" s="112"/>
      <c r="F266" s="113"/>
      <c r="G266" s="145"/>
      <c r="H266" s="114"/>
      <c r="I266" s="115"/>
      <c r="J266" s="111"/>
      <c r="K266" s="112"/>
      <c r="L266" s="113"/>
      <c r="M266" s="145"/>
      <c r="N266" s="114"/>
      <c r="O266" s="115"/>
      <c r="P266" s="111"/>
      <c r="Q266" s="112"/>
      <c r="R266" s="113"/>
      <c r="S266" s="145"/>
      <c r="T266" s="114"/>
      <c r="U266" s="115"/>
      <c r="V266" s="111"/>
      <c r="W266" s="112"/>
      <c r="X266" s="113"/>
      <c r="Y266" s="145"/>
      <c r="Z266" s="114"/>
      <c r="AA266" s="115"/>
      <c r="AB266" s="111"/>
      <c r="AC266" s="112"/>
      <c r="AD266" s="113"/>
      <c r="AE266" s="145"/>
      <c r="AF266" s="114"/>
      <c r="AG266" s="115"/>
      <c r="AH266" s="111"/>
      <c r="AI266" s="112"/>
      <c r="AJ266" s="113"/>
      <c r="AK266" s="145"/>
      <c r="AL266" s="114"/>
      <c r="AM266" s="115"/>
      <c r="AN266" s="111"/>
      <c r="AO266" s="112"/>
      <c r="AP266" s="113"/>
      <c r="AQ266" s="145"/>
      <c r="AR266" s="114"/>
      <c r="AS266" s="115"/>
      <c r="AT266" s="114"/>
      <c r="AU266" s="115"/>
      <c r="AV266" s="111"/>
      <c r="AW266" s="112"/>
      <c r="AX266" s="113"/>
      <c r="AY266" s="145"/>
      <c r="AZ266" s="114"/>
      <c r="BA266" s="115"/>
      <c r="BB266" s="111"/>
      <c r="BC266" s="112"/>
      <c r="BD266" s="113"/>
      <c r="BE266" s="145"/>
    </row>
    <row r="267" spans="1:57" x14ac:dyDescent="0.15">
      <c r="A267" s="2" t="s">
        <v>12</v>
      </c>
      <c r="C267" s="21">
        <v>1</v>
      </c>
      <c r="D267" s="128">
        <v>1</v>
      </c>
      <c r="E267" s="54">
        <v>1</v>
      </c>
      <c r="F267" s="64">
        <v>1</v>
      </c>
      <c r="G267" s="69">
        <v>1</v>
      </c>
      <c r="H267">
        <v>3</v>
      </c>
      <c r="I267" s="21">
        <v>3</v>
      </c>
      <c r="J267" s="128">
        <v>2</v>
      </c>
      <c r="K267" s="54">
        <v>1</v>
      </c>
      <c r="L267" s="64">
        <v>1</v>
      </c>
      <c r="M267" s="69">
        <v>1</v>
      </c>
      <c r="N267">
        <v>3</v>
      </c>
      <c r="O267" s="21">
        <v>3</v>
      </c>
      <c r="P267" s="128">
        <v>2</v>
      </c>
      <c r="Q267" s="54">
        <v>1</v>
      </c>
      <c r="R267" s="64">
        <v>1</v>
      </c>
      <c r="S267" s="69">
        <v>1</v>
      </c>
      <c r="T267">
        <v>3</v>
      </c>
      <c r="U267" s="21">
        <v>2</v>
      </c>
      <c r="V267" s="128">
        <v>1</v>
      </c>
      <c r="W267" s="54">
        <v>1</v>
      </c>
      <c r="X267" s="64">
        <v>1</v>
      </c>
      <c r="Y267" s="69">
        <v>1</v>
      </c>
      <c r="AA267" s="21">
        <v>1</v>
      </c>
      <c r="AB267" s="128">
        <v>1</v>
      </c>
      <c r="AC267" s="54">
        <v>1</v>
      </c>
      <c r="AD267" s="64">
        <v>1</v>
      </c>
      <c r="AE267" s="69"/>
      <c r="AG267" s="21"/>
      <c r="AH267" s="128"/>
      <c r="AI267" s="54"/>
      <c r="AJ267" s="64"/>
      <c r="AK267" s="69"/>
      <c r="AL267">
        <v>1</v>
      </c>
      <c r="AM267" s="21"/>
      <c r="AN267" s="128">
        <v>1</v>
      </c>
      <c r="AO267" s="54">
        <v>1</v>
      </c>
      <c r="AP267" s="64">
        <v>1</v>
      </c>
      <c r="AQ267" s="69">
        <v>1</v>
      </c>
      <c r="AR267">
        <v>1</v>
      </c>
      <c r="AS267" s="21"/>
      <c r="AU267" s="21">
        <v>1</v>
      </c>
      <c r="AV267" s="128">
        <v>1</v>
      </c>
      <c r="AW267" s="54">
        <v>1</v>
      </c>
      <c r="AX267" s="64">
        <v>1</v>
      </c>
      <c r="AY267" s="69">
        <v>1</v>
      </c>
      <c r="AZ267">
        <v>2</v>
      </c>
      <c r="BA267" s="21">
        <v>2</v>
      </c>
      <c r="BB267" s="128">
        <v>2</v>
      </c>
      <c r="BC267" s="54">
        <v>1</v>
      </c>
      <c r="BD267" s="64">
        <v>1</v>
      </c>
      <c r="BE267" s="69">
        <v>1</v>
      </c>
    </row>
    <row r="268" spans="1:57" x14ac:dyDescent="0.15">
      <c r="A268" s="2" t="s">
        <v>93</v>
      </c>
      <c r="C268" s="21"/>
      <c r="D268" s="128"/>
      <c r="E268" s="54"/>
      <c r="F268" s="64"/>
      <c r="G268" s="69"/>
      <c r="I268" s="21"/>
      <c r="J268" s="128">
        <v>1</v>
      </c>
      <c r="K268" s="54">
        <v>1</v>
      </c>
      <c r="L268" s="64"/>
      <c r="M268" s="69">
        <v>1</v>
      </c>
      <c r="O268" s="21"/>
      <c r="P268" s="128"/>
      <c r="Q268" s="54"/>
      <c r="R268" s="64"/>
      <c r="S268" s="69"/>
      <c r="U268" s="21"/>
      <c r="V268" s="128"/>
      <c r="W268" s="54"/>
      <c r="X268" s="64"/>
      <c r="Y268" s="69"/>
      <c r="AA268" s="21"/>
      <c r="AB268" s="128"/>
      <c r="AC268" s="54"/>
      <c r="AD268" s="64"/>
      <c r="AE268" s="69"/>
      <c r="AG268" s="21"/>
      <c r="AH268" s="128"/>
      <c r="AI268" s="54"/>
      <c r="AJ268" s="64"/>
      <c r="AK268" s="69"/>
      <c r="AM268" s="21"/>
      <c r="AN268" s="128"/>
      <c r="AO268" s="54"/>
      <c r="AP268" s="64"/>
      <c r="AQ268" s="69"/>
      <c r="AS268" s="21"/>
      <c r="AU268" s="21"/>
      <c r="AV268" s="128"/>
      <c r="AW268" s="54"/>
      <c r="AX268" s="64"/>
      <c r="AY268" s="69"/>
      <c r="BA268" s="21"/>
      <c r="BB268" s="128"/>
      <c r="BC268" s="54"/>
      <c r="BD268" s="64"/>
      <c r="BE268" s="69"/>
    </row>
    <row r="269" spans="1:57" x14ac:dyDescent="0.15">
      <c r="A269" s="2" t="s">
        <v>33</v>
      </c>
      <c r="C269" s="21"/>
      <c r="D269" s="128"/>
      <c r="E269" s="54"/>
      <c r="F269" s="64"/>
      <c r="G269" s="69"/>
      <c r="I269" s="21"/>
      <c r="J269" s="128"/>
      <c r="K269" s="54"/>
      <c r="L269" s="64"/>
      <c r="M269" s="69"/>
      <c r="O269" s="21"/>
      <c r="P269" s="128"/>
      <c r="Q269" s="54"/>
      <c r="R269" s="64"/>
      <c r="S269" s="69"/>
      <c r="U269" s="21"/>
      <c r="V269" s="128"/>
      <c r="W269" s="54"/>
      <c r="X269" s="64"/>
      <c r="Y269" s="69"/>
      <c r="AA269" s="21"/>
      <c r="AB269" s="128"/>
      <c r="AC269" s="54"/>
      <c r="AD269" s="64"/>
      <c r="AE269" s="69"/>
      <c r="AG269" s="21"/>
      <c r="AH269" s="128"/>
      <c r="AI269" s="54"/>
      <c r="AJ269" s="64"/>
      <c r="AK269" s="69"/>
      <c r="AM269" s="21"/>
      <c r="AN269" s="128"/>
      <c r="AO269" s="54"/>
      <c r="AP269" s="64"/>
      <c r="AQ269" s="69"/>
      <c r="AS269" s="21"/>
      <c r="AU269" s="21"/>
      <c r="AV269" s="128"/>
      <c r="AW269" s="54"/>
      <c r="AX269" s="64"/>
      <c r="AY269" s="69"/>
      <c r="BA269" s="21"/>
      <c r="BB269" s="128"/>
      <c r="BC269" s="54"/>
      <c r="BD269" s="64"/>
      <c r="BE269" s="69"/>
    </row>
    <row r="270" spans="1:57" x14ac:dyDescent="0.15">
      <c r="A270" s="2" t="s">
        <v>13</v>
      </c>
      <c r="C270" s="21"/>
      <c r="D270" s="128"/>
      <c r="E270" s="54"/>
      <c r="F270" s="64"/>
      <c r="G270" s="69"/>
      <c r="I270" s="21"/>
      <c r="J270" s="128"/>
      <c r="K270" s="54"/>
      <c r="L270" s="64"/>
      <c r="M270" s="69"/>
      <c r="O270" s="21"/>
      <c r="P270" s="128"/>
      <c r="Q270" s="54"/>
      <c r="R270" s="64"/>
      <c r="S270" s="69"/>
      <c r="U270" s="21"/>
      <c r="V270" s="128"/>
      <c r="W270" s="54"/>
      <c r="X270" s="64"/>
      <c r="Y270" s="69"/>
      <c r="AA270" s="21"/>
      <c r="AB270" s="128"/>
      <c r="AC270" s="54"/>
      <c r="AD270" s="64"/>
      <c r="AE270" s="69"/>
      <c r="AG270" s="21"/>
      <c r="AH270" s="128"/>
      <c r="AI270" s="54"/>
      <c r="AJ270" s="64"/>
      <c r="AK270" s="69"/>
      <c r="AM270" s="21"/>
      <c r="AN270" s="128"/>
      <c r="AO270" s="54"/>
      <c r="AP270" s="64"/>
      <c r="AQ270" s="69"/>
      <c r="AS270" s="21"/>
      <c r="AU270" s="21"/>
      <c r="AV270" s="128"/>
      <c r="AW270" s="54"/>
      <c r="AX270" s="64"/>
      <c r="AY270" s="69"/>
      <c r="BA270" s="21"/>
      <c r="BB270" s="128"/>
      <c r="BC270" s="54"/>
      <c r="BD270" s="64"/>
      <c r="BE270" s="69"/>
    </row>
    <row r="271" spans="1:57" x14ac:dyDescent="0.15">
      <c r="A271" s="2" t="s">
        <v>190</v>
      </c>
      <c r="C271" s="21"/>
      <c r="D271" s="128"/>
      <c r="E271" s="54"/>
      <c r="F271" s="64"/>
      <c r="G271" s="69"/>
      <c r="I271" s="21"/>
      <c r="J271" s="128"/>
      <c r="K271" s="54"/>
      <c r="L271" s="64"/>
      <c r="M271" s="69"/>
      <c r="O271" s="21"/>
      <c r="P271" s="128"/>
      <c r="Q271" s="54"/>
      <c r="R271" s="64"/>
      <c r="S271" s="69"/>
      <c r="U271" s="21"/>
      <c r="V271" s="128"/>
      <c r="W271" s="54"/>
      <c r="X271" s="64"/>
      <c r="Y271" s="69"/>
      <c r="AA271" s="21"/>
      <c r="AB271" s="128"/>
      <c r="AC271" s="54"/>
      <c r="AD271" s="64"/>
      <c r="AE271" s="69"/>
      <c r="AG271" s="21"/>
      <c r="AH271" s="128"/>
      <c r="AI271" s="54"/>
      <c r="AJ271" s="64"/>
      <c r="AK271" s="69"/>
      <c r="AM271" s="21"/>
      <c r="AN271" s="128"/>
      <c r="AO271" s="54"/>
      <c r="AP271" s="64"/>
      <c r="AQ271" s="69"/>
      <c r="AS271" s="21"/>
      <c r="AU271" s="21"/>
      <c r="AV271" s="128"/>
      <c r="AW271" s="54"/>
      <c r="AX271" s="64"/>
      <c r="AY271" s="69"/>
      <c r="BA271" s="21"/>
      <c r="BB271" s="128"/>
      <c r="BC271" s="54"/>
      <c r="BD271" s="64"/>
      <c r="BE271" s="69"/>
    </row>
    <row r="272" spans="1:57" x14ac:dyDescent="0.15">
      <c r="A272" s="2" t="s">
        <v>14</v>
      </c>
      <c r="C272" s="21"/>
      <c r="D272" s="128"/>
      <c r="E272" s="54"/>
      <c r="F272" s="64"/>
      <c r="G272" s="69"/>
      <c r="H272">
        <v>1</v>
      </c>
      <c r="I272" s="21"/>
      <c r="J272" s="128"/>
      <c r="K272" s="54">
        <v>1</v>
      </c>
      <c r="L272" s="64">
        <v>1</v>
      </c>
      <c r="M272" s="69"/>
      <c r="O272" s="21"/>
      <c r="P272" s="128"/>
      <c r="Q272" s="54"/>
      <c r="R272" s="64"/>
      <c r="S272" s="69"/>
      <c r="U272" s="21">
        <v>1</v>
      </c>
      <c r="V272" s="128"/>
      <c r="W272" s="54"/>
      <c r="X272" s="64"/>
      <c r="Y272" s="69"/>
      <c r="AA272" s="21"/>
      <c r="AB272" s="128"/>
      <c r="AC272" s="54"/>
      <c r="AD272" s="64"/>
      <c r="AE272" s="69"/>
      <c r="AG272" s="21"/>
      <c r="AH272" s="128"/>
      <c r="AI272" s="54"/>
      <c r="AJ272" s="64"/>
      <c r="AK272" s="69"/>
      <c r="AM272" s="21"/>
      <c r="AN272" s="128"/>
      <c r="AO272" s="54"/>
      <c r="AP272" s="64"/>
      <c r="AQ272" s="69"/>
      <c r="AS272" s="21"/>
      <c r="AU272" s="21"/>
      <c r="AV272" s="128"/>
      <c r="AW272" s="54"/>
      <c r="AX272" s="64"/>
      <c r="AY272" s="69"/>
      <c r="BA272" s="21"/>
      <c r="BB272" s="128"/>
      <c r="BC272" s="54"/>
      <c r="BD272" s="64"/>
      <c r="BE272" s="69"/>
    </row>
    <row r="273" spans="1:57" x14ac:dyDescent="0.15">
      <c r="A273" s="2" t="s">
        <v>26</v>
      </c>
      <c r="C273" s="21"/>
      <c r="D273" s="128"/>
      <c r="E273" s="54"/>
      <c r="F273" s="64"/>
      <c r="G273" s="69"/>
      <c r="I273" s="21"/>
      <c r="J273" s="128"/>
      <c r="K273" s="54"/>
      <c r="L273" s="64"/>
      <c r="M273" s="69"/>
      <c r="O273" s="21"/>
      <c r="P273" s="128"/>
      <c r="Q273" s="54"/>
      <c r="R273" s="64"/>
      <c r="S273" s="69"/>
      <c r="U273" s="21"/>
      <c r="V273" s="128"/>
      <c r="W273" s="54"/>
      <c r="X273" s="64"/>
      <c r="Y273" s="69"/>
      <c r="AA273" s="21"/>
      <c r="AB273" s="128"/>
      <c r="AC273" s="54"/>
      <c r="AD273" s="64"/>
      <c r="AE273" s="69"/>
      <c r="AG273" s="21"/>
      <c r="AH273" s="128"/>
      <c r="AI273" s="54"/>
      <c r="AJ273" s="64"/>
      <c r="AK273" s="69"/>
      <c r="AM273" s="21"/>
      <c r="AN273" s="128"/>
      <c r="AO273" s="54"/>
      <c r="AP273" s="64"/>
      <c r="AQ273" s="69"/>
      <c r="AS273" s="21"/>
      <c r="AU273" s="21"/>
      <c r="AV273" s="128"/>
      <c r="AW273" s="54"/>
      <c r="AX273" s="64"/>
      <c r="AY273" s="69"/>
      <c r="BA273" s="21"/>
      <c r="BB273" s="128"/>
      <c r="BC273" s="54"/>
      <c r="BD273" s="64"/>
      <c r="BE273" s="69"/>
    </row>
    <row r="274" spans="1:57" x14ac:dyDescent="0.15">
      <c r="A274" s="2" t="s">
        <v>51</v>
      </c>
      <c r="C274" s="21"/>
      <c r="D274" s="128"/>
      <c r="E274" s="54"/>
      <c r="F274" s="64"/>
      <c r="G274" s="69"/>
      <c r="I274" s="21">
        <v>1</v>
      </c>
      <c r="J274" s="128"/>
      <c r="K274" s="54"/>
      <c r="L274" s="64"/>
      <c r="M274" s="69"/>
      <c r="O274" s="21">
        <v>1</v>
      </c>
      <c r="P274" s="128">
        <v>1</v>
      </c>
      <c r="Q274" s="54">
        <v>1</v>
      </c>
      <c r="R274" s="64"/>
      <c r="S274" s="69"/>
      <c r="U274" s="21"/>
      <c r="V274" s="128"/>
      <c r="W274" s="54"/>
      <c r="X274" s="64"/>
      <c r="Y274" s="69"/>
      <c r="AA274" s="21"/>
      <c r="AB274" s="128"/>
      <c r="AC274" s="54"/>
      <c r="AD274" s="64"/>
      <c r="AE274" s="69"/>
      <c r="AG274" s="21"/>
      <c r="AH274" s="128"/>
      <c r="AI274" s="54"/>
      <c r="AJ274" s="64"/>
      <c r="AK274" s="69"/>
      <c r="AM274" s="21"/>
      <c r="AN274" s="128"/>
      <c r="AO274" s="54"/>
      <c r="AP274" s="64"/>
      <c r="AQ274" s="69"/>
      <c r="AS274" s="21"/>
      <c r="AU274" s="21"/>
      <c r="AV274" s="128"/>
      <c r="AW274" s="54"/>
      <c r="AX274" s="64"/>
      <c r="AY274" s="69"/>
      <c r="BA274" s="21"/>
      <c r="BB274" s="128"/>
      <c r="BC274" s="54"/>
      <c r="BD274" s="64"/>
      <c r="BE274" s="69"/>
    </row>
    <row r="275" spans="1:57" x14ac:dyDescent="0.15">
      <c r="A275" s="2" t="s">
        <v>44</v>
      </c>
      <c r="C275" s="21"/>
      <c r="D275" s="128"/>
      <c r="E275" s="54">
        <v>1</v>
      </c>
      <c r="F275" s="64">
        <v>2</v>
      </c>
      <c r="G275" s="69">
        <v>3</v>
      </c>
      <c r="I275" s="21"/>
      <c r="J275" s="128"/>
      <c r="K275" s="54">
        <v>2</v>
      </c>
      <c r="L275" s="64">
        <v>2</v>
      </c>
      <c r="M275" s="69">
        <v>1</v>
      </c>
      <c r="O275" s="21">
        <v>1</v>
      </c>
      <c r="P275" s="128"/>
      <c r="Q275" s="54">
        <v>3</v>
      </c>
      <c r="R275" s="64">
        <v>2</v>
      </c>
      <c r="S275" s="69">
        <v>1</v>
      </c>
      <c r="U275" s="21"/>
      <c r="V275" s="128"/>
      <c r="W275" s="54"/>
      <c r="X275" s="64"/>
      <c r="Y275" s="69"/>
      <c r="AA275" s="21"/>
      <c r="AB275" s="128"/>
      <c r="AC275" s="54"/>
      <c r="AD275" s="64"/>
      <c r="AE275" s="69"/>
      <c r="AG275" s="21"/>
      <c r="AH275" s="128"/>
      <c r="AI275" s="54">
        <v>1</v>
      </c>
      <c r="AJ275" s="64"/>
      <c r="AK275" s="69"/>
      <c r="AM275" s="21">
        <v>1</v>
      </c>
      <c r="AN275" s="128"/>
      <c r="AO275" s="54">
        <v>2</v>
      </c>
      <c r="AP275" s="64">
        <v>1</v>
      </c>
      <c r="AQ275" s="69">
        <v>1</v>
      </c>
      <c r="AS275" s="21"/>
      <c r="AU275" s="21">
        <v>1</v>
      </c>
      <c r="AV275" s="128"/>
      <c r="AW275" s="54"/>
      <c r="AX275" s="64">
        <v>1</v>
      </c>
      <c r="AY275" s="69"/>
      <c r="BA275" s="21">
        <v>1</v>
      </c>
      <c r="BB275" s="128"/>
      <c r="BC275" s="54"/>
      <c r="BD275" s="64"/>
      <c r="BE275" s="69"/>
    </row>
    <row r="276" spans="1:57" x14ac:dyDescent="0.15">
      <c r="A276" s="2" t="s">
        <v>4</v>
      </c>
      <c r="C276" s="21"/>
      <c r="D276" s="128"/>
      <c r="E276" s="54">
        <v>1</v>
      </c>
      <c r="F276" s="64">
        <v>1</v>
      </c>
      <c r="G276" s="69">
        <v>2</v>
      </c>
      <c r="H276">
        <v>3</v>
      </c>
      <c r="I276" s="21">
        <v>1</v>
      </c>
      <c r="J276" s="128"/>
      <c r="K276" s="54">
        <v>1</v>
      </c>
      <c r="L276" s="64"/>
      <c r="M276" s="69">
        <v>1</v>
      </c>
      <c r="N276">
        <v>1</v>
      </c>
      <c r="O276" s="21"/>
      <c r="P276" s="128">
        <v>1</v>
      </c>
      <c r="Q276" s="54">
        <v>1</v>
      </c>
      <c r="R276" s="64">
        <v>1</v>
      </c>
      <c r="S276" s="69">
        <v>1</v>
      </c>
      <c r="U276" s="21"/>
      <c r="V276" s="128"/>
      <c r="W276" s="54"/>
      <c r="X276" s="64"/>
      <c r="Y276" s="69"/>
      <c r="AA276" s="21"/>
      <c r="AB276" s="128"/>
      <c r="AC276" s="54"/>
      <c r="AD276" s="64"/>
      <c r="AE276" s="69"/>
      <c r="AG276" s="21"/>
      <c r="AH276" s="128">
        <v>1</v>
      </c>
      <c r="AI276" s="54">
        <v>1</v>
      </c>
      <c r="AJ276" s="64"/>
      <c r="AK276" s="69"/>
      <c r="AM276" s="21">
        <v>1</v>
      </c>
      <c r="AN276" s="128"/>
      <c r="AO276" s="54">
        <v>1</v>
      </c>
      <c r="AP276" s="64">
        <v>1</v>
      </c>
      <c r="AQ276" s="69">
        <v>1</v>
      </c>
      <c r="AS276" s="21"/>
      <c r="AU276" s="21"/>
      <c r="AV276" s="128"/>
      <c r="AW276" s="54"/>
      <c r="AX276" s="64"/>
      <c r="AY276" s="69"/>
      <c r="BA276" s="21"/>
      <c r="BB276" s="128"/>
      <c r="BC276" s="54"/>
      <c r="BD276" s="64"/>
      <c r="BE276" s="69"/>
    </row>
    <row r="277" spans="1:57" x14ac:dyDescent="0.15">
      <c r="A277" s="2" t="s">
        <v>232</v>
      </c>
      <c r="C277" s="21"/>
      <c r="D277" s="128"/>
      <c r="E277" s="54"/>
      <c r="F277" s="64"/>
      <c r="G277" s="69"/>
      <c r="I277" s="21"/>
      <c r="J277" s="128"/>
      <c r="K277" s="54"/>
      <c r="L277" s="64"/>
      <c r="M277" s="69"/>
      <c r="O277" s="21"/>
      <c r="P277" s="128"/>
      <c r="Q277" s="54"/>
      <c r="R277" s="64"/>
      <c r="S277" s="69"/>
      <c r="U277" s="21"/>
      <c r="V277" s="128"/>
      <c r="W277" s="54"/>
      <c r="X277" s="64"/>
      <c r="Y277" s="69"/>
      <c r="AA277" s="21"/>
      <c r="AB277" s="128"/>
      <c r="AC277" s="54"/>
      <c r="AD277" s="64"/>
      <c r="AE277" s="69"/>
      <c r="AG277" s="21"/>
      <c r="AH277" s="128"/>
      <c r="AI277" s="54"/>
      <c r="AJ277" s="64"/>
      <c r="AK277" s="69"/>
      <c r="AM277" s="21"/>
      <c r="AN277" s="128"/>
      <c r="AO277" s="54"/>
      <c r="AP277" s="64"/>
      <c r="AQ277" s="69"/>
      <c r="AS277" s="21"/>
      <c r="AU277" s="21"/>
      <c r="AV277" s="128"/>
      <c r="AW277" s="54"/>
      <c r="AX277" s="64"/>
      <c r="AY277" s="69"/>
      <c r="BA277" s="21"/>
      <c r="BB277" s="128"/>
      <c r="BC277" s="54"/>
      <c r="BD277" s="64"/>
      <c r="BE277" s="69"/>
    </row>
    <row r="278" spans="1:57" x14ac:dyDescent="0.15">
      <c r="A278" s="2" t="s">
        <v>15</v>
      </c>
      <c r="C278" s="21"/>
      <c r="D278" s="128"/>
      <c r="E278" s="54"/>
      <c r="F278" s="64"/>
      <c r="G278" s="69"/>
      <c r="I278" s="21"/>
      <c r="J278" s="128"/>
      <c r="K278" s="54"/>
      <c r="L278" s="64"/>
      <c r="M278" s="69"/>
      <c r="O278" s="21"/>
      <c r="P278" s="128"/>
      <c r="Q278" s="54"/>
      <c r="R278" s="64"/>
      <c r="S278" s="69"/>
      <c r="U278" s="21"/>
      <c r="V278" s="128"/>
      <c r="W278" s="54"/>
      <c r="X278" s="64"/>
      <c r="Y278" s="69"/>
      <c r="AA278" s="21"/>
      <c r="AB278" s="128"/>
      <c r="AC278" s="54"/>
      <c r="AD278" s="64"/>
      <c r="AE278" s="69"/>
      <c r="AG278" s="21"/>
      <c r="AH278" s="128"/>
      <c r="AI278" s="54"/>
      <c r="AJ278" s="64"/>
      <c r="AK278" s="69"/>
      <c r="AM278" s="21"/>
      <c r="AN278" s="128"/>
      <c r="AO278" s="54"/>
      <c r="AP278" s="64"/>
      <c r="AQ278" s="69"/>
      <c r="AS278" s="21"/>
      <c r="AU278" s="21"/>
      <c r="AV278" s="128"/>
      <c r="AW278" s="54"/>
      <c r="AX278" s="64"/>
      <c r="AY278" s="69"/>
      <c r="BA278" s="21"/>
      <c r="BB278" s="128"/>
      <c r="BC278" s="54"/>
      <c r="BD278" s="64"/>
      <c r="BE278" s="69"/>
    </row>
    <row r="279" spans="1:57" x14ac:dyDescent="0.15">
      <c r="A279" s="2" t="s">
        <v>5</v>
      </c>
      <c r="B279">
        <v>1</v>
      </c>
      <c r="C279" s="21"/>
      <c r="D279" s="128"/>
      <c r="E279" s="54"/>
      <c r="F279" s="64"/>
      <c r="G279" s="69">
        <v>1</v>
      </c>
      <c r="I279" s="21">
        <v>1</v>
      </c>
      <c r="J279" s="128"/>
      <c r="K279" s="54"/>
      <c r="L279" s="64"/>
      <c r="M279" s="69"/>
      <c r="N279">
        <v>2</v>
      </c>
      <c r="O279" s="21">
        <v>1</v>
      </c>
      <c r="P279" s="128"/>
      <c r="Q279" s="54"/>
      <c r="R279" s="64"/>
      <c r="S279" s="69"/>
      <c r="U279" s="21"/>
      <c r="V279" s="128"/>
      <c r="W279" s="54"/>
      <c r="X279" s="64"/>
      <c r="Y279" s="69"/>
      <c r="AA279" s="21"/>
      <c r="AB279" s="128"/>
      <c r="AC279" s="54"/>
      <c r="AD279" s="64"/>
      <c r="AE279" s="69"/>
      <c r="AF279">
        <v>1</v>
      </c>
      <c r="AG279" s="21"/>
      <c r="AH279" s="128"/>
      <c r="AI279" s="54"/>
      <c r="AJ279" s="64"/>
      <c r="AK279" s="69"/>
      <c r="AM279" s="21"/>
      <c r="AN279" s="128"/>
      <c r="AO279" s="54"/>
      <c r="AP279" s="64"/>
      <c r="AQ279" s="69"/>
      <c r="AS279" s="21"/>
      <c r="AU279" s="21"/>
      <c r="AV279" s="128"/>
      <c r="AW279" s="54"/>
      <c r="AX279" s="64"/>
      <c r="AY279" s="69"/>
      <c r="AZ279">
        <v>1</v>
      </c>
      <c r="BA279" s="21"/>
      <c r="BB279" s="128"/>
      <c r="BC279" s="54">
        <v>1</v>
      </c>
      <c r="BD279" s="64"/>
      <c r="BE279" s="69"/>
    </row>
    <row r="280" spans="1:57" x14ac:dyDescent="0.15">
      <c r="A280" s="2" t="s">
        <v>46</v>
      </c>
      <c r="C280" s="21">
        <v>1</v>
      </c>
      <c r="D280" s="128">
        <v>2</v>
      </c>
      <c r="E280" s="54">
        <v>1</v>
      </c>
      <c r="F280" s="64">
        <v>1</v>
      </c>
      <c r="G280" s="69">
        <v>1</v>
      </c>
      <c r="I280" s="21"/>
      <c r="J280" s="128"/>
      <c r="K280" s="54"/>
      <c r="L280" s="64"/>
      <c r="M280" s="69"/>
      <c r="O280" s="21"/>
      <c r="P280" s="128"/>
      <c r="Q280" s="54"/>
      <c r="R280" s="64"/>
      <c r="S280" s="69"/>
      <c r="U280" s="21"/>
      <c r="V280" s="128"/>
      <c r="W280" s="54"/>
      <c r="X280" s="64"/>
      <c r="Y280" s="69"/>
      <c r="AA280" s="21"/>
      <c r="AB280" s="128"/>
      <c r="AC280" s="54"/>
      <c r="AD280" s="64"/>
      <c r="AE280" s="69"/>
      <c r="AG280" s="21"/>
      <c r="AH280" s="128"/>
      <c r="AI280" s="54"/>
      <c r="AJ280" s="64"/>
      <c r="AK280" s="69"/>
      <c r="AL280">
        <v>1</v>
      </c>
      <c r="AM280" s="21">
        <v>1</v>
      </c>
      <c r="AN280" s="128">
        <v>1</v>
      </c>
      <c r="AO280" s="54"/>
      <c r="AP280" s="64">
        <v>1</v>
      </c>
      <c r="AQ280" s="69">
        <v>1</v>
      </c>
      <c r="AS280" s="21"/>
      <c r="AU280" s="21"/>
      <c r="AV280" s="128"/>
      <c r="AW280" s="54"/>
      <c r="AX280" s="64"/>
      <c r="AY280" s="69"/>
      <c r="BA280" s="21"/>
      <c r="BB280" s="128"/>
      <c r="BC280" s="54"/>
      <c r="BD280" s="64"/>
      <c r="BE280" s="69"/>
    </row>
    <row r="281" spans="1:57" x14ac:dyDescent="0.15">
      <c r="A281" s="2" t="s">
        <v>228</v>
      </c>
      <c r="C281" s="21"/>
      <c r="D281" s="128"/>
      <c r="E281" s="54"/>
      <c r="F281" s="64"/>
      <c r="G281" s="69"/>
      <c r="I281" s="21"/>
      <c r="J281" s="128"/>
      <c r="K281" s="54"/>
      <c r="L281" s="64"/>
      <c r="M281" s="69"/>
      <c r="O281" s="21"/>
      <c r="P281" s="128"/>
      <c r="Q281" s="54"/>
      <c r="R281" s="64"/>
      <c r="S281" s="69"/>
      <c r="U281" s="21"/>
      <c r="V281" s="128"/>
      <c r="W281" s="54"/>
      <c r="X281" s="64"/>
      <c r="Y281" s="69"/>
      <c r="AA281" s="21"/>
      <c r="AB281" s="128"/>
      <c r="AC281" s="54"/>
      <c r="AD281" s="64"/>
      <c r="AE281" s="69"/>
      <c r="AG281" s="21"/>
      <c r="AH281" s="128"/>
      <c r="AI281" s="54"/>
      <c r="AJ281" s="64"/>
      <c r="AK281" s="69"/>
      <c r="AM281" s="21"/>
      <c r="AN281" s="128"/>
      <c r="AO281" s="54"/>
      <c r="AP281" s="64"/>
      <c r="AQ281" s="69"/>
      <c r="AS281" s="21"/>
      <c r="AU281" s="21"/>
      <c r="AV281" s="128"/>
      <c r="AW281" s="54"/>
      <c r="AX281" s="64"/>
      <c r="AY281" s="69"/>
      <c r="BA281" s="21"/>
      <c r="BB281" s="128"/>
      <c r="BC281" s="54"/>
      <c r="BD281" s="64"/>
      <c r="BE281" s="69"/>
    </row>
    <row r="282" spans="1:57" x14ac:dyDescent="0.15">
      <c r="A282" s="5" t="s">
        <v>133</v>
      </c>
      <c r="C282" s="21"/>
      <c r="D282" s="128"/>
      <c r="E282" s="54"/>
      <c r="F282" s="64"/>
      <c r="G282" s="69"/>
      <c r="I282" s="21"/>
      <c r="J282" s="128"/>
      <c r="K282" s="54"/>
      <c r="L282" s="64"/>
      <c r="M282" s="69"/>
      <c r="O282" s="21"/>
      <c r="P282" s="128"/>
      <c r="Q282" s="54"/>
      <c r="R282" s="64"/>
      <c r="S282" s="69"/>
      <c r="U282" s="21"/>
      <c r="V282" s="128"/>
      <c r="W282" s="54"/>
      <c r="X282" s="64"/>
      <c r="Y282" s="69"/>
      <c r="AA282" s="21"/>
      <c r="AB282" s="128"/>
      <c r="AC282" s="54"/>
      <c r="AD282" s="64"/>
      <c r="AE282" s="69"/>
      <c r="AG282" s="21"/>
      <c r="AH282" s="128"/>
      <c r="AI282" s="54"/>
      <c r="AJ282" s="64"/>
      <c r="AK282" s="69"/>
      <c r="AM282" s="21"/>
      <c r="AN282" s="128"/>
      <c r="AO282" s="54"/>
      <c r="AP282" s="64"/>
      <c r="AQ282" s="69"/>
      <c r="AS282" s="21"/>
      <c r="AU282" s="21"/>
      <c r="AV282" s="128"/>
      <c r="AW282" s="54"/>
      <c r="AX282" s="64"/>
      <c r="AY282" s="69"/>
      <c r="BA282" s="21"/>
      <c r="BB282" s="128"/>
      <c r="BC282" s="54"/>
      <c r="BD282" s="64"/>
      <c r="BE282" s="69"/>
    </row>
    <row r="283" spans="1:57" x14ac:dyDescent="0.15">
      <c r="A283" s="5" t="s">
        <v>212</v>
      </c>
      <c r="C283" s="21"/>
      <c r="D283" s="128"/>
      <c r="E283" s="54"/>
      <c r="F283" s="64"/>
      <c r="G283" s="69"/>
      <c r="I283" s="21"/>
      <c r="J283" s="128"/>
      <c r="K283" s="54"/>
      <c r="L283" s="64"/>
      <c r="M283" s="69"/>
      <c r="O283" s="21"/>
      <c r="P283" s="128"/>
      <c r="Q283" s="54"/>
      <c r="R283" s="64"/>
      <c r="S283" s="69"/>
      <c r="U283" s="21"/>
      <c r="V283" s="128"/>
      <c r="W283" s="54"/>
      <c r="X283" s="64"/>
      <c r="Y283" s="69"/>
      <c r="AA283" s="21"/>
      <c r="AB283" s="128"/>
      <c r="AC283" s="54"/>
      <c r="AD283" s="64"/>
      <c r="AE283" s="69"/>
      <c r="AG283" s="21"/>
      <c r="AH283" s="128"/>
      <c r="AI283" s="54"/>
      <c r="AJ283" s="64"/>
      <c r="AK283" s="69"/>
      <c r="AM283" s="21"/>
      <c r="AN283" s="128"/>
      <c r="AO283" s="54"/>
      <c r="AP283" s="64"/>
      <c r="AQ283" s="69">
        <v>1</v>
      </c>
      <c r="AS283" s="21"/>
      <c r="AU283" s="21"/>
      <c r="AV283" s="128"/>
      <c r="AW283" s="54"/>
      <c r="AX283" s="64"/>
      <c r="AY283" s="69"/>
      <c r="BA283" s="21"/>
      <c r="BB283" s="128"/>
      <c r="BC283" s="54"/>
      <c r="BD283" s="64"/>
      <c r="BE283" s="69"/>
    </row>
    <row r="284" spans="1:57" x14ac:dyDescent="0.15">
      <c r="A284" s="2" t="s">
        <v>45</v>
      </c>
      <c r="C284" s="21"/>
      <c r="D284" s="128"/>
      <c r="E284" s="54"/>
      <c r="F284" s="64"/>
      <c r="G284" s="69"/>
      <c r="I284" s="21"/>
      <c r="J284" s="128"/>
      <c r="K284" s="54"/>
      <c r="L284" s="64"/>
      <c r="M284" s="69"/>
      <c r="O284" s="21"/>
      <c r="P284" s="128"/>
      <c r="Q284" s="54"/>
      <c r="R284" s="64"/>
      <c r="S284" s="69"/>
      <c r="U284" s="21"/>
      <c r="V284" s="128"/>
      <c r="W284" s="54"/>
      <c r="X284" s="64"/>
      <c r="Y284" s="69"/>
      <c r="AA284" s="21"/>
      <c r="AB284" s="128"/>
      <c r="AC284" s="54"/>
      <c r="AD284" s="64"/>
      <c r="AE284" s="69"/>
      <c r="AG284" s="21"/>
      <c r="AH284" s="128"/>
      <c r="AI284" s="54"/>
      <c r="AJ284" s="64"/>
      <c r="AK284" s="69"/>
      <c r="AM284" s="21"/>
      <c r="AN284" s="128"/>
      <c r="AO284" s="54"/>
      <c r="AP284" s="64"/>
      <c r="AQ284" s="69"/>
      <c r="AS284" s="21"/>
      <c r="AU284" s="21"/>
      <c r="AV284" s="128"/>
      <c r="AW284" s="54"/>
      <c r="AX284" s="64"/>
      <c r="AY284" s="69"/>
      <c r="BA284" s="21"/>
      <c r="BB284" s="128"/>
      <c r="BC284" s="54"/>
      <c r="BD284" s="64"/>
      <c r="BE284" s="69"/>
    </row>
    <row r="285" spans="1:57" x14ac:dyDescent="0.15">
      <c r="A285" s="2" t="s">
        <v>16</v>
      </c>
      <c r="C285" s="21"/>
      <c r="D285" s="128">
        <v>1</v>
      </c>
      <c r="E285" s="54"/>
      <c r="F285" s="64"/>
      <c r="G285" s="69"/>
      <c r="I285" s="21"/>
      <c r="J285" s="128"/>
      <c r="K285" s="54"/>
      <c r="L285" s="64"/>
      <c r="M285" s="69"/>
      <c r="O285" s="21"/>
      <c r="P285" s="128"/>
      <c r="Q285" s="54"/>
      <c r="R285" s="64"/>
      <c r="S285" s="69"/>
      <c r="U285" s="21"/>
      <c r="V285" s="128"/>
      <c r="W285" s="54"/>
      <c r="X285" s="64"/>
      <c r="Y285" s="69"/>
      <c r="AA285" s="21"/>
      <c r="AB285" s="128"/>
      <c r="AC285" s="54"/>
      <c r="AD285" s="64"/>
      <c r="AE285" s="69"/>
      <c r="AG285" s="21"/>
      <c r="AH285" s="128"/>
      <c r="AI285" s="54"/>
      <c r="AJ285" s="64"/>
      <c r="AK285" s="69"/>
      <c r="AM285" s="21"/>
      <c r="AN285" s="128"/>
      <c r="AO285" s="54"/>
      <c r="AP285" s="64"/>
      <c r="AQ285" s="69"/>
      <c r="AS285" s="21"/>
      <c r="AU285" s="21"/>
      <c r="AV285" s="128"/>
      <c r="AW285" s="54"/>
      <c r="AX285" s="64"/>
      <c r="AY285" s="69"/>
      <c r="BA285" s="21"/>
      <c r="BB285" s="128"/>
      <c r="BC285" s="54"/>
      <c r="BD285" s="64"/>
      <c r="BE285" s="69"/>
    </row>
    <row r="286" spans="1:57" x14ac:dyDescent="0.15">
      <c r="A286" s="2" t="s">
        <v>219</v>
      </c>
      <c r="C286" s="21"/>
      <c r="D286" s="128"/>
      <c r="E286" s="54"/>
      <c r="F286" s="64"/>
      <c r="G286" s="69"/>
      <c r="I286" s="21"/>
      <c r="J286" s="128">
        <v>1</v>
      </c>
      <c r="K286" s="54">
        <v>1</v>
      </c>
      <c r="L286" s="64">
        <v>1</v>
      </c>
      <c r="M286" s="69"/>
      <c r="O286" s="21"/>
      <c r="P286" s="128"/>
      <c r="Q286" s="54"/>
      <c r="R286" s="64"/>
      <c r="S286" s="69"/>
      <c r="U286" s="21"/>
      <c r="V286" s="128"/>
      <c r="W286" s="54"/>
      <c r="X286" s="64"/>
      <c r="Y286" s="69"/>
      <c r="AA286" s="21"/>
      <c r="AB286" s="128"/>
      <c r="AC286" s="54"/>
      <c r="AD286" s="64"/>
      <c r="AE286" s="69"/>
      <c r="AG286" s="21"/>
      <c r="AH286" s="128"/>
      <c r="AI286" s="54"/>
      <c r="AJ286" s="64"/>
      <c r="AK286" s="69"/>
      <c r="AM286" s="21"/>
      <c r="AN286" s="128"/>
      <c r="AO286" s="54"/>
      <c r="AP286" s="64"/>
      <c r="AQ286" s="69"/>
      <c r="AS286" s="21"/>
      <c r="AU286" s="21"/>
      <c r="AV286" s="128"/>
      <c r="AW286" s="54"/>
      <c r="AX286" s="64"/>
      <c r="AY286" s="69"/>
      <c r="BA286" s="21"/>
      <c r="BB286" s="128"/>
      <c r="BC286" s="54"/>
      <c r="BD286" s="64"/>
      <c r="BE286" s="69"/>
    </row>
    <row r="287" spans="1:57" x14ac:dyDescent="0.15">
      <c r="A287" s="5" t="s">
        <v>70</v>
      </c>
      <c r="C287" s="21"/>
      <c r="D287" s="128"/>
      <c r="E287" s="54"/>
      <c r="F287" s="64"/>
      <c r="G287" s="69"/>
      <c r="I287" s="21"/>
      <c r="J287" s="128"/>
      <c r="K287" s="54"/>
      <c r="L287" s="64"/>
      <c r="M287" s="69"/>
      <c r="O287" s="21"/>
      <c r="P287" s="128"/>
      <c r="Q287" s="54"/>
      <c r="R287" s="64"/>
      <c r="S287" s="69"/>
      <c r="U287" s="21"/>
      <c r="V287" s="128"/>
      <c r="W287" s="54"/>
      <c r="X287" s="64"/>
      <c r="Y287" s="69"/>
      <c r="AA287" s="21"/>
      <c r="AB287" s="128"/>
      <c r="AC287" s="54"/>
      <c r="AD287" s="64"/>
      <c r="AE287" s="69"/>
      <c r="AG287" s="21"/>
      <c r="AH287" s="128"/>
      <c r="AI287" s="54"/>
      <c r="AJ287" s="64"/>
      <c r="AK287" s="69"/>
      <c r="AM287" s="21"/>
      <c r="AN287" s="128"/>
      <c r="AO287" s="54"/>
      <c r="AP287" s="64"/>
      <c r="AQ287" s="69"/>
      <c r="AS287" s="21"/>
      <c r="AU287" s="21"/>
      <c r="AV287" s="128"/>
      <c r="AW287" s="54"/>
      <c r="AX287" s="64"/>
      <c r="AY287" s="69"/>
      <c r="BA287" s="21"/>
      <c r="BB287" s="128"/>
      <c r="BC287" s="54"/>
      <c r="BD287" s="64"/>
      <c r="BE287" s="69"/>
    </row>
    <row r="288" spans="1:57" x14ac:dyDescent="0.15">
      <c r="A288" s="5" t="s">
        <v>221</v>
      </c>
      <c r="C288" s="21"/>
      <c r="D288" s="128"/>
      <c r="E288" s="54"/>
      <c r="F288" s="64"/>
      <c r="G288" s="69"/>
      <c r="I288" s="21"/>
      <c r="J288" s="128"/>
      <c r="K288" s="54"/>
      <c r="L288" s="64"/>
      <c r="M288" s="69"/>
      <c r="O288" s="21"/>
      <c r="P288" s="128"/>
      <c r="Q288" s="54"/>
      <c r="R288" s="64"/>
      <c r="S288" s="69"/>
      <c r="U288" s="21"/>
      <c r="V288" s="128"/>
      <c r="W288" s="54"/>
      <c r="X288" s="64"/>
      <c r="Y288" s="69"/>
      <c r="AA288" s="21"/>
      <c r="AB288" s="128"/>
      <c r="AC288" s="54"/>
      <c r="AD288" s="64"/>
      <c r="AE288" s="69"/>
      <c r="AG288" s="21"/>
      <c r="AH288" s="128"/>
      <c r="AI288" s="54"/>
      <c r="AJ288" s="64"/>
      <c r="AK288" s="69"/>
      <c r="AM288" s="21"/>
      <c r="AN288" s="128"/>
      <c r="AO288" s="54"/>
      <c r="AP288" s="64"/>
      <c r="AQ288" s="69"/>
      <c r="AS288" s="21"/>
      <c r="AU288" s="21"/>
      <c r="AV288" s="128"/>
      <c r="AW288" s="54"/>
      <c r="AX288" s="64"/>
      <c r="AY288" s="69"/>
      <c r="BA288" s="21"/>
      <c r="BB288" s="128"/>
      <c r="BC288" s="54"/>
      <c r="BD288" s="64"/>
      <c r="BE288" s="69"/>
    </row>
    <row r="289" spans="1:57" x14ac:dyDescent="0.15">
      <c r="A289" s="5" t="s">
        <v>199</v>
      </c>
      <c r="C289" s="21"/>
      <c r="D289" s="128"/>
      <c r="E289" s="54"/>
      <c r="F289" s="64"/>
      <c r="G289" s="69"/>
      <c r="I289" s="21"/>
      <c r="J289" s="128"/>
      <c r="K289" s="54"/>
      <c r="L289" s="64"/>
      <c r="M289" s="69"/>
      <c r="O289" s="21"/>
      <c r="P289" s="128"/>
      <c r="Q289" s="54"/>
      <c r="R289" s="64"/>
      <c r="S289" s="69"/>
      <c r="U289" s="21"/>
      <c r="V289" s="128"/>
      <c r="W289" s="54"/>
      <c r="X289" s="64"/>
      <c r="Y289" s="69"/>
      <c r="AA289" s="21"/>
      <c r="AB289" s="128"/>
      <c r="AC289" s="54"/>
      <c r="AD289" s="64"/>
      <c r="AE289" s="69"/>
      <c r="AG289" s="21"/>
      <c r="AH289" s="128"/>
      <c r="AI289" s="54"/>
      <c r="AJ289" s="64"/>
      <c r="AK289" s="69"/>
      <c r="AM289" s="21"/>
      <c r="AN289" s="128"/>
      <c r="AO289" s="54"/>
      <c r="AP289" s="64"/>
      <c r="AQ289" s="69"/>
      <c r="AS289" s="21"/>
      <c r="AU289" s="21"/>
      <c r="AV289" s="128"/>
      <c r="AW289" s="54"/>
      <c r="AX289" s="64"/>
      <c r="AY289" s="69"/>
      <c r="BA289" s="21"/>
      <c r="BB289" s="128"/>
      <c r="BC289" s="54"/>
      <c r="BD289" s="64"/>
      <c r="BE289" s="69"/>
    </row>
    <row r="290" spans="1:57" x14ac:dyDescent="0.15">
      <c r="A290" s="5" t="s">
        <v>222</v>
      </c>
      <c r="C290" s="21"/>
      <c r="D290" s="128"/>
      <c r="E290" s="54"/>
      <c r="F290" s="64"/>
      <c r="G290" s="69"/>
      <c r="I290" s="21"/>
      <c r="J290" s="128"/>
      <c r="K290" s="54"/>
      <c r="L290" s="64"/>
      <c r="M290" s="69"/>
      <c r="O290" s="21"/>
      <c r="P290" s="128"/>
      <c r="Q290" s="54"/>
      <c r="R290" s="64"/>
      <c r="S290" s="69"/>
      <c r="U290" s="21"/>
      <c r="V290" s="128"/>
      <c r="W290" s="54"/>
      <c r="X290" s="64"/>
      <c r="Y290" s="69"/>
      <c r="AA290" s="21"/>
      <c r="AB290" s="128"/>
      <c r="AC290" s="54"/>
      <c r="AD290" s="64"/>
      <c r="AE290" s="69"/>
      <c r="AG290" s="21"/>
      <c r="AH290" s="128"/>
      <c r="AI290" s="54"/>
      <c r="AJ290" s="64"/>
      <c r="AK290" s="69"/>
      <c r="AM290" s="21"/>
      <c r="AN290" s="128"/>
      <c r="AO290" s="54"/>
      <c r="AP290" s="64"/>
      <c r="AQ290" s="69"/>
      <c r="AS290" s="21"/>
      <c r="AU290" s="21"/>
      <c r="AV290" s="128"/>
      <c r="AW290" s="54"/>
      <c r="AX290" s="64"/>
      <c r="AY290" s="69"/>
      <c r="BA290" s="21"/>
      <c r="BB290" s="128"/>
      <c r="BC290" s="54"/>
      <c r="BD290" s="64"/>
      <c r="BE290" s="69"/>
    </row>
    <row r="291" spans="1:57" x14ac:dyDescent="0.15">
      <c r="A291" s="2" t="s">
        <v>62</v>
      </c>
      <c r="C291" s="21"/>
      <c r="D291" s="128"/>
      <c r="E291" s="54"/>
      <c r="F291" s="64"/>
      <c r="G291" s="69"/>
      <c r="I291" s="21"/>
      <c r="J291" s="128"/>
      <c r="K291" s="54"/>
      <c r="L291" s="64"/>
      <c r="M291" s="69"/>
      <c r="O291" s="21"/>
      <c r="P291" s="128"/>
      <c r="Q291" s="54"/>
      <c r="R291" s="64"/>
      <c r="S291" s="69"/>
      <c r="U291" s="21"/>
      <c r="V291" s="128"/>
      <c r="W291" s="54"/>
      <c r="X291" s="64"/>
      <c r="Y291" s="69"/>
      <c r="AA291" s="21"/>
      <c r="AB291" s="128"/>
      <c r="AC291" s="54"/>
      <c r="AD291" s="64"/>
      <c r="AE291" s="69"/>
      <c r="AG291" s="21"/>
      <c r="AH291" s="128"/>
      <c r="AI291" s="54"/>
      <c r="AJ291" s="64"/>
      <c r="AK291" s="69"/>
      <c r="AM291" s="21"/>
      <c r="AN291" s="128"/>
      <c r="AO291" s="54"/>
      <c r="AP291" s="64"/>
      <c r="AQ291" s="69"/>
      <c r="AS291" s="21"/>
      <c r="AU291" s="21"/>
      <c r="AV291" s="128"/>
      <c r="AW291" s="54"/>
      <c r="AX291" s="64"/>
      <c r="AY291" s="69"/>
      <c r="BA291" s="21"/>
      <c r="BB291" s="128"/>
      <c r="BC291" s="54"/>
      <c r="BD291" s="64"/>
      <c r="BE291" s="69"/>
    </row>
    <row r="292" spans="1:57" x14ac:dyDescent="0.15">
      <c r="A292" s="2" t="s">
        <v>17</v>
      </c>
      <c r="C292" s="21"/>
      <c r="D292" s="128"/>
      <c r="E292" s="54"/>
      <c r="F292" s="64"/>
      <c r="G292" s="69"/>
      <c r="I292" s="21"/>
      <c r="J292" s="128"/>
      <c r="K292" s="54"/>
      <c r="L292" s="64"/>
      <c r="M292" s="69"/>
      <c r="O292" s="21"/>
      <c r="P292" s="128"/>
      <c r="Q292" s="54"/>
      <c r="R292" s="64"/>
      <c r="S292" s="69"/>
      <c r="U292" s="21"/>
      <c r="V292" s="128"/>
      <c r="W292" s="54"/>
      <c r="X292" s="64"/>
      <c r="Y292" s="69"/>
      <c r="AA292" s="21"/>
      <c r="AB292" s="128"/>
      <c r="AC292" s="54"/>
      <c r="AD292" s="64"/>
      <c r="AE292" s="69"/>
      <c r="AG292" s="21"/>
      <c r="AH292" s="128"/>
      <c r="AI292" s="54"/>
      <c r="AJ292" s="64"/>
      <c r="AK292" s="69"/>
      <c r="AM292" s="21"/>
      <c r="AN292" s="128"/>
      <c r="AO292" s="54"/>
      <c r="AP292" s="64"/>
      <c r="AQ292" s="69"/>
      <c r="AS292" s="21"/>
      <c r="AU292" s="21"/>
      <c r="AV292" s="128"/>
      <c r="AW292" s="54"/>
      <c r="AX292" s="64"/>
      <c r="AY292" s="69"/>
      <c r="BA292" s="21"/>
      <c r="BB292" s="128"/>
      <c r="BC292" s="54"/>
      <c r="BD292" s="64"/>
      <c r="BE292" s="69"/>
    </row>
    <row r="293" spans="1:57" x14ac:dyDescent="0.15">
      <c r="A293" s="2" t="s">
        <v>49</v>
      </c>
      <c r="C293" s="21">
        <v>1</v>
      </c>
      <c r="D293" s="128">
        <v>1</v>
      </c>
      <c r="E293" s="54">
        <v>1</v>
      </c>
      <c r="F293" s="64">
        <v>1</v>
      </c>
      <c r="G293" s="69">
        <v>2</v>
      </c>
      <c r="I293" s="21"/>
      <c r="J293" s="128">
        <v>1</v>
      </c>
      <c r="K293" s="54">
        <v>1</v>
      </c>
      <c r="L293" s="64">
        <v>1</v>
      </c>
      <c r="M293" s="69">
        <v>1</v>
      </c>
      <c r="O293" s="21">
        <v>2</v>
      </c>
      <c r="P293" s="128">
        <v>1</v>
      </c>
      <c r="Q293" s="54">
        <v>1</v>
      </c>
      <c r="R293" s="64">
        <v>1</v>
      </c>
      <c r="S293" s="69">
        <v>1</v>
      </c>
      <c r="U293" s="21">
        <v>1</v>
      </c>
      <c r="V293" s="128">
        <v>1</v>
      </c>
      <c r="W293" s="54">
        <v>1</v>
      </c>
      <c r="X293" s="64">
        <v>1</v>
      </c>
      <c r="Y293" s="69">
        <v>1</v>
      </c>
      <c r="AA293" s="21">
        <v>2</v>
      </c>
      <c r="AB293" s="128">
        <v>1</v>
      </c>
      <c r="AC293" s="54">
        <v>1</v>
      </c>
      <c r="AD293" s="64">
        <v>1</v>
      </c>
      <c r="AE293" s="69"/>
      <c r="AG293" s="21">
        <v>1</v>
      </c>
      <c r="AH293" s="128">
        <v>1</v>
      </c>
      <c r="AI293" s="54"/>
      <c r="AJ293" s="64"/>
      <c r="AK293" s="69">
        <v>1</v>
      </c>
      <c r="AM293" s="21"/>
      <c r="AN293" s="128">
        <v>1</v>
      </c>
      <c r="AO293" s="54"/>
      <c r="AP293" s="64">
        <v>1</v>
      </c>
      <c r="AQ293" s="69">
        <v>1</v>
      </c>
      <c r="AS293" s="21"/>
      <c r="AU293" s="21">
        <v>1</v>
      </c>
      <c r="AV293" s="128">
        <v>1</v>
      </c>
      <c r="AW293" s="54">
        <v>1</v>
      </c>
      <c r="AX293" s="64">
        <v>1</v>
      </c>
      <c r="AY293" s="69">
        <v>1</v>
      </c>
      <c r="BA293" s="21"/>
      <c r="BB293" s="128"/>
      <c r="BC293" s="54"/>
      <c r="BD293" s="64">
        <v>1</v>
      </c>
      <c r="BE293" s="69">
        <v>1</v>
      </c>
    </row>
    <row r="294" spans="1:57" x14ac:dyDescent="0.15">
      <c r="A294" s="2" t="s">
        <v>6</v>
      </c>
      <c r="C294" s="21"/>
      <c r="D294" s="128"/>
      <c r="E294" s="54"/>
      <c r="F294" s="64"/>
      <c r="G294" s="69"/>
      <c r="I294" s="21"/>
      <c r="J294" s="128"/>
      <c r="K294" s="54"/>
      <c r="L294" s="64"/>
      <c r="M294" s="69"/>
      <c r="O294" s="21"/>
      <c r="P294" s="128"/>
      <c r="Q294" s="54"/>
      <c r="R294" s="64"/>
      <c r="S294" s="69"/>
      <c r="U294" s="21"/>
      <c r="V294" s="128"/>
      <c r="W294" s="54"/>
      <c r="X294" s="64"/>
      <c r="Y294" s="69"/>
      <c r="AA294" s="21"/>
      <c r="AB294" s="128"/>
      <c r="AC294" s="54"/>
      <c r="AD294" s="64"/>
      <c r="AE294" s="69"/>
      <c r="AG294" s="21"/>
      <c r="AH294" s="128"/>
      <c r="AI294" s="54"/>
      <c r="AJ294" s="64"/>
      <c r="AK294" s="69"/>
      <c r="AM294" s="21"/>
      <c r="AN294" s="128"/>
      <c r="AO294" s="54"/>
      <c r="AP294" s="64"/>
      <c r="AQ294" s="69"/>
      <c r="AS294" s="21"/>
      <c r="AU294" s="21"/>
      <c r="AV294" s="128"/>
      <c r="AW294" s="54"/>
      <c r="AX294" s="64"/>
      <c r="AY294" s="69"/>
      <c r="BA294" s="21"/>
      <c r="BB294" s="128"/>
      <c r="BC294" s="54"/>
      <c r="BD294" s="64"/>
      <c r="BE294" s="69"/>
    </row>
    <row r="295" spans="1:57" x14ac:dyDescent="0.15">
      <c r="A295" s="2" t="s">
        <v>19</v>
      </c>
      <c r="C295" s="21">
        <v>2</v>
      </c>
      <c r="D295" s="128">
        <v>1</v>
      </c>
      <c r="E295" s="54">
        <v>2</v>
      </c>
      <c r="F295" s="64">
        <v>3</v>
      </c>
      <c r="G295" s="69">
        <v>3</v>
      </c>
      <c r="I295" s="21"/>
      <c r="J295" s="128"/>
      <c r="K295" s="54"/>
      <c r="L295" s="64"/>
      <c r="M295" s="69"/>
      <c r="N295">
        <v>2</v>
      </c>
      <c r="O295" s="21"/>
      <c r="P295" s="128">
        <v>1</v>
      </c>
      <c r="Q295" s="54">
        <v>1</v>
      </c>
      <c r="R295" s="64">
        <v>1</v>
      </c>
      <c r="S295" s="69">
        <v>1</v>
      </c>
      <c r="U295" s="21"/>
      <c r="V295" s="128"/>
      <c r="W295" s="54"/>
      <c r="X295" s="64"/>
      <c r="Y295" s="69"/>
      <c r="AA295" s="21"/>
      <c r="AB295" s="128"/>
      <c r="AC295" s="54"/>
      <c r="AD295" s="64"/>
      <c r="AE295" s="69"/>
      <c r="AG295" s="21"/>
      <c r="AH295" s="128"/>
      <c r="AI295" s="54"/>
      <c r="AJ295" s="64"/>
      <c r="AK295" s="69"/>
      <c r="AM295" s="21"/>
      <c r="AN295" s="128"/>
      <c r="AO295" s="54"/>
      <c r="AP295" s="64"/>
      <c r="AQ295" s="69"/>
      <c r="AS295" s="21"/>
      <c r="AU295" s="21"/>
      <c r="AV295" s="128"/>
      <c r="AW295" s="54"/>
      <c r="AX295" s="64"/>
      <c r="AY295" s="69"/>
      <c r="BA295" s="21"/>
      <c r="BB295" s="128"/>
      <c r="BC295" s="54"/>
      <c r="BD295" s="64"/>
      <c r="BE295" s="69"/>
    </row>
    <row r="296" spans="1:57" x14ac:dyDescent="0.15">
      <c r="A296" s="2" t="s">
        <v>68</v>
      </c>
      <c r="B296">
        <v>1</v>
      </c>
      <c r="C296" s="21"/>
      <c r="D296" s="128"/>
      <c r="E296" s="54"/>
      <c r="F296" s="64"/>
      <c r="G296" s="69"/>
      <c r="I296" s="21"/>
      <c r="J296" s="128"/>
      <c r="K296" s="54"/>
      <c r="L296" s="64"/>
      <c r="M296" s="69"/>
      <c r="N296">
        <v>1</v>
      </c>
      <c r="O296" s="21"/>
      <c r="P296" s="128"/>
      <c r="Q296" s="54"/>
      <c r="R296" s="64"/>
      <c r="S296" s="69"/>
      <c r="T296">
        <v>2</v>
      </c>
      <c r="U296" s="21"/>
      <c r="V296" s="128"/>
      <c r="W296" s="54"/>
      <c r="X296" s="64"/>
      <c r="Y296" s="69"/>
      <c r="Z296">
        <v>1</v>
      </c>
      <c r="AA296" s="21"/>
      <c r="AB296" s="128"/>
      <c r="AC296" s="54"/>
      <c r="AD296" s="64"/>
      <c r="AE296" s="69"/>
      <c r="AF296">
        <v>1</v>
      </c>
      <c r="AG296" s="21"/>
      <c r="AH296" s="128"/>
      <c r="AI296" s="54"/>
      <c r="AJ296" s="64"/>
      <c r="AK296" s="69"/>
      <c r="AL296">
        <v>1</v>
      </c>
      <c r="AM296" s="21"/>
      <c r="AN296" s="128"/>
      <c r="AO296" s="54"/>
      <c r="AP296" s="64"/>
      <c r="AQ296" s="69"/>
      <c r="AS296" s="21"/>
      <c r="AT296">
        <v>2</v>
      </c>
      <c r="AU296" s="21"/>
      <c r="AV296" s="128"/>
      <c r="AW296" s="54"/>
      <c r="AX296" s="64"/>
      <c r="AY296" s="69"/>
      <c r="AZ296">
        <v>2</v>
      </c>
      <c r="BA296" s="21"/>
      <c r="BB296" s="128"/>
      <c r="BC296" s="54"/>
      <c r="BD296" s="64"/>
      <c r="BE296" s="69"/>
    </row>
    <row r="297" spans="1:57" x14ac:dyDescent="0.15">
      <c r="A297" s="2" t="s">
        <v>37</v>
      </c>
      <c r="C297" s="21"/>
      <c r="D297" s="128"/>
      <c r="E297" s="54"/>
      <c r="F297" s="64"/>
      <c r="G297" s="69"/>
      <c r="I297" s="21"/>
      <c r="J297" s="128"/>
      <c r="K297" s="54"/>
      <c r="L297" s="64"/>
      <c r="M297" s="69"/>
      <c r="N297">
        <v>1</v>
      </c>
      <c r="O297" s="21"/>
      <c r="P297" s="128"/>
      <c r="Q297" s="54"/>
      <c r="R297" s="64"/>
      <c r="S297" s="69"/>
      <c r="U297" s="21"/>
      <c r="V297" s="128"/>
      <c r="W297" s="54"/>
      <c r="X297" s="64"/>
      <c r="Y297" s="69"/>
      <c r="AA297" s="21"/>
      <c r="AB297" s="128"/>
      <c r="AC297" s="54"/>
      <c r="AD297" s="64"/>
      <c r="AE297" s="69"/>
      <c r="AG297" s="21"/>
      <c r="AH297" s="128"/>
      <c r="AI297" s="54"/>
      <c r="AJ297" s="64"/>
      <c r="AK297" s="69"/>
      <c r="AM297" s="21"/>
      <c r="AN297" s="128"/>
      <c r="AO297" s="54"/>
      <c r="AP297" s="64"/>
      <c r="AQ297" s="69"/>
      <c r="AS297" s="21"/>
      <c r="AU297" s="21"/>
      <c r="AV297" s="128"/>
      <c r="AW297" s="54"/>
      <c r="AX297" s="64"/>
      <c r="AY297" s="69"/>
      <c r="BA297" s="21"/>
      <c r="BB297" s="128"/>
      <c r="BC297" s="54"/>
      <c r="BD297" s="64"/>
      <c r="BE297" s="69"/>
    </row>
    <row r="298" spans="1:57" x14ac:dyDescent="0.15">
      <c r="A298" s="2" t="s">
        <v>20</v>
      </c>
      <c r="C298" s="21"/>
      <c r="D298" s="128"/>
      <c r="E298" s="54"/>
      <c r="F298" s="64"/>
      <c r="G298" s="69"/>
      <c r="H298">
        <v>3</v>
      </c>
      <c r="I298" s="21">
        <v>3</v>
      </c>
      <c r="J298" s="128">
        <v>2</v>
      </c>
      <c r="K298" s="54">
        <v>2</v>
      </c>
      <c r="L298" s="64">
        <v>2</v>
      </c>
      <c r="M298" s="69">
        <v>2</v>
      </c>
      <c r="O298" s="21"/>
      <c r="P298" s="128"/>
      <c r="Q298" s="54"/>
      <c r="R298" s="64"/>
      <c r="S298" s="69"/>
      <c r="T298">
        <v>3</v>
      </c>
      <c r="U298" s="21">
        <v>1</v>
      </c>
      <c r="V298" s="128">
        <v>1</v>
      </c>
      <c r="W298" s="54">
        <v>1</v>
      </c>
      <c r="X298" s="64">
        <v>1</v>
      </c>
      <c r="Y298" s="69">
        <v>1</v>
      </c>
      <c r="AA298" s="21">
        <v>1</v>
      </c>
      <c r="AB298" s="128"/>
      <c r="AC298" s="54"/>
      <c r="AD298" s="64">
        <v>1</v>
      </c>
      <c r="AE298" s="69">
        <v>1</v>
      </c>
      <c r="AG298" s="21"/>
      <c r="AH298" s="128"/>
      <c r="AI298" s="54"/>
      <c r="AJ298" s="64"/>
      <c r="AK298" s="69"/>
      <c r="AM298" s="21"/>
      <c r="AN298" s="128"/>
      <c r="AO298" s="54"/>
      <c r="AP298" s="64"/>
      <c r="AQ298" s="69"/>
      <c r="AS298" s="21"/>
      <c r="AU298" s="21"/>
      <c r="AV298" s="128"/>
      <c r="AW298" s="54"/>
      <c r="AX298" s="64"/>
      <c r="AY298" s="69"/>
      <c r="AZ298">
        <v>1</v>
      </c>
      <c r="BA298" s="21">
        <v>1</v>
      </c>
      <c r="BB298" s="128">
        <v>1</v>
      </c>
      <c r="BC298" s="54"/>
      <c r="BD298" s="64"/>
      <c r="BE298" s="69">
        <v>1</v>
      </c>
    </row>
    <row r="299" spans="1:57" x14ac:dyDescent="0.15">
      <c r="A299" s="2" t="s">
        <v>11</v>
      </c>
      <c r="C299" s="21"/>
      <c r="D299" s="128"/>
      <c r="E299" s="54"/>
      <c r="F299" s="64"/>
      <c r="G299" s="69"/>
      <c r="I299" s="21"/>
      <c r="J299" s="128"/>
      <c r="K299" s="54"/>
      <c r="L299" s="64"/>
      <c r="M299" s="69"/>
      <c r="O299" s="21"/>
      <c r="P299" s="128"/>
      <c r="Q299" s="54"/>
      <c r="R299" s="64"/>
      <c r="S299" s="69"/>
      <c r="U299" s="21"/>
      <c r="V299" s="128"/>
      <c r="W299" s="54"/>
      <c r="X299" s="64"/>
      <c r="Y299" s="69"/>
      <c r="AA299" s="21"/>
      <c r="AB299" s="128"/>
      <c r="AC299" s="54"/>
      <c r="AD299" s="64"/>
      <c r="AE299" s="69"/>
      <c r="AG299" s="21"/>
      <c r="AH299" s="128"/>
      <c r="AI299" s="54"/>
      <c r="AJ299" s="64"/>
      <c r="AK299" s="69"/>
      <c r="AM299" s="21"/>
      <c r="AN299" s="128"/>
      <c r="AO299" s="54"/>
      <c r="AP299" s="64"/>
      <c r="AQ299" s="69"/>
      <c r="AS299" s="21"/>
      <c r="AU299" s="21"/>
      <c r="AV299" s="128"/>
      <c r="AW299" s="54"/>
      <c r="AX299" s="64"/>
      <c r="AY299" s="69"/>
      <c r="BA299" s="21"/>
      <c r="BB299" s="128"/>
      <c r="BC299" s="54"/>
      <c r="BD299" s="64"/>
      <c r="BE299" s="69"/>
    </row>
    <row r="300" spans="1:57" x14ac:dyDescent="0.15">
      <c r="A300" s="2" t="s">
        <v>21</v>
      </c>
      <c r="B300">
        <v>3</v>
      </c>
      <c r="C300" s="21">
        <v>3</v>
      </c>
      <c r="D300" s="128">
        <v>1</v>
      </c>
      <c r="E300" s="54">
        <v>3</v>
      </c>
      <c r="F300" s="64">
        <v>4</v>
      </c>
      <c r="G300" s="69">
        <v>3</v>
      </c>
      <c r="H300">
        <v>3</v>
      </c>
      <c r="I300" s="21">
        <v>2</v>
      </c>
      <c r="J300" s="128">
        <v>2</v>
      </c>
      <c r="K300" s="54">
        <v>1</v>
      </c>
      <c r="L300" s="64">
        <v>1</v>
      </c>
      <c r="M300" s="69">
        <v>2</v>
      </c>
      <c r="N300">
        <v>2</v>
      </c>
      <c r="O300" s="21">
        <v>1</v>
      </c>
      <c r="P300" s="128">
        <v>2</v>
      </c>
      <c r="Q300" s="54">
        <v>1</v>
      </c>
      <c r="R300" s="64">
        <v>1</v>
      </c>
      <c r="S300" s="69">
        <v>1</v>
      </c>
      <c r="U300" s="21">
        <v>1</v>
      </c>
      <c r="V300" s="128">
        <v>1</v>
      </c>
      <c r="W300" s="54">
        <v>1</v>
      </c>
      <c r="X300" s="64">
        <v>1</v>
      </c>
      <c r="Y300" s="69">
        <v>1</v>
      </c>
      <c r="Z300">
        <v>2</v>
      </c>
      <c r="AA300" s="21">
        <v>3</v>
      </c>
      <c r="AB300" s="128">
        <v>3</v>
      </c>
      <c r="AC300" s="54">
        <v>3</v>
      </c>
      <c r="AD300" s="64">
        <v>3</v>
      </c>
      <c r="AE300" s="69">
        <v>2</v>
      </c>
      <c r="AF300">
        <v>3</v>
      </c>
      <c r="AG300" s="21">
        <v>2</v>
      </c>
      <c r="AH300" s="128">
        <v>2</v>
      </c>
      <c r="AI300" s="54">
        <v>2</v>
      </c>
      <c r="AJ300" s="64">
        <v>1</v>
      </c>
      <c r="AK300" s="69">
        <v>1</v>
      </c>
      <c r="AL300">
        <v>3</v>
      </c>
      <c r="AM300" s="21">
        <v>2</v>
      </c>
      <c r="AN300" s="128">
        <v>1</v>
      </c>
      <c r="AO300" s="54">
        <v>1</v>
      </c>
      <c r="AP300" s="64">
        <v>2</v>
      </c>
      <c r="AQ300" s="69">
        <v>1</v>
      </c>
      <c r="AR300">
        <v>1</v>
      </c>
      <c r="AS300" s="21"/>
      <c r="AT300">
        <v>2</v>
      </c>
      <c r="AU300" s="21">
        <v>2</v>
      </c>
      <c r="AV300" s="128">
        <v>2</v>
      </c>
      <c r="AW300" s="54">
        <v>1</v>
      </c>
      <c r="AX300" s="64">
        <v>1</v>
      </c>
      <c r="AY300" s="69">
        <v>1</v>
      </c>
      <c r="AZ300">
        <v>3</v>
      </c>
      <c r="BA300" s="21">
        <v>1</v>
      </c>
      <c r="BB300" s="128">
        <v>1</v>
      </c>
      <c r="BC300" s="54">
        <v>1</v>
      </c>
      <c r="BD300" s="64">
        <v>1</v>
      </c>
      <c r="BE300" s="69">
        <v>1</v>
      </c>
    </row>
    <row r="301" spans="1:57" x14ac:dyDescent="0.15">
      <c r="A301" s="2" t="s">
        <v>197</v>
      </c>
      <c r="C301" s="21"/>
      <c r="D301" s="128"/>
      <c r="E301" s="54"/>
      <c r="F301" s="64"/>
      <c r="G301" s="69"/>
      <c r="I301" s="21"/>
      <c r="J301" s="128"/>
      <c r="K301" s="54"/>
      <c r="L301" s="64"/>
      <c r="M301" s="69"/>
      <c r="O301" s="21"/>
      <c r="P301" s="128"/>
      <c r="Q301" s="54"/>
      <c r="R301" s="64"/>
      <c r="S301" s="69"/>
      <c r="U301" s="21"/>
      <c r="V301" s="128"/>
      <c r="W301" s="54"/>
      <c r="X301" s="64"/>
      <c r="Y301" s="69"/>
      <c r="AA301" s="21"/>
      <c r="AB301" s="128"/>
      <c r="AC301" s="54"/>
      <c r="AD301" s="64"/>
      <c r="AE301" s="69"/>
      <c r="AG301" s="21"/>
      <c r="AH301" s="128"/>
      <c r="AI301" s="54"/>
      <c r="AJ301" s="64"/>
      <c r="AK301" s="69"/>
      <c r="AM301" s="21"/>
      <c r="AN301" s="128"/>
      <c r="AO301" s="54"/>
      <c r="AP301" s="64"/>
      <c r="AQ301" s="69"/>
      <c r="AS301" s="21"/>
      <c r="AU301" s="21"/>
      <c r="AV301" s="128"/>
      <c r="AW301" s="54"/>
      <c r="AX301" s="64"/>
      <c r="AY301" s="69"/>
      <c r="BA301" s="21"/>
      <c r="BB301" s="128"/>
      <c r="BC301" s="54"/>
      <c r="BD301" s="64"/>
      <c r="BE301" s="69"/>
    </row>
    <row r="302" spans="1:57" x14ac:dyDescent="0.15">
      <c r="A302" s="2" t="s">
        <v>196</v>
      </c>
      <c r="C302" s="21"/>
      <c r="D302" s="128"/>
      <c r="E302" s="54"/>
      <c r="F302" s="64"/>
      <c r="G302" s="69"/>
      <c r="I302" s="21"/>
      <c r="J302" s="128"/>
      <c r="K302" s="54"/>
      <c r="L302" s="64"/>
      <c r="M302" s="69"/>
      <c r="O302" s="21"/>
      <c r="P302" s="128"/>
      <c r="Q302" s="54"/>
      <c r="R302" s="64"/>
      <c r="S302" s="69"/>
      <c r="U302" s="21"/>
      <c r="V302" s="128"/>
      <c r="W302" s="54"/>
      <c r="X302" s="64"/>
      <c r="Y302" s="69"/>
      <c r="AA302" s="21"/>
      <c r="AB302" s="128"/>
      <c r="AC302" s="54"/>
      <c r="AD302" s="64"/>
      <c r="AE302" s="69"/>
      <c r="AG302" s="21"/>
      <c r="AH302" s="128"/>
      <c r="AI302" s="54"/>
      <c r="AJ302" s="64"/>
      <c r="AK302" s="69"/>
      <c r="AM302" s="21"/>
      <c r="AN302" s="128"/>
      <c r="AO302" s="54"/>
      <c r="AP302" s="64"/>
      <c r="AQ302" s="69"/>
      <c r="AS302" s="21"/>
      <c r="AU302" s="21"/>
      <c r="AV302" s="128"/>
      <c r="AW302" s="54"/>
      <c r="AX302" s="64"/>
      <c r="AY302" s="69"/>
      <c r="BA302" s="21"/>
      <c r="BB302" s="128"/>
      <c r="BC302" s="54"/>
      <c r="BD302" s="64"/>
      <c r="BE302" s="69"/>
    </row>
    <row r="303" spans="1:57" x14ac:dyDescent="0.15">
      <c r="A303" s="5" t="s">
        <v>198</v>
      </c>
      <c r="C303" s="21"/>
      <c r="D303" s="128"/>
      <c r="E303" s="54"/>
      <c r="F303" s="64"/>
      <c r="G303" s="69"/>
      <c r="I303" s="21"/>
      <c r="J303" s="128"/>
      <c r="K303" s="54"/>
      <c r="L303" s="64"/>
      <c r="M303" s="69"/>
      <c r="O303" s="21"/>
      <c r="P303" s="128"/>
      <c r="Q303" s="54"/>
      <c r="R303" s="64"/>
      <c r="S303" s="69"/>
      <c r="U303" s="21"/>
      <c r="V303" s="128"/>
      <c r="W303" s="54"/>
      <c r="X303" s="64"/>
      <c r="Y303" s="69"/>
      <c r="AA303" s="21"/>
      <c r="AB303" s="128"/>
      <c r="AC303" s="54"/>
      <c r="AD303" s="64"/>
      <c r="AE303" s="69"/>
      <c r="AG303" s="21"/>
      <c r="AH303" s="128"/>
      <c r="AI303" s="54"/>
      <c r="AJ303" s="64"/>
      <c r="AK303" s="69"/>
      <c r="AM303" s="21"/>
      <c r="AN303" s="128"/>
      <c r="AO303" s="54"/>
      <c r="AP303" s="64"/>
      <c r="AQ303" s="69"/>
      <c r="AS303" s="21"/>
      <c r="AU303" s="21"/>
      <c r="AV303" s="128"/>
      <c r="AW303" s="54"/>
      <c r="AX303" s="64"/>
      <c r="AY303" s="69"/>
      <c r="BA303" s="21"/>
      <c r="BB303" s="128"/>
      <c r="BC303" s="54"/>
      <c r="BD303" s="64"/>
      <c r="BE303" s="69"/>
    </row>
    <row r="304" spans="1:57" x14ac:dyDescent="0.15">
      <c r="A304" s="2" t="s">
        <v>35</v>
      </c>
      <c r="B304">
        <v>2</v>
      </c>
      <c r="C304" s="21">
        <v>1</v>
      </c>
      <c r="D304" s="128"/>
      <c r="E304" s="54">
        <v>2</v>
      </c>
      <c r="F304" s="64">
        <v>2</v>
      </c>
      <c r="G304" s="69">
        <v>2</v>
      </c>
      <c r="H304">
        <v>1</v>
      </c>
      <c r="I304" s="21">
        <v>1</v>
      </c>
      <c r="J304" s="128">
        <v>1</v>
      </c>
      <c r="K304" s="54">
        <v>1</v>
      </c>
      <c r="L304" s="64">
        <v>1</v>
      </c>
      <c r="M304" s="69">
        <v>1</v>
      </c>
      <c r="N304">
        <v>3</v>
      </c>
      <c r="O304" s="21">
        <v>1</v>
      </c>
      <c r="P304" s="128">
        <v>1</v>
      </c>
      <c r="Q304" s="54">
        <v>2</v>
      </c>
      <c r="R304" s="64">
        <v>1</v>
      </c>
      <c r="S304" s="69">
        <v>1</v>
      </c>
      <c r="T304">
        <v>1</v>
      </c>
      <c r="U304" s="21">
        <v>1</v>
      </c>
      <c r="V304" s="128">
        <v>2</v>
      </c>
      <c r="W304" s="54">
        <v>1</v>
      </c>
      <c r="X304" s="64">
        <v>2</v>
      </c>
      <c r="Y304" s="69">
        <v>1</v>
      </c>
      <c r="Z304">
        <v>1</v>
      </c>
      <c r="AA304" s="21">
        <v>1</v>
      </c>
      <c r="AB304" s="128">
        <v>1</v>
      </c>
      <c r="AC304" s="54">
        <v>1</v>
      </c>
      <c r="AD304" s="64">
        <v>1</v>
      </c>
      <c r="AE304" s="69">
        <v>1</v>
      </c>
      <c r="AF304">
        <v>2</v>
      </c>
      <c r="AG304" s="21">
        <v>1</v>
      </c>
      <c r="AH304" s="128">
        <v>1</v>
      </c>
      <c r="AI304" s="54">
        <v>1</v>
      </c>
      <c r="AJ304" s="64">
        <v>2</v>
      </c>
      <c r="AK304" s="69">
        <v>1</v>
      </c>
      <c r="AL304">
        <v>3</v>
      </c>
      <c r="AM304" s="21">
        <v>1</v>
      </c>
      <c r="AN304" s="128"/>
      <c r="AO304" s="54">
        <v>1</v>
      </c>
      <c r="AP304" s="64">
        <v>1</v>
      </c>
      <c r="AQ304" s="69">
        <v>1</v>
      </c>
      <c r="AS304" s="21"/>
      <c r="AT304">
        <v>1</v>
      </c>
      <c r="AU304" s="21">
        <v>1</v>
      </c>
      <c r="AV304" s="128">
        <v>1</v>
      </c>
      <c r="AW304" s="54">
        <v>1</v>
      </c>
      <c r="AX304" s="64">
        <v>1</v>
      </c>
      <c r="AY304" s="69">
        <v>1</v>
      </c>
      <c r="BA304" s="21">
        <v>1</v>
      </c>
      <c r="BB304" s="128"/>
      <c r="BC304" s="54"/>
      <c r="BD304" s="64"/>
      <c r="BE304" s="69">
        <v>1</v>
      </c>
    </row>
    <row r="305" spans="1:57" x14ac:dyDescent="0.15">
      <c r="A305" s="2" t="s">
        <v>110</v>
      </c>
      <c r="C305" s="21"/>
      <c r="D305" s="128"/>
      <c r="E305" s="54"/>
      <c r="F305" s="64"/>
      <c r="G305" s="69"/>
      <c r="I305" s="21"/>
      <c r="J305" s="128"/>
      <c r="K305" s="54"/>
      <c r="L305" s="64"/>
      <c r="M305" s="69"/>
      <c r="O305" s="21"/>
      <c r="P305" s="128"/>
      <c r="Q305" s="54"/>
      <c r="R305" s="64"/>
      <c r="S305" s="69"/>
      <c r="U305" s="21"/>
      <c r="V305" s="128"/>
      <c r="W305" s="54"/>
      <c r="X305" s="64"/>
      <c r="Y305" s="69"/>
      <c r="AA305" s="21"/>
      <c r="AB305" s="128"/>
      <c r="AC305" s="54"/>
      <c r="AD305" s="64"/>
      <c r="AE305" s="69"/>
      <c r="AG305" s="21"/>
      <c r="AH305" s="128"/>
      <c r="AI305" s="54"/>
      <c r="AJ305" s="64"/>
      <c r="AK305" s="69"/>
      <c r="AM305" s="21"/>
      <c r="AN305" s="128"/>
      <c r="AO305" s="54"/>
      <c r="AP305" s="64"/>
      <c r="AQ305" s="69"/>
      <c r="AS305" s="21"/>
      <c r="AU305" s="21"/>
      <c r="AV305" s="128"/>
      <c r="AW305" s="54"/>
      <c r="AX305" s="64"/>
      <c r="AY305" s="69"/>
      <c r="BA305" s="21"/>
      <c r="BB305" s="128"/>
      <c r="BC305" s="54"/>
      <c r="BD305" s="64"/>
      <c r="BE305" s="69"/>
    </row>
    <row r="306" spans="1:57" x14ac:dyDescent="0.15">
      <c r="A306" s="2" t="s">
        <v>25</v>
      </c>
      <c r="C306" s="21"/>
      <c r="D306" s="128">
        <v>1</v>
      </c>
      <c r="E306" s="54"/>
      <c r="F306" s="64">
        <v>1</v>
      </c>
      <c r="G306" s="69">
        <v>2</v>
      </c>
      <c r="I306" s="21"/>
      <c r="J306" s="128"/>
      <c r="K306" s="54"/>
      <c r="L306" s="64"/>
      <c r="M306" s="69"/>
      <c r="O306" s="21"/>
      <c r="P306" s="128"/>
      <c r="Q306" s="54"/>
      <c r="R306" s="64"/>
      <c r="S306" s="69"/>
      <c r="U306" s="21"/>
      <c r="V306" s="128"/>
      <c r="W306" s="54"/>
      <c r="X306" s="64"/>
      <c r="Y306" s="69"/>
      <c r="AA306" s="21"/>
      <c r="AB306" s="128"/>
      <c r="AC306" s="54"/>
      <c r="AD306" s="64"/>
      <c r="AE306" s="69"/>
      <c r="AG306" s="21"/>
      <c r="AH306" s="128"/>
      <c r="AI306" s="54"/>
      <c r="AJ306" s="64"/>
      <c r="AK306" s="69"/>
      <c r="AM306" s="21"/>
      <c r="AN306" s="128"/>
      <c r="AO306" s="54"/>
      <c r="AP306" s="64"/>
      <c r="AQ306" s="69"/>
      <c r="AS306" s="21"/>
      <c r="AU306" s="21"/>
      <c r="AV306" s="128"/>
      <c r="AW306" s="54"/>
      <c r="AX306" s="64"/>
      <c r="AY306" s="69"/>
      <c r="BA306" s="21"/>
      <c r="BB306" s="128"/>
      <c r="BC306" s="54"/>
      <c r="BD306" s="64"/>
      <c r="BE306" s="69"/>
    </row>
    <row r="307" spans="1:57" x14ac:dyDescent="0.15">
      <c r="A307" s="2" t="s">
        <v>38</v>
      </c>
      <c r="C307" s="21"/>
      <c r="D307" s="128"/>
      <c r="E307" s="54"/>
      <c r="F307" s="64"/>
      <c r="G307" s="69"/>
      <c r="I307" s="21"/>
      <c r="J307" s="128"/>
      <c r="K307" s="54"/>
      <c r="L307" s="64"/>
      <c r="M307" s="69"/>
      <c r="O307" s="21"/>
      <c r="P307" s="128"/>
      <c r="Q307" s="54"/>
      <c r="R307" s="64"/>
      <c r="S307" s="69"/>
      <c r="U307" s="21"/>
      <c r="V307" s="128"/>
      <c r="W307" s="54"/>
      <c r="X307" s="64"/>
      <c r="Y307" s="69"/>
      <c r="AA307" s="21"/>
      <c r="AB307" s="128"/>
      <c r="AC307" s="54"/>
      <c r="AD307" s="64"/>
      <c r="AE307" s="69"/>
      <c r="AG307" s="21"/>
      <c r="AH307" s="128"/>
      <c r="AI307" s="54"/>
      <c r="AJ307" s="64"/>
      <c r="AK307" s="69"/>
      <c r="AM307" s="21"/>
      <c r="AN307" s="128"/>
      <c r="AO307" s="54"/>
      <c r="AP307" s="64"/>
      <c r="AQ307" s="69"/>
      <c r="AS307" s="21"/>
      <c r="AU307" s="21"/>
      <c r="AV307" s="128"/>
      <c r="AW307" s="54"/>
      <c r="AX307" s="64"/>
      <c r="AY307" s="69"/>
      <c r="BA307" s="21"/>
      <c r="BB307" s="128"/>
      <c r="BC307" s="54"/>
      <c r="BD307" s="64"/>
      <c r="BE307" s="69"/>
    </row>
    <row r="308" spans="1:57" x14ac:dyDescent="0.15">
      <c r="A308" s="2" t="s">
        <v>27</v>
      </c>
      <c r="C308" s="21"/>
      <c r="D308" s="128"/>
      <c r="E308" s="54"/>
      <c r="F308" s="64"/>
      <c r="G308" s="69"/>
      <c r="I308" s="21"/>
      <c r="J308" s="128"/>
      <c r="K308" s="54"/>
      <c r="L308" s="64"/>
      <c r="M308" s="69"/>
      <c r="O308" s="21"/>
      <c r="P308" s="128"/>
      <c r="Q308" s="54"/>
      <c r="R308" s="64"/>
      <c r="S308" s="69"/>
      <c r="U308" s="21"/>
      <c r="V308" s="128"/>
      <c r="W308" s="54"/>
      <c r="X308" s="64"/>
      <c r="Y308" s="69"/>
      <c r="AA308" s="21"/>
      <c r="AB308" s="128"/>
      <c r="AC308" s="54"/>
      <c r="AD308" s="64"/>
      <c r="AE308" s="69"/>
      <c r="AG308" s="21"/>
      <c r="AH308" s="128"/>
      <c r="AI308" s="54"/>
      <c r="AJ308" s="64"/>
      <c r="AK308" s="69"/>
      <c r="AM308" s="21"/>
      <c r="AN308" s="128"/>
      <c r="AO308" s="54"/>
      <c r="AP308" s="64"/>
      <c r="AQ308" s="69"/>
      <c r="AS308" s="21"/>
      <c r="AU308" s="21"/>
      <c r="AV308" s="128"/>
      <c r="AW308" s="54"/>
      <c r="AX308" s="64"/>
      <c r="AY308" s="69"/>
      <c r="BA308" s="21"/>
      <c r="BB308" s="128"/>
      <c r="BC308" s="54"/>
      <c r="BD308" s="64"/>
      <c r="BE308" s="69"/>
    </row>
    <row r="309" spans="1:57" x14ac:dyDescent="0.15">
      <c r="A309" s="2" t="s">
        <v>229</v>
      </c>
      <c r="C309" s="21"/>
      <c r="D309" s="128"/>
      <c r="E309" s="54"/>
      <c r="F309" s="64"/>
      <c r="G309" s="69"/>
      <c r="I309" s="21"/>
      <c r="J309" s="128"/>
      <c r="K309" s="54"/>
      <c r="L309" s="64"/>
      <c r="M309" s="69"/>
      <c r="O309" s="21"/>
      <c r="P309" s="128"/>
      <c r="Q309" s="54"/>
      <c r="R309" s="64"/>
      <c r="S309" s="69"/>
      <c r="U309" s="21"/>
      <c r="V309" s="128"/>
      <c r="W309" s="54"/>
      <c r="X309" s="64"/>
      <c r="Y309" s="69"/>
      <c r="AA309" s="21"/>
      <c r="AB309" s="128"/>
      <c r="AC309" s="54"/>
      <c r="AD309" s="64"/>
      <c r="AE309" s="69"/>
      <c r="AG309" s="21"/>
      <c r="AH309" s="128"/>
      <c r="AI309" s="54"/>
      <c r="AJ309" s="64"/>
      <c r="AK309" s="69"/>
      <c r="AM309" s="21"/>
      <c r="AN309" s="128"/>
      <c r="AO309" s="54"/>
      <c r="AP309" s="64"/>
      <c r="AQ309" s="69"/>
      <c r="AS309" s="21"/>
      <c r="AU309" s="21"/>
      <c r="AV309" s="128"/>
      <c r="AW309" s="54"/>
      <c r="AX309" s="64"/>
      <c r="AY309" s="69"/>
      <c r="BA309" s="21"/>
      <c r="BB309" s="128"/>
      <c r="BC309" s="54"/>
      <c r="BD309" s="64"/>
      <c r="BE309" s="69"/>
    </row>
    <row r="310" spans="1:57" x14ac:dyDescent="0.15">
      <c r="A310" s="2" t="s">
        <v>36</v>
      </c>
      <c r="C310" s="21"/>
      <c r="D310" s="128">
        <v>1</v>
      </c>
      <c r="E310" s="54">
        <v>1</v>
      </c>
      <c r="F310" s="64"/>
      <c r="G310" s="69"/>
      <c r="I310" s="21"/>
      <c r="J310" s="128"/>
      <c r="K310" s="54"/>
      <c r="L310" s="64"/>
      <c r="M310" s="69"/>
      <c r="O310" s="21"/>
      <c r="P310" s="128"/>
      <c r="Q310" s="54"/>
      <c r="R310" s="64"/>
      <c r="S310" s="69"/>
      <c r="U310" s="21"/>
      <c r="V310" s="128"/>
      <c r="W310" s="54"/>
      <c r="X310" s="64"/>
      <c r="Y310" s="69"/>
      <c r="AA310" s="21"/>
      <c r="AB310" s="128"/>
      <c r="AC310" s="54"/>
      <c r="AD310" s="64"/>
      <c r="AE310" s="69"/>
      <c r="AG310" s="21"/>
      <c r="AH310" s="128"/>
      <c r="AI310" s="54"/>
      <c r="AJ310" s="64"/>
      <c r="AK310" s="69"/>
      <c r="AM310" s="21"/>
      <c r="AN310" s="128"/>
      <c r="AO310" s="54"/>
      <c r="AP310" s="64"/>
      <c r="AQ310" s="69"/>
      <c r="AS310" s="21"/>
      <c r="AU310" s="21"/>
      <c r="AV310" s="128"/>
      <c r="AW310" s="54"/>
      <c r="AX310" s="64"/>
      <c r="AY310" s="69"/>
      <c r="BA310" s="21"/>
      <c r="BB310" s="128"/>
      <c r="BC310" s="54"/>
      <c r="BD310" s="64"/>
      <c r="BE310" s="69"/>
    </row>
    <row r="311" spans="1:57" x14ac:dyDescent="0.15">
      <c r="A311" s="2" t="s">
        <v>50</v>
      </c>
      <c r="C311" s="21"/>
      <c r="D311" s="128"/>
      <c r="E311" s="54"/>
      <c r="F311" s="64"/>
      <c r="G311" s="69"/>
      <c r="I311" s="21"/>
      <c r="J311" s="128"/>
      <c r="K311" s="54"/>
      <c r="L311" s="64"/>
      <c r="M311" s="69"/>
      <c r="O311" s="21"/>
      <c r="P311" s="128"/>
      <c r="Q311" s="54"/>
      <c r="R311" s="64"/>
      <c r="S311" s="69"/>
      <c r="U311" s="21"/>
      <c r="V311" s="128"/>
      <c r="W311" s="54"/>
      <c r="X311" s="64"/>
      <c r="Y311" s="69"/>
      <c r="AA311" s="21"/>
      <c r="AB311" s="128"/>
      <c r="AC311" s="54"/>
      <c r="AD311" s="64"/>
      <c r="AE311" s="69"/>
      <c r="AG311" s="21"/>
      <c r="AH311" s="128"/>
      <c r="AI311" s="54"/>
      <c r="AJ311" s="64"/>
      <c r="AK311" s="69"/>
      <c r="AM311" s="21"/>
      <c r="AN311" s="128"/>
      <c r="AO311" s="54"/>
      <c r="AP311" s="64"/>
      <c r="AQ311" s="69"/>
      <c r="AS311" s="21"/>
      <c r="AU311" s="21"/>
      <c r="AV311" s="128"/>
      <c r="AW311" s="54"/>
      <c r="AX311" s="64"/>
      <c r="AY311" s="69"/>
      <c r="BA311" s="21"/>
      <c r="BB311" s="128"/>
      <c r="BC311" s="54"/>
      <c r="BD311" s="64"/>
      <c r="BE311" s="69"/>
    </row>
    <row r="312" spans="1:57" x14ac:dyDescent="0.15">
      <c r="A312" s="2" t="s">
        <v>231</v>
      </c>
      <c r="C312" s="21"/>
      <c r="D312" s="128"/>
      <c r="E312" s="54"/>
      <c r="F312" s="64"/>
      <c r="G312" s="69"/>
      <c r="I312" s="21"/>
      <c r="J312" s="128"/>
      <c r="K312" s="54"/>
      <c r="L312" s="64"/>
      <c r="M312" s="69"/>
      <c r="O312" s="21"/>
      <c r="P312" s="128"/>
      <c r="Q312" s="54"/>
      <c r="R312" s="64"/>
      <c r="S312" s="69"/>
      <c r="U312" s="21"/>
      <c r="V312" s="128"/>
      <c r="W312" s="54"/>
      <c r="X312" s="64"/>
      <c r="Y312" s="69"/>
      <c r="AA312" s="21"/>
      <c r="AB312" s="128"/>
      <c r="AC312" s="54"/>
      <c r="AD312" s="64"/>
      <c r="AE312" s="69"/>
      <c r="AG312" s="21"/>
      <c r="AH312" s="128"/>
      <c r="AI312" s="54"/>
      <c r="AJ312" s="64"/>
      <c r="AK312" s="69"/>
      <c r="AM312" s="21"/>
      <c r="AN312" s="128"/>
      <c r="AO312" s="54"/>
      <c r="AP312" s="64"/>
      <c r="AQ312" s="69"/>
      <c r="AS312" s="21"/>
      <c r="AU312" s="21"/>
      <c r="AV312" s="128"/>
      <c r="AW312" s="54"/>
      <c r="AX312" s="64"/>
      <c r="AY312" s="69"/>
      <c r="BA312" s="21"/>
      <c r="BB312" s="128"/>
      <c r="BC312" s="54"/>
      <c r="BD312" s="64"/>
      <c r="BE312" s="69"/>
    </row>
    <row r="313" spans="1:57" x14ac:dyDescent="0.15">
      <c r="A313" s="2" t="s">
        <v>58</v>
      </c>
      <c r="C313" s="21"/>
      <c r="D313" s="128"/>
      <c r="E313" s="54"/>
      <c r="F313" s="64"/>
      <c r="G313" s="69"/>
      <c r="I313" s="21"/>
      <c r="J313" s="128"/>
      <c r="K313" s="54"/>
      <c r="L313" s="64"/>
      <c r="M313" s="69"/>
      <c r="O313" s="21"/>
      <c r="P313" s="128"/>
      <c r="Q313" s="54"/>
      <c r="R313" s="64"/>
      <c r="S313" s="69"/>
      <c r="U313" s="21"/>
      <c r="V313" s="128"/>
      <c r="W313" s="54"/>
      <c r="X313" s="64"/>
      <c r="Y313" s="69"/>
      <c r="AA313" s="21"/>
      <c r="AB313" s="128"/>
      <c r="AC313" s="54"/>
      <c r="AD313" s="64"/>
      <c r="AE313" s="69"/>
      <c r="AG313" s="21"/>
      <c r="AH313" s="128"/>
      <c r="AI313" s="54"/>
      <c r="AJ313" s="64"/>
      <c r="AK313" s="69"/>
      <c r="AM313" s="21"/>
      <c r="AN313" s="128"/>
      <c r="AO313" s="54"/>
      <c r="AP313" s="64"/>
      <c r="AQ313" s="69"/>
      <c r="AS313" s="21"/>
      <c r="AU313" s="21"/>
      <c r="AV313" s="128"/>
      <c r="AW313" s="54"/>
      <c r="AX313" s="64"/>
      <c r="AY313" s="69"/>
      <c r="BA313" s="21"/>
      <c r="BB313" s="128"/>
      <c r="BC313" s="54"/>
      <c r="BD313" s="64"/>
      <c r="BE313" s="69"/>
    </row>
    <row r="314" spans="1:57" x14ac:dyDescent="0.15">
      <c r="A314" s="2" t="s">
        <v>57</v>
      </c>
      <c r="C314" s="21"/>
      <c r="D314" s="128"/>
      <c r="E314" s="54"/>
      <c r="F314" s="64"/>
      <c r="G314" s="69"/>
      <c r="I314" s="21"/>
      <c r="J314" s="128"/>
      <c r="K314" s="54"/>
      <c r="L314" s="64"/>
      <c r="M314" s="69"/>
      <c r="O314" s="21"/>
      <c r="P314" s="128"/>
      <c r="Q314" s="54"/>
      <c r="R314" s="64"/>
      <c r="S314" s="69"/>
      <c r="U314" s="21"/>
      <c r="V314" s="128"/>
      <c r="W314" s="54"/>
      <c r="X314" s="64"/>
      <c r="Y314" s="69"/>
      <c r="AA314" s="21"/>
      <c r="AB314" s="128"/>
      <c r="AC314" s="54"/>
      <c r="AD314" s="64"/>
      <c r="AE314" s="69"/>
      <c r="AG314" s="21"/>
      <c r="AH314" s="128"/>
      <c r="AI314" s="54"/>
      <c r="AJ314" s="64"/>
      <c r="AK314" s="69"/>
      <c r="AM314" s="21"/>
      <c r="AN314" s="128"/>
      <c r="AO314" s="54"/>
      <c r="AP314" s="64"/>
      <c r="AQ314" s="69"/>
      <c r="AS314" s="21"/>
      <c r="AU314" s="21"/>
      <c r="AV314" s="128"/>
      <c r="AW314" s="54"/>
      <c r="AX314" s="64"/>
      <c r="AY314" s="69"/>
      <c r="BA314" s="21"/>
      <c r="BB314" s="128"/>
      <c r="BC314" s="54"/>
      <c r="BD314" s="64"/>
      <c r="BE314" s="69"/>
    </row>
    <row r="315" spans="1:57" x14ac:dyDescent="0.15">
      <c r="A315" s="2" t="s">
        <v>28</v>
      </c>
      <c r="C315" s="21"/>
      <c r="D315" s="128"/>
      <c r="E315" s="54"/>
      <c r="F315" s="64"/>
      <c r="G315" s="69"/>
      <c r="I315" s="21"/>
      <c r="J315" s="128"/>
      <c r="K315" s="54"/>
      <c r="L315" s="64"/>
      <c r="M315" s="69"/>
      <c r="O315" s="21"/>
      <c r="P315" s="128"/>
      <c r="Q315" s="54"/>
      <c r="R315" s="64"/>
      <c r="S315" s="69"/>
      <c r="U315" s="21"/>
      <c r="V315" s="128"/>
      <c r="W315" s="54"/>
      <c r="X315" s="64"/>
      <c r="Y315" s="69"/>
      <c r="AA315" s="21"/>
      <c r="AB315" s="128"/>
      <c r="AC315" s="54"/>
      <c r="AD315" s="64"/>
      <c r="AE315" s="69"/>
      <c r="AG315" s="21"/>
      <c r="AH315" s="128"/>
      <c r="AI315" s="54"/>
      <c r="AJ315" s="64"/>
      <c r="AK315" s="69"/>
      <c r="AM315" s="21"/>
      <c r="AN315" s="128"/>
      <c r="AO315" s="54"/>
      <c r="AP315" s="64"/>
      <c r="AQ315" s="69"/>
      <c r="AS315" s="21"/>
      <c r="AU315" s="21"/>
      <c r="AV315" s="128"/>
      <c r="AW315" s="54"/>
      <c r="AX315" s="64"/>
      <c r="AY315" s="69"/>
      <c r="BA315" s="21"/>
      <c r="BB315" s="128"/>
      <c r="BC315" s="54"/>
      <c r="BD315" s="64"/>
      <c r="BE315" s="69"/>
    </row>
    <row r="316" spans="1:57" x14ac:dyDescent="0.15">
      <c r="A316" s="2" t="s">
        <v>194</v>
      </c>
      <c r="C316" s="21"/>
      <c r="D316" s="128"/>
      <c r="E316" s="54"/>
      <c r="F316" s="64"/>
      <c r="G316" s="69"/>
      <c r="I316" s="21"/>
      <c r="J316" s="128"/>
      <c r="K316" s="54"/>
      <c r="L316" s="64"/>
      <c r="M316" s="69"/>
      <c r="O316" s="21"/>
      <c r="P316" s="128"/>
      <c r="Q316" s="54"/>
      <c r="R316" s="64"/>
      <c r="S316" s="69"/>
      <c r="U316" s="21"/>
      <c r="V316" s="128"/>
      <c r="W316" s="54"/>
      <c r="X316" s="64"/>
      <c r="Y316" s="69"/>
      <c r="AA316" s="21"/>
      <c r="AB316" s="128"/>
      <c r="AC316" s="54"/>
      <c r="AD316" s="64"/>
      <c r="AE316" s="69"/>
      <c r="AG316" s="21"/>
      <c r="AH316" s="128"/>
      <c r="AI316" s="54"/>
      <c r="AJ316" s="64"/>
      <c r="AK316" s="69"/>
      <c r="AM316" s="21"/>
      <c r="AN316" s="128"/>
      <c r="AO316" s="54"/>
      <c r="AP316" s="64"/>
      <c r="AQ316" s="69"/>
      <c r="AS316" s="21"/>
      <c r="AU316" s="21"/>
      <c r="AV316" s="128"/>
      <c r="AW316" s="54"/>
      <c r="AX316" s="64"/>
      <c r="AY316" s="69"/>
      <c r="BA316" s="21"/>
      <c r="BB316" s="128"/>
      <c r="BC316" s="54"/>
      <c r="BD316" s="64"/>
      <c r="BE316" s="69"/>
    </row>
    <row r="317" spans="1:57" x14ac:dyDescent="0.15">
      <c r="A317" s="2" t="s">
        <v>10</v>
      </c>
      <c r="C317" s="21"/>
      <c r="D317" s="128"/>
      <c r="E317" s="54"/>
      <c r="F317" s="64"/>
      <c r="G317" s="69"/>
      <c r="I317" s="21"/>
      <c r="J317" s="128"/>
      <c r="K317" s="54"/>
      <c r="L317" s="64"/>
      <c r="M317" s="69"/>
      <c r="O317" s="21"/>
      <c r="P317" s="128"/>
      <c r="Q317" s="54"/>
      <c r="R317" s="64"/>
      <c r="S317" s="69"/>
      <c r="U317" s="21"/>
      <c r="V317" s="128"/>
      <c r="W317" s="54"/>
      <c r="X317" s="64"/>
      <c r="Y317" s="69"/>
      <c r="AA317" s="21"/>
      <c r="AB317" s="128"/>
      <c r="AC317" s="54"/>
      <c r="AD317" s="64"/>
      <c r="AE317" s="69"/>
      <c r="AG317" s="21"/>
      <c r="AH317" s="128"/>
      <c r="AI317" s="54"/>
      <c r="AJ317" s="64"/>
      <c r="AK317" s="69"/>
      <c r="AM317" s="21"/>
      <c r="AN317" s="128"/>
      <c r="AO317" s="54"/>
      <c r="AP317" s="64"/>
      <c r="AQ317" s="69"/>
      <c r="AS317" s="21"/>
      <c r="AU317" s="21"/>
      <c r="AV317" s="128"/>
      <c r="AW317" s="54"/>
      <c r="AX317" s="64"/>
      <c r="AY317" s="69"/>
      <c r="BA317" s="21"/>
      <c r="BB317" s="128"/>
      <c r="BC317" s="54"/>
      <c r="BD317" s="64"/>
      <c r="BE317" s="69"/>
    </row>
    <row r="318" spans="1:57" x14ac:dyDescent="0.15">
      <c r="A318" s="5" t="s">
        <v>174</v>
      </c>
      <c r="B318" s="114"/>
      <c r="C318" s="115"/>
      <c r="D318" s="111"/>
      <c r="E318" s="112"/>
      <c r="F318" s="113"/>
      <c r="G318" s="145"/>
      <c r="H318" s="114"/>
      <c r="I318" s="115"/>
      <c r="J318" s="111"/>
      <c r="K318" s="112"/>
      <c r="L318" s="113"/>
      <c r="M318" s="145"/>
      <c r="N318" s="114"/>
      <c r="O318" s="115"/>
      <c r="P318" s="111"/>
      <c r="Q318" s="112"/>
      <c r="R318" s="113"/>
      <c r="S318" s="145"/>
      <c r="T318" s="114"/>
      <c r="U318" s="115"/>
      <c r="V318" s="111"/>
      <c r="W318" s="112"/>
      <c r="X318" s="113"/>
      <c r="Y318" s="145"/>
      <c r="Z318" s="114"/>
      <c r="AA318" s="115"/>
      <c r="AB318" s="111"/>
      <c r="AC318" s="112"/>
      <c r="AD318" s="113"/>
      <c r="AE318" s="145"/>
      <c r="AF318" s="114"/>
      <c r="AG318" s="115"/>
      <c r="AH318" s="111"/>
      <c r="AI318" s="112"/>
      <c r="AJ318" s="113"/>
      <c r="AK318" s="145"/>
      <c r="AL318" s="114"/>
      <c r="AM318" s="115"/>
      <c r="AN318" s="111"/>
      <c r="AO318" s="112"/>
      <c r="AP318" s="113"/>
      <c r="AQ318" s="145"/>
      <c r="AR318" s="114"/>
      <c r="AS318" s="115"/>
      <c r="AT318" s="114"/>
      <c r="AU318" s="115"/>
      <c r="AV318" s="111"/>
      <c r="AW318" s="112"/>
      <c r="AX318" s="113"/>
      <c r="AY318" s="145"/>
      <c r="AZ318" s="114"/>
      <c r="BA318" s="115"/>
      <c r="BB318" s="111"/>
      <c r="BC318" s="112"/>
      <c r="BD318" s="113"/>
      <c r="BE318" s="145"/>
    </row>
    <row r="319" spans="1:57" x14ac:dyDescent="0.15">
      <c r="A319" s="2" t="s">
        <v>22</v>
      </c>
      <c r="C319" s="21"/>
      <c r="D319" s="128"/>
      <c r="E319" s="54"/>
      <c r="F319" s="64"/>
      <c r="G319" s="69"/>
      <c r="I319" s="21"/>
      <c r="J319" s="128"/>
      <c r="K319" s="54"/>
      <c r="L319" s="64"/>
      <c r="M319" s="69"/>
      <c r="O319" s="21"/>
      <c r="P319" s="128"/>
      <c r="Q319" s="54"/>
      <c r="R319" s="64"/>
      <c r="S319" s="69"/>
      <c r="U319" s="21"/>
      <c r="V319" s="128"/>
      <c r="W319" s="54"/>
      <c r="X319" s="64"/>
      <c r="Y319" s="69"/>
      <c r="AA319" s="21"/>
      <c r="AB319" s="128"/>
      <c r="AC319" s="54"/>
      <c r="AD319" s="64"/>
      <c r="AE319" s="69"/>
      <c r="AG319" s="21"/>
      <c r="AH319" s="128"/>
      <c r="AI319" s="54"/>
      <c r="AJ319" s="64"/>
      <c r="AK319" s="69"/>
      <c r="AM319" s="21"/>
      <c r="AN319" s="128"/>
      <c r="AO319" s="54"/>
      <c r="AP319" s="64"/>
      <c r="AQ319" s="69"/>
      <c r="AS319" s="21"/>
      <c r="AU319" s="21"/>
      <c r="AV319" s="128"/>
      <c r="AW319" s="54"/>
      <c r="AX319" s="64"/>
      <c r="AY319" s="69"/>
      <c r="BA319" s="21"/>
      <c r="BB319" s="128"/>
      <c r="BC319" s="54"/>
      <c r="BD319" s="64"/>
      <c r="BE319" s="69"/>
    </row>
    <row r="320" spans="1:57" x14ac:dyDescent="0.15">
      <c r="A320" s="5" t="s">
        <v>132</v>
      </c>
      <c r="C320" s="21"/>
      <c r="D320" s="128"/>
      <c r="E320" s="54"/>
      <c r="F320" s="64"/>
      <c r="G320" s="69"/>
      <c r="I320" s="21"/>
      <c r="J320" s="128"/>
      <c r="K320" s="54"/>
      <c r="L320" s="64"/>
      <c r="M320" s="69"/>
      <c r="O320" s="21"/>
      <c r="P320" s="128"/>
      <c r="Q320" s="54"/>
      <c r="R320" s="64"/>
      <c r="S320" s="69"/>
      <c r="U320" s="21"/>
      <c r="V320" s="128"/>
      <c r="W320" s="54"/>
      <c r="X320" s="64"/>
      <c r="Y320" s="69"/>
      <c r="AA320" s="21"/>
      <c r="AB320" s="128"/>
      <c r="AC320" s="54"/>
      <c r="AD320" s="64"/>
      <c r="AE320" s="69"/>
      <c r="AG320" s="21"/>
      <c r="AH320" s="128"/>
      <c r="AI320" s="54"/>
      <c r="AJ320" s="64"/>
      <c r="AK320" s="69"/>
      <c r="AM320" s="21"/>
      <c r="AN320" s="128"/>
      <c r="AO320" s="54"/>
      <c r="AP320" s="64"/>
      <c r="AQ320" s="69"/>
      <c r="AS320" s="21"/>
      <c r="AU320" s="21"/>
      <c r="AV320" s="128"/>
      <c r="AW320" s="54"/>
      <c r="AX320" s="64"/>
      <c r="AY320" s="69"/>
      <c r="BA320" s="21"/>
      <c r="BB320" s="128"/>
      <c r="BC320" s="54"/>
      <c r="BD320" s="64"/>
      <c r="BE320" s="69"/>
    </row>
    <row r="321" spans="1:57" x14ac:dyDescent="0.15">
      <c r="A321" s="5" t="s">
        <v>191</v>
      </c>
      <c r="C321" s="21"/>
      <c r="D321" s="128"/>
      <c r="E321" s="54"/>
      <c r="F321" s="64"/>
      <c r="G321" s="69"/>
      <c r="I321" s="21"/>
      <c r="J321" s="128"/>
      <c r="K321" s="54"/>
      <c r="L321" s="64"/>
      <c r="M321" s="69"/>
      <c r="O321" s="21"/>
      <c r="P321" s="128"/>
      <c r="Q321" s="54"/>
      <c r="R321" s="64"/>
      <c r="S321" s="69"/>
      <c r="U321" s="21"/>
      <c r="V321" s="128"/>
      <c r="W321" s="54"/>
      <c r="X321" s="64"/>
      <c r="Y321" s="69"/>
      <c r="AA321" s="21"/>
      <c r="AB321" s="128"/>
      <c r="AC321" s="54"/>
      <c r="AD321" s="64"/>
      <c r="AE321" s="69"/>
      <c r="AG321" s="21"/>
      <c r="AH321" s="128"/>
      <c r="AI321" s="54"/>
      <c r="AJ321" s="64"/>
      <c r="AK321" s="69"/>
      <c r="AM321" s="21"/>
      <c r="AN321" s="128"/>
      <c r="AO321" s="54"/>
      <c r="AP321" s="64"/>
      <c r="AQ321" s="69"/>
      <c r="AS321" s="21"/>
      <c r="AU321" s="21"/>
      <c r="AV321" s="128"/>
      <c r="AW321" s="54"/>
      <c r="AX321" s="64"/>
      <c r="AY321" s="69"/>
      <c r="BA321" s="21"/>
      <c r="BB321" s="128"/>
      <c r="BC321" s="54"/>
      <c r="BD321" s="64"/>
      <c r="BE321" s="69"/>
    </row>
    <row r="322" spans="1:57" x14ac:dyDescent="0.15">
      <c r="A322" s="5" t="s">
        <v>218</v>
      </c>
      <c r="C322" s="21"/>
      <c r="D322" s="128"/>
      <c r="E322" s="54"/>
      <c r="F322" s="64"/>
      <c r="G322" s="69"/>
      <c r="I322" s="21"/>
      <c r="J322" s="128"/>
      <c r="K322" s="54"/>
      <c r="L322" s="64"/>
      <c r="M322" s="69"/>
      <c r="O322" s="21"/>
      <c r="P322" s="128"/>
      <c r="Q322" s="54"/>
      <c r="R322" s="64"/>
      <c r="S322" s="69"/>
      <c r="U322" s="21"/>
      <c r="V322" s="128"/>
      <c r="W322" s="54"/>
      <c r="X322" s="64"/>
      <c r="Y322" s="69"/>
      <c r="AA322" s="21"/>
      <c r="AB322" s="128"/>
      <c r="AC322" s="54"/>
      <c r="AD322" s="64"/>
      <c r="AE322" s="69"/>
      <c r="AG322" s="21"/>
      <c r="AH322" s="128"/>
      <c r="AI322" s="54"/>
      <c r="AJ322" s="64"/>
      <c r="AK322" s="69"/>
      <c r="AM322" s="21"/>
      <c r="AN322" s="128"/>
      <c r="AO322" s="54"/>
      <c r="AP322" s="64"/>
      <c r="AQ322" s="69">
        <v>1</v>
      </c>
      <c r="AS322" s="21"/>
      <c r="AU322" s="21"/>
      <c r="AV322" s="128"/>
      <c r="AW322" s="54"/>
      <c r="AX322" s="64"/>
      <c r="AY322" s="69"/>
      <c r="BA322" s="21"/>
      <c r="BB322" s="128"/>
      <c r="BC322" s="54"/>
      <c r="BD322" s="64"/>
      <c r="BE322" s="69"/>
    </row>
    <row r="323" spans="1:57" x14ac:dyDescent="0.15">
      <c r="A323" s="5" t="s">
        <v>203</v>
      </c>
      <c r="C323" s="21"/>
      <c r="D323" s="128">
        <v>1</v>
      </c>
      <c r="E323" s="54"/>
      <c r="F323" s="64"/>
      <c r="G323" s="69"/>
      <c r="I323" s="21"/>
      <c r="J323" s="128"/>
      <c r="K323" s="54"/>
      <c r="L323" s="64"/>
      <c r="M323" s="69"/>
      <c r="O323" s="21"/>
      <c r="P323" s="128"/>
      <c r="Q323" s="54"/>
      <c r="R323" s="64"/>
      <c r="S323" s="69"/>
      <c r="U323" s="21"/>
      <c r="V323" s="128"/>
      <c r="W323" s="54"/>
      <c r="X323" s="64"/>
      <c r="Y323" s="69"/>
      <c r="AA323" s="21"/>
      <c r="AB323" s="128"/>
      <c r="AC323" s="54"/>
      <c r="AD323" s="64"/>
      <c r="AE323" s="69"/>
      <c r="AG323" s="21"/>
      <c r="AH323" s="128"/>
      <c r="AI323" s="54"/>
      <c r="AJ323" s="64"/>
      <c r="AK323" s="69"/>
      <c r="AM323" s="21"/>
      <c r="AN323" s="128"/>
      <c r="AO323" s="54"/>
      <c r="AP323" s="64"/>
      <c r="AQ323" s="69"/>
      <c r="AS323" s="21"/>
      <c r="AU323" s="21"/>
      <c r="AV323" s="128"/>
      <c r="AW323" s="54"/>
      <c r="AX323" s="64"/>
      <c r="AY323" s="69"/>
      <c r="BA323" s="21"/>
      <c r="BB323" s="128"/>
      <c r="BC323" s="54"/>
      <c r="BD323" s="64"/>
      <c r="BE323" s="69"/>
    </row>
    <row r="324" spans="1:57" x14ac:dyDescent="0.15">
      <c r="A324" s="2" t="s">
        <v>23</v>
      </c>
      <c r="C324" s="21"/>
      <c r="D324" s="128"/>
      <c r="E324" s="54"/>
      <c r="F324" s="64"/>
      <c r="G324" s="69"/>
      <c r="I324" s="21"/>
      <c r="J324" s="128"/>
      <c r="K324" s="54"/>
      <c r="L324" s="64"/>
      <c r="M324" s="69"/>
      <c r="O324" s="21"/>
      <c r="P324" s="128"/>
      <c r="Q324" s="54"/>
      <c r="R324" s="64"/>
      <c r="S324" s="69"/>
      <c r="U324" s="21"/>
      <c r="V324" s="128"/>
      <c r="W324" s="54"/>
      <c r="X324" s="64"/>
      <c r="Y324" s="69"/>
      <c r="AA324" s="21"/>
      <c r="AB324" s="128"/>
      <c r="AC324" s="54"/>
      <c r="AD324" s="64"/>
      <c r="AE324" s="69"/>
      <c r="AG324" s="21"/>
      <c r="AH324" s="128"/>
      <c r="AI324" s="54"/>
      <c r="AJ324" s="64"/>
      <c r="AK324" s="69"/>
      <c r="AM324" s="21"/>
      <c r="AN324" s="128"/>
      <c r="AO324" s="54"/>
      <c r="AP324" s="64"/>
      <c r="AQ324" s="69"/>
      <c r="AS324" s="21"/>
      <c r="AU324" s="21"/>
      <c r="AV324" s="128"/>
      <c r="AW324" s="54"/>
      <c r="AX324" s="64"/>
      <c r="AY324" s="69"/>
      <c r="BA324" s="21"/>
      <c r="BB324" s="128"/>
      <c r="BC324" s="54"/>
      <c r="BD324" s="64"/>
      <c r="BE324" s="69"/>
    </row>
    <row r="325" spans="1:57" x14ac:dyDescent="0.15">
      <c r="A325" s="2" t="s">
        <v>208</v>
      </c>
      <c r="C325" s="21"/>
      <c r="D325" s="128"/>
      <c r="E325" s="54"/>
      <c r="F325" s="64"/>
      <c r="G325" s="69"/>
      <c r="I325" s="21"/>
      <c r="J325" s="128"/>
      <c r="K325" s="54"/>
      <c r="L325" s="64"/>
      <c r="M325" s="69"/>
      <c r="O325" s="21"/>
      <c r="P325" s="128"/>
      <c r="Q325" s="54"/>
      <c r="R325" s="64"/>
      <c r="S325" s="69"/>
      <c r="U325" s="21"/>
      <c r="V325" s="128"/>
      <c r="W325" s="54"/>
      <c r="X325" s="64"/>
      <c r="Y325" s="69"/>
      <c r="AA325" s="21"/>
      <c r="AB325" s="128"/>
      <c r="AC325" s="54"/>
      <c r="AD325" s="64"/>
      <c r="AE325" s="69"/>
      <c r="AG325" s="21"/>
      <c r="AH325" s="128"/>
      <c r="AI325" s="54"/>
      <c r="AJ325" s="64"/>
      <c r="AK325" s="69"/>
      <c r="AM325" s="21"/>
      <c r="AN325" s="128"/>
      <c r="AO325" s="54"/>
      <c r="AP325" s="64"/>
      <c r="AQ325" s="69">
        <v>1</v>
      </c>
      <c r="AS325" s="21"/>
      <c r="AU325" s="21">
        <v>1</v>
      </c>
      <c r="AV325" s="128">
        <v>1</v>
      </c>
      <c r="AW325" s="54">
        <v>1</v>
      </c>
      <c r="AX325" s="64">
        <v>1</v>
      </c>
      <c r="AY325" s="69">
        <v>1</v>
      </c>
      <c r="BA325" s="21"/>
      <c r="BB325" s="128"/>
      <c r="BC325" s="54"/>
      <c r="BD325" s="64"/>
      <c r="BE325" s="69"/>
    </row>
    <row r="326" spans="1:57" x14ac:dyDescent="0.15">
      <c r="A326" s="2" t="s">
        <v>41</v>
      </c>
      <c r="C326" s="21"/>
      <c r="D326" s="128"/>
      <c r="E326" s="54"/>
      <c r="F326" s="64"/>
      <c r="G326" s="69"/>
      <c r="I326" s="21"/>
      <c r="J326" s="128"/>
      <c r="K326" s="54"/>
      <c r="L326" s="64"/>
      <c r="M326" s="69"/>
      <c r="O326" s="21"/>
      <c r="P326" s="128"/>
      <c r="Q326" s="54"/>
      <c r="R326" s="64"/>
      <c r="S326" s="69"/>
      <c r="U326" s="21"/>
      <c r="V326" s="128"/>
      <c r="W326" s="54"/>
      <c r="X326" s="64"/>
      <c r="Y326" s="69"/>
      <c r="AA326" s="21"/>
      <c r="AB326" s="128"/>
      <c r="AC326" s="54"/>
      <c r="AD326" s="64"/>
      <c r="AE326" s="69"/>
      <c r="AG326" s="21"/>
      <c r="AH326" s="128"/>
      <c r="AI326" s="54"/>
      <c r="AJ326" s="64"/>
      <c r="AK326" s="69"/>
      <c r="AM326" s="21"/>
      <c r="AN326" s="128"/>
      <c r="AO326" s="54"/>
      <c r="AP326" s="64"/>
      <c r="AQ326" s="69"/>
      <c r="AS326" s="21"/>
      <c r="AU326" s="21"/>
      <c r="AV326" s="128"/>
      <c r="AW326" s="54"/>
      <c r="AX326" s="64"/>
      <c r="AY326" s="69"/>
      <c r="BA326" s="21"/>
      <c r="BB326" s="128"/>
      <c r="BC326" s="54"/>
      <c r="BD326" s="64"/>
      <c r="BE326" s="69"/>
    </row>
    <row r="327" spans="1:57" x14ac:dyDescent="0.15">
      <c r="A327" s="5" t="s">
        <v>95</v>
      </c>
      <c r="C327" s="21"/>
      <c r="D327" s="128"/>
      <c r="E327" s="54"/>
      <c r="F327" s="64"/>
      <c r="G327" s="69"/>
      <c r="I327" s="21"/>
      <c r="J327" s="128"/>
      <c r="K327" s="54"/>
      <c r="L327" s="64"/>
      <c r="M327" s="69"/>
      <c r="O327" s="21"/>
      <c r="P327" s="128"/>
      <c r="Q327" s="54"/>
      <c r="R327" s="64"/>
      <c r="S327" s="69"/>
      <c r="U327" s="21"/>
      <c r="V327" s="128"/>
      <c r="W327" s="54"/>
      <c r="X327" s="64"/>
      <c r="Y327" s="69"/>
      <c r="AA327" s="21"/>
      <c r="AB327" s="128"/>
      <c r="AC327" s="54"/>
      <c r="AD327" s="64"/>
      <c r="AE327" s="69"/>
      <c r="AG327" s="21"/>
      <c r="AH327" s="128"/>
      <c r="AI327" s="54"/>
      <c r="AJ327" s="64"/>
      <c r="AK327" s="69"/>
      <c r="AM327" s="21"/>
      <c r="AN327" s="128"/>
      <c r="AO327" s="54"/>
      <c r="AP327" s="64"/>
      <c r="AQ327" s="69"/>
      <c r="AS327" s="21"/>
      <c r="AU327" s="21"/>
      <c r="AV327" s="128"/>
      <c r="AW327" s="54"/>
      <c r="AX327" s="64"/>
      <c r="AY327" s="69"/>
      <c r="BA327" s="21"/>
      <c r="BB327" s="128"/>
      <c r="BC327" s="54"/>
      <c r="BD327" s="64"/>
      <c r="BE327" s="69"/>
    </row>
    <row r="328" spans="1:57" x14ac:dyDescent="0.15">
      <c r="A328" s="5" t="s">
        <v>111</v>
      </c>
      <c r="C328" s="21"/>
      <c r="D328" s="128"/>
      <c r="E328" s="54"/>
      <c r="F328" s="64"/>
      <c r="G328" s="69"/>
      <c r="I328" s="21"/>
      <c r="J328" s="128"/>
      <c r="K328" s="54"/>
      <c r="L328" s="64"/>
      <c r="M328" s="69"/>
      <c r="O328" s="21"/>
      <c r="P328" s="128"/>
      <c r="Q328" s="54"/>
      <c r="R328" s="64"/>
      <c r="S328" s="69"/>
      <c r="U328" s="21"/>
      <c r="V328" s="128"/>
      <c r="W328" s="54"/>
      <c r="X328" s="64"/>
      <c r="Y328" s="69"/>
      <c r="AA328" s="21"/>
      <c r="AB328" s="128"/>
      <c r="AC328" s="54"/>
      <c r="AD328" s="64"/>
      <c r="AE328" s="69"/>
      <c r="AG328" s="21"/>
      <c r="AH328" s="128"/>
      <c r="AI328" s="54"/>
      <c r="AJ328" s="64"/>
      <c r="AK328" s="69"/>
      <c r="AM328" s="21"/>
      <c r="AN328" s="128"/>
      <c r="AO328" s="54"/>
      <c r="AP328" s="64"/>
      <c r="AQ328" s="69"/>
      <c r="AS328" s="21"/>
      <c r="AU328" s="21"/>
      <c r="AV328" s="128"/>
      <c r="AW328" s="54"/>
      <c r="AX328" s="64"/>
      <c r="AY328" s="69"/>
      <c r="BA328" s="21"/>
      <c r="BB328" s="128"/>
      <c r="BC328" s="54"/>
      <c r="BD328" s="64"/>
      <c r="BE328" s="69"/>
    </row>
    <row r="329" spans="1:57" x14ac:dyDescent="0.15">
      <c r="A329" s="2" t="s">
        <v>7</v>
      </c>
      <c r="B329">
        <v>2</v>
      </c>
      <c r="C329" s="21">
        <v>3</v>
      </c>
      <c r="D329" s="128">
        <v>1</v>
      </c>
      <c r="E329" s="54">
        <v>1</v>
      </c>
      <c r="F329" s="64">
        <v>2</v>
      </c>
      <c r="G329" s="69">
        <v>2</v>
      </c>
      <c r="I329" s="21"/>
      <c r="J329" s="128"/>
      <c r="K329" s="54"/>
      <c r="L329" s="64"/>
      <c r="M329" s="69"/>
      <c r="O329" s="21"/>
      <c r="P329" s="128"/>
      <c r="Q329" s="54"/>
      <c r="R329" s="64"/>
      <c r="S329" s="69"/>
      <c r="U329" s="21"/>
      <c r="V329" s="128"/>
      <c r="W329" s="54"/>
      <c r="X329" s="64"/>
      <c r="Y329" s="69"/>
      <c r="AA329" s="21"/>
      <c r="AB329" s="128"/>
      <c r="AC329" s="54"/>
      <c r="AD329" s="64"/>
      <c r="AE329" s="69"/>
      <c r="AG329" s="21"/>
      <c r="AH329" s="128"/>
      <c r="AI329" s="54"/>
      <c r="AJ329" s="64"/>
      <c r="AK329" s="69"/>
      <c r="AM329" s="21"/>
      <c r="AN329" s="128"/>
      <c r="AO329" s="54"/>
      <c r="AP329" s="64"/>
      <c r="AQ329" s="69"/>
      <c r="AS329" s="21"/>
      <c r="AU329" s="21"/>
      <c r="AV329" s="128"/>
      <c r="AW329" s="54"/>
      <c r="AX329" s="64"/>
      <c r="AY329" s="69"/>
      <c r="BA329" s="21"/>
      <c r="BB329" s="128"/>
      <c r="BC329" s="54"/>
      <c r="BD329" s="64"/>
      <c r="BE329" s="69"/>
    </row>
    <row r="330" spans="1:57" x14ac:dyDescent="0.15">
      <c r="A330" s="2" t="s">
        <v>32</v>
      </c>
      <c r="C330" s="21"/>
      <c r="D330" s="128"/>
      <c r="E330" s="54"/>
      <c r="F330" s="64"/>
      <c r="G330" s="69"/>
      <c r="I330" s="21"/>
      <c r="J330" s="128"/>
      <c r="K330" s="54"/>
      <c r="L330" s="64"/>
      <c r="M330" s="69"/>
      <c r="O330" s="21"/>
      <c r="P330" s="128"/>
      <c r="Q330" s="54">
        <v>1</v>
      </c>
      <c r="R330" s="64"/>
      <c r="S330" s="69"/>
      <c r="U330" s="21"/>
      <c r="V330" s="128"/>
      <c r="W330" s="54"/>
      <c r="X330" s="64"/>
      <c r="Y330" s="69"/>
      <c r="AA330" s="21"/>
      <c r="AB330" s="128"/>
      <c r="AC330" s="54"/>
      <c r="AD330" s="64"/>
      <c r="AE330" s="69"/>
      <c r="AG330" s="21"/>
      <c r="AH330" s="128"/>
      <c r="AI330" s="54"/>
      <c r="AJ330" s="64"/>
      <c r="AK330" s="69"/>
      <c r="AM330" s="21"/>
      <c r="AN330" s="128"/>
      <c r="AO330" s="54"/>
      <c r="AP330" s="64"/>
      <c r="AQ330" s="69"/>
      <c r="AS330" s="21"/>
      <c r="AU330" s="21"/>
      <c r="AV330" s="128"/>
      <c r="AW330" s="54"/>
      <c r="AX330" s="64"/>
      <c r="AY330" s="69"/>
      <c r="BA330" s="21"/>
      <c r="BB330" s="128"/>
      <c r="BC330" s="54"/>
      <c r="BD330" s="64"/>
      <c r="BE330" s="69"/>
    </row>
    <row r="331" spans="1:57" x14ac:dyDescent="0.15">
      <c r="A331" s="5" t="s">
        <v>72</v>
      </c>
      <c r="C331" s="21"/>
      <c r="D331" s="128"/>
      <c r="E331" s="54"/>
      <c r="F331" s="64"/>
      <c r="G331" s="69"/>
      <c r="I331" s="21"/>
      <c r="J331" s="128"/>
      <c r="K331" s="54"/>
      <c r="L331" s="64"/>
      <c r="M331" s="69"/>
      <c r="O331" s="21"/>
      <c r="P331" s="128"/>
      <c r="Q331" s="54"/>
      <c r="R331" s="64"/>
      <c r="S331" s="69"/>
      <c r="U331" s="21"/>
      <c r="V331" s="128"/>
      <c r="W331" s="54"/>
      <c r="X331" s="64"/>
      <c r="Y331" s="69"/>
      <c r="AA331" s="21"/>
      <c r="AB331" s="128"/>
      <c r="AC331" s="54"/>
      <c r="AD331" s="64"/>
      <c r="AE331" s="69"/>
      <c r="AG331" s="21"/>
      <c r="AH331" s="128"/>
      <c r="AI331" s="54"/>
      <c r="AJ331" s="64"/>
      <c r="AK331" s="69"/>
      <c r="AM331" s="21"/>
      <c r="AN331" s="128"/>
      <c r="AO331" s="54"/>
      <c r="AP331" s="64"/>
      <c r="AQ331" s="69"/>
      <c r="AS331" s="21"/>
      <c r="AU331" s="21"/>
      <c r="AV331" s="128"/>
      <c r="AW331" s="54"/>
      <c r="AX331" s="64"/>
      <c r="AY331" s="69"/>
      <c r="BA331" s="21"/>
      <c r="BB331" s="128"/>
      <c r="BC331" s="54"/>
      <c r="BD331" s="64"/>
      <c r="BE331" s="69"/>
    </row>
    <row r="332" spans="1:57" x14ac:dyDescent="0.15">
      <c r="A332" s="5" t="s">
        <v>61</v>
      </c>
      <c r="C332" s="21"/>
      <c r="D332" s="128"/>
      <c r="E332" s="54"/>
      <c r="F332" s="64"/>
      <c r="G332" s="69"/>
      <c r="I332" s="21"/>
      <c r="J332" s="128"/>
      <c r="K332" s="54"/>
      <c r="L332" s="64"/>
      <c r="M332" s="69"/>
      <c r="O332" s="21"/>
      <c r="P332" s="128"/>
      <c r="Q332" s="54"/>
      <c r="R332" s="64"/>
      <c r="S332" s="69"/>
      <c r="U332" s="21"/>
      <c r="V332" s="128"/>
      <c r="W332" s="54"/>
      <c r="X332" s="64"/>
      <c r="Y332" s="69"/>
      <c r="AA332" s="21"/>
      <c r="AB332" s="128"/>
      <c r="AC332" s="54"/>
      <c r="AD332" s="64"/>
      <c r="AE332" s="69"/>
      <c r="AG332" s="21"/>
      <c r="AH332" s="128"/>
      <c r="AI332" s="54"/>
      <c r="AJ332" s="64"/>
      <c r="AK332" s="69"/>
      <c r="AM332" s="21"/>
      <c r="AN332" s="128"/>
      <c r="AO332" s="54"/>
      <c r="AP332" s="64"/>
      <c r="AQ332" s="69"/>
      <c r="AS332" s="21"/>
      <c r="AU332" s="21"/>
      <c r="AV332" s="128"/>
      <c r="AW332" s="54"/>
      <c r="AX332" s="64"/>
      <c r="AY332" s="69"/>
      <c r="BA332" s="21"/>
      <c r="BB332" s="128"/>
      <c r="BC332" s="54"/>
      <c r="BD332" s="64"/>
      <c r="BE332" s="69"/>
    </row>
    <row r="333" spans="1:57" x14ac:dyDescent="0.15">
      <c r="A333" s="5" t="s">
        <v>42</v>
      </c>
      <c r="C333" s="21">
        <v>2</v>
      </c>
      <c r="D333" s="128">
        <v>3</v>
      </c>
      <c r="E333" s="54">
        <v>2</v>
      </c>
      <c r="F333" s="64">
        <v>2</v>
      </c>
      <c r="G333" s="69">
        <v>2</v>
      </c>
      <c r="I333" s="21"/>
      <c r="J333" s="128">
        <v>2</v>
      </c>
      <c r="K333" s="54">
        <v>1</v>
      </c>
      <c r="L333" s="64">
        <v>1</v>
      </c>
      <c r="M333" s="69">
        <v>2</v>
      </c>
      <c r="O333" s="21"/>
      <c r="P333" s="128"/>
      <c r="Q333" s="54">
        <v>1</v>
      </c>
      <c r="R333" s="64"/>
      <c r="S333" s="69">
        <v>1</v>
      </c>
      <c r="U333" s="21"/>
      <c r="V333" s="128"/>
      <c r="W333" s="54"/>
      <c r="X333" s="64"/>
      <c r="Y333" s="69"/>
      <c r="AA333" s="21"/>
      <c r="AB333" s="128"/>
      <c r="AC333" s="54"/>
      <c r="AD333" s="64"/>
      <c r="AE333" s="69"/>
      <c r="AG333" s="21"/>
      <c r="AH333" s="128"/>
      <c r="AI333" s="54"/>
      <c r="AJ333" s="64"/>
      <c r="AK333" s="69"/>
      <c r="AM333" s="21"/>
      <c r="AN333" s="128"/>
      <c r="AO333" s="54"/>
      <c r="AP333" s="64">
        <v>1</v>
      </c>
      <c r="AQ333" s="69"/>
      <c r="AS333" s="21"/>
      <c r="AU333" s="21"/>
      <c r="AV333" s="128"/>
      <c r="AW333" s="54"/>
      <c r="AX333" s="64"/>
      <c r="AY333" s="69"/>
      <c r="BA333" s="21"/>
      <c r="BB333" s="128"/>
      <c r="BC333" s="54"/>
      <c r="BD333" s="64"/>
      <c r="BE333" s="69">
        <v>1</v>
      </c>
    </row>
    <row r="334" spans="1:57" x14ac:dyDescent="0.15">
      <c r="A334" s="5" t="s">
        <v>205</v>
      </c>
      <c r="C334" s="21"/>
      <c r="D334" s="128"/>
      <c r="E334" s="54"/>
      <c r="F334" s="64"/>
      <c r="G334" s="69"/>
      <c r="I334" s="21"/>
      <c r="J334" s="128"/>
      <c r="K334" s="54"/>
      <c r="L334" s="64"/>
      <c r="M334" s="69"/>
      <c r="O334" s="21"/>
      <c r="P334" s="128"/>
      <c r="Q334" s="54"/>
      <c r="R334" s="64"/>
      <c r="S334" s="69"/>
      <c r="U334" s="21"/>
      <c r="V334" s="128"/>
      <c r="W334" s="54"/>
      <c r="X334" s="64"/>
      <c r="Y334" s="69"/>
      <c r="AA334" s="21"/>
      <c r="AB334" s="128"/>
      <c r="AC334" s="54"/>
      <c r="AD334" s="64"/>
      <c r="AE334" s="69"/>
      <c r="AG334" s="21"/>
      <c r="AH334" s="128"/>
      <c r="AI334" s="54"/>
      <c r="AJ334" s="64"/>
      <c r="AK334" s="69"/>
      <c r="AM334" s="21"/>
      <c r="AN334" s="128"/>
      <c r="AO334" s="54"/>
      <c r="AP334" s="64"/>
      <c r="AQ334" s="69"/>
      <c r="AS334" s="21"/>
      <c r="AU334" s="21"/>
      <c r="AV334" s="128"/>
      <c r="AW334" s="54"/>
      <c r="AX334" s="64"/>
      <c r="AY334" s="69"/>
      <c r="BA334" s="21"/>
      <c r="BB334" s="128"/>
      <c r="BC334" s="54"/>
      <c r="BD334" s="64"/>
      <c r="BE334" s="69"/>
    </row>
    <row r="335" spans="1:57" x14ac:dyDescent="0.15">
      <c r="A335" s="2" t="s">
        <v>213</v>
      </c>
      <c r="C335" s="21"/>
      <c r="D335" s="128"/>
      <c r="E335" s="54"/>
      <c r="F335" s="64"/>
      <c r="G335" s="69"/>
      <c r="I335" s="21"/>
      <c r="J335" s="128"/>
      <c r="K335" s="54"/>
      <c r="L335" s="64"/>
      <c r="M335" s="69"/>
      <c r="O335" s="21"/>
      <c r="P335" s="128"/>
      <c r="Q335" s="54"/>
      <c r="R335" s="64"/>
      <c r="S335" s="69"/>
      <c r="U335" s="21"/>
      <c r="V335" s="128"/>
      <c r="W335" s="54"/>
      <c r="X335" s="64"/>
      <c r="Y335" s="69"/>
      <c r="AA335" s="21"/>
      <c r="AB335" s="128"/>
      <c r="AC335" s="54"/>
      <c r="AD335" s="64"/>
      <c r="AE335" s="69"/>
      <c r="AG335" s="21"/>
      <c r="AH335" s="128"/>
      <c r="AI335" s="54"/>
      <c r="AJ335" s="64"/>
      <c r="AK335" s="69"/>
      <c r="AM335" s="21"/>
      <c r="AN335" s="128"/>
      <c r="AO335" s="54"/>
      <c r="AP335" s="64"/>
      <c r="AQ335" s="69"/>
      <c r="AS335" s="21"/>
      <c r="AU335" s="21"/>
      <c r="AV335" s="128"/>
      <c r="AW335" s="54"/>
      <c r="AX335" s="64"/>
      <c r="AY335" s="69"/>
      <c r="BA335" s="21"/>
      <c r="BB335" s="128"/>
      <c r="BC335" s="54"/>
      <c r="BD335" s="64"/>
      <c r="BE335" s="69"/>
    </row>
    <row r="336" spans="1:57" x14ac:dyDescent="0.15">
      <c r="A336" s="5" t="s">
        <v>96</v>
      </c>
      <c r="C336" s="21"/>
      <c r="D336" s="128"/>
      <c r="E336" s="54"/>
      <c r="F336" s="64"/>
      <c r="G336" s="69"/>
      <c r="I336" s="21"/>
      <c r="J336" s="128"/>
      <c r="K336" s="54"/>
      <c r="L336" s="64"/>
      <c r="M336" s="69"/>
      <c r="O336" s="21"/>
      <c r="P336" s="128"/>
      <c r="Q336" s="54"/>
      <c r="R336" s="64"/>
      <c r="S336" s="69"/>
      <c r="U336" s="21"/>
      <c r="V336" s="128"/>
      <c r="W336" s="54"/>
      <c r="X336" s="64"/>
      <c r="Y336" s="69"/>
      <c r="AA336" s="21"/>
      <c r="AB336" s="128"/>
      <c r="AC336" s="54"/>
      <c r="AD336" s="64"/>
      <c r="AE336" s="69"/>
      <c r="AG336" s="21">
        <v>1</v>
      </c>
      <c r="AH336" s="128"/>
      <c r="AI336" s="54"/>
      <c r="AJ336" s="64"/>
      <c r="AK336" s="69">
        <v>1</v>
      </c>
      <c r="AM336" s="21"/>
      <c r="AN336" s="128"/>
      <c r="AO336" s="54"/>
      <c r="AP336" s="64"/>
      <c r="AQ336" s="69"/>
      <c r="AS336" s="21"/>
      <c r="AU336" s="21"/>
      <c r="AV336" s="128"/>
      <c r="AW336" s="54"/>
      <c r="AX336" s="64"/>
      <c r="AY336" s="69"/>
      <c r="BA336" s="21"/>
      <c r="BB336" s="128"/>
      <c r="BC336" s="54"/>
      <c r="BD336" s="64"/>
      <c r="BE336" s="69"/>
    </row>
    <row r="337" spans="1:57" x14ac:dyDescent="0.15">
      <c r="A337" s="2" t="s">
        <v>175</v>
      </c>
      <c r="C337" s="21"/>
      <c r="D337" s="128"/>
      <c r="E337" s="54"/>
      <c r="F337" s="64"/>
      <c r="G337" s="69"/>
      <c r="I337" s="21"/>
      <c r="J337" s="128"/>
      <c r="K337" s="54"/>
      <c r="L337" s="64"/>
      <c r="M337" s="69"/>
      <c r="O337" s="21"/>
      <c r="P337" s="128"/>
      <c r="Q337" s="54"/>
      <c r="R337" s="64"/>
      <c r="S337" s="69"/>
      <c r="U337" s="21"/>
      <c r="V337" s="128"/>
      <c r="W337" s="54"/>
      <c r="X337" s="64"/>
      <c r="Y337" s="69"/>
      <c r="AA337" s="21"/>
      <c r="AB337" s="128"/>
      <c r="AC337" s="54"/>
      <c r="AD337" s="64"/>
      <c r="AE337" s="69"/>
      <c r="AG337" s="21"/>
      <c r="AH337" s="128"/>
      <c r="AI337" s="54"/>
      <c r="AJ337" s="64"/>
      <c r="AK337" s="69"/>
      <c r="AM337" s="21"/>
      <c r="AN337" s="128"/>
      <c r="AO337" s="54"/>
      <c r="AP337" s="64"/>
      <c r="AQ337" s="69"/>
      <c r="AS337" s="21"/>
      <c r="AU337" s="21"/>
      <c r="AV337" s="128"/>
      <c r="AW337" s="54"/>
      <c r="AX337" s="64"/>
      <c r="AY337" s="69"/>
      <c r="BA337" s="21"/>
      <c r="BB337" s="128"/>
      <c r="BC337" s="54"/>
      <c r="BD337" s="64"/>
      <c r="BE337" s="69"/>
    </row>
    <row r="338" spans="1:57" x14ac:dyDescent="0.15">
      <c r="A338" s="2" t="s">
        <v>24</v>
      </c>
      <c r="C338" s="21">
        <v>2</v>
      </c>
      <c r="D338" s="128"/>
      <c r="E338" s="54"/>
      <c r="F338" s="64"/>
      <c r="G338" s="69"/>
      <c r="I338" s="21">
        <v>3</v>
      </c>
      <c r="J338" s="128"/>
      <c r="K338" s="54">
        <v>2</v>
      </c>
      <c r="L338" s="64"/>
      <c r="M338" s="69"/>
      <c r="O338" s="21">
        <v>2</v>
      </c>
      <c r="P338" s="128"/>
      <c r="Q338" s="54"/>
      <c r="R338" s="64"/>
      <c r="S338" s="69"/>
      <c r="U338" s="21">
        <v>1</v>
      </c>
      <c r="V338" s="128">
        <v>1</v>
      </c>
      <c r="W338" s="54"/>
      <c r="X338" s="64"/>
      <c r="Y338" s="69"/>
      <c r="AA338" s="21">
        <v>1</v>
      </c>
      <c r="AB338" s="128"/>
      <c r="AC338" s="54"/>
      <c r="AD338" s="64"/>
      <c r="AE338" s="69"/>
      <c r="AG338" s="21"/>
      <c r="AH338" s="128"/>
      <c r="AI338" s="54"/>
      <c r="AJ338" s="64"/>
      <c r="AK338" s="69"/>
      <c r="AM338" s="21">
        <v>1</v>
      </c>
      <c r="AN338" s="128">
        <v>1</v>
      </c>
      <c r="AO338" s="54"/>
      <c r="AP338" s="64"/>
      <c r="AQ338" s="69">
        <v>1</v>
      </c>
      <c r="AS338" s="21"/>
      <c r="AU338" s="21">
        <v>1</v>
      </c>
      <c r="AV338" s="128"/>
      <c r="AW338" s="54"/>
      <c r="AX338" s="64"/>
      <c r="AY338" s="69"/>
      <c r="BA338" s="21">
        <v>1</v>
      </c>
      <c r="BB338" s="128"/>
      <c r="BC338" s="54"/>
      <c r="BD338" s="64"/>
      <c r="BE338" s="69"/>
    </row>
    <row r="339" spans="1:57" x14ac:dyDescent="0.15">
      <c r="A339" s="2" t="s">
        <v>189</v>
      </c>
      <c r="C339" s="21"/>
      <c r="D339" s="128">
        <v>2</v>
      </c>
      <c r="E339" s="54">
        <v>1</v>
      </c>
      <c r="F339" s="64">
        <v>1</v>
      </c>
      <c r="G339" s="69">
        <v>1</v>
      </c>
      <c r="I339" s="21"/>
      <c r="J339" s="128">
        <v>1</v>
      </c>
      <c r="K339" s="54">
        <v>2</v>
      </c>
      <c r="L339" s="64">
        <v>1</v>
      </c>
      <c r="M339" s="69">
        <v>1</v>
      </c>
      <c r="O339" s="21"/>
      <c r="P339" s="128">
        <v>1</v>
      </c>
      <c r="Q339" s="54">
        <v>1</v>
      </c>
      <c r="R339" s="64">
        <v>1</v>
      </c>
      <c r="S339" s="69">
        <v>1</v>
      </c>
      <c r="U339" s="21"/>
      <c r="V339" s="128"/>
      <c r="W339" s="54">
        <v>1</v>
      </c>
      <c r="X339" s="64">
        <v>1</v>
      </c>
      <c r="Y339" s="69">
        <v>1</v>
      </c>
      <c r="AA339" s="21"/>
      <c r="AB339" s="128"/>
      <c r="AC339" s="54"/>
      <c r="AD339" s="64">
        <v>1</v>
      </c>
      <c r="AE339" s="69"/>
      <c r="AG339" s="21"/>
      <c r="AH339" s="128"/>
      <c r="AI339" s="54"/>
      <c r="AJ339" s="64"/>
      <c r="AK339" s="69"/>
      <c r="AM339" s="21"/>
      <c r="AN339" s="128"/>
      <c r="AO339" s="54"/>
      <c r="AP339" s="64"/>
      <c r="AQ339" s="69"/>
      <c r="AS339" s="21"/>
      <c r="AU339" s="21"/>
      <c r="AV339" s="128">
        <v>1</v>
      </c>
      <c r="AW339" s="54"/>
      <c r="AX339" s="64"/>
      <c r="AY339" s="69"/>
      <c r="BA339" s="21"/>
      <c r="BB339" s="128"/>
      <c r="BC339" s="54"/>
      <c r="BD339" s="64"/>
      <c r="BE339" s="69"/>
    </row>
    <row r="340" spans="1:57" x14ac:dyDescent="0.15">
      <c r="A340" s="196" t="s">
        <v>202</v>
      </c>
      <c r="B340" s="6"/>
      <c r="C340" s="197"/>
      <c r="D340" s="198"/>
      <c r="E340" s="199"/>
      <c r="F340" s="200"/>
      <c r="G340" s="201"/>
      <c r="H340" s="6"/>
      <c r="I340" s="197"/>
      <c r="J340" s="198"/>
      <c r="K340" s="199"/>
      <c r="L340" s="200"/>
      <c r="M340" s="201"/>
      <c r="N340" s="203"/>
      <c r="O340" s="197"/>
      <c r="P340" s="198"/>
      <c r="Q340" s="199"/>
      <c r="R340" s="200"/>
      <c r="S340" s="201"/>
      <c r="T340" s="6"/>
      <c r="U340" s="197"/>
      <c r="V340" s="198"/>
      <c r="W340" s="199"/>
      <c r="X340" s="200"/>
      <c r="Y340" s="201"/>
      <c r="Z340" s="6"/>
      <c r="AA340" s="197"/>
      <c r="AB340" s="198"/>
      <c r="AC340" s="199"/>
      <c r="AD340" s="200"/>
      <c r="AE340" s="201"/>
      <c r="AF340" s="203"/>
      <c r="AG340" s="197"/>
      <c r="AH340" s="198"/>
      <c r="AI340" s="199"/>
      <c r="AJ340" s="200"/>
      <c r="AK340" s="201"/>
      <c r="AL340" s="6"/>
      <c r="AM340" s="197"/>
      <c r="AN340" s="198"/>
      <c r="AO340" s="199"/>
      <c r="AP340" s="200"/>
      <c r="AQ340" s="201"/>
      <c r="AR340" s="6"/>
      <c r="AS340" s="197"/>
      <c r="AT340" s="203"/>
      <c r="AU340" s="197"/>
      <c r="AV340" s="198"/>
      <c r="AW340" s="199"/>
      <c r="AX340" s="200"/>
      <c r="AY340" s="201"/>
      <c r="AZ340" s="6"/>
      <c r="BA340" s="197"/>
      <c r="BB340" s="198"/>
      <c r="BC340" s="199"/>
      <c r="BD340" s="200">
        <v>1</v>
      </c>
      <c r="BE340" s="201"/>
    </row>
    <row r="345" spans="1:57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</row>
    <row r="346" spans="1:57" ht="19.5" customHeight="1" x14ac:dyDescent="0.15">
      <c r="A346" t="s">
        <v>0</v>
      </c>
      <c r="B346" s="242">
        <v>41</v>
      </c>
      <c r="C346" s="242"/>
      <c r="D346" s="242"/>
      <c r="E346" s="242"/>
      <c r="F346" s="242"/>
      <c r="G346" s="242"/>
      <c r="H346" s="242">
        <v>42</v>
      </c>
      <c r="I346" s="242"/>
      <c r="J346" s="242"/>
      <c r="K346" s="242"/>
      <c r="L346" s="242"/>
      <c r="M346" s="242"/>
      <c r="N346" s="242">
        <v>43</v>
      </c>
      <c r="O346" s="242"/>
      <c r="P346" s="242"/>
      <c r="Q346" s="242"/>
      <c r="R346" s="242"/>
      <c r="S346" s="242"/>
      <c r="T346" s="242">
        <v>44</v>
      </c>
      <c r="U346" s="242"/>
      <c r="V346" s="242"/>
      <c r="W346" s="242"/>
      <c r="X346" s="242"/>
      <c r="Y346" s="242"/>
      <c r="Z346" s="242">
        <v>45</v>
      </c>
      <c r="AA346" s="242"/>
      <c r="AB346" s="242"/>
      <c r="AC346" s="242"/>
      <c r="AD346" s="242"/>
      <c r="AE346" s="242"/>
      <c r="AF346" s="242">
        <v>46</v>
      </c>
      <c r="AG346" s="242"/>
      <c r="AH346" s="242"/>
      <c r="AI346" s="242"/>
      <c r="AJ346" s="242"/>
      <c r="AK346" s="242"/>
      <c r="AM346" s="242">
        <v>51</v>
      </c>
      <c r="AN346" s="242"/>
      <c r="AO346" s="242"/>
      <c r="AP346" s="242"/>
      <c r="AQ346" s="242"/>
      <c r="AR346" s="242"/>
      <c r="AS346" s="242"/>
      <c r="AT346" s="242"/>
      <c r="AU346" s="242"/>
      <c r="AV346" s="242"/>
      <c r="AW346" s="242"/>
      <c r="AX346" s="242"/>
      <c r="AY346" s="242"/>
    </row>
    <row r="347" spans="1:57" ht="13.5" customHeight="1" x14ac:dyDescent="0.15">
      <c r="A347" s="6" t="s">
        <v>1</v>
      </c>
      <c r="B347" s="243" t="s">
        <v>152</v>
      </c>
      <c r="C347" s="243"/>
      <c r="D347" s="243"/>
      <c r="E347" s="243"/>
      <c r="F347" s="243"/>
      <c r="G347" s="243"/>
      <c r="H347" s="243" t="s">
        <v>153</v>
      </c>
      <c r="I347" s="243"/>
      <c r="J347" s="243"/>
      <c r="K347" s="243"/>
      <c r="L347" s="243"/>
      <c r="M347" s="243"/>
      <c r="N347" s="243" t="s">
        <v>154</v>
      </c>
      <c r="O347" s="243"/>
      <c r="P347" s="243"/>
      <c r="Q347" s="243"/>
      <c r="R347" s="243"/>
      <c r="S347" s="243"/>
      <c r="T347" s="243" t="s">
        <v>151</v>
      </c>
      <c r="U347" s="243"/>
      <c r="V347" s="243"/>
      <c r="W347" s="243"/>
      <c r="X347" s="243"/>
      <c r="Y347" s="243"/>
      <c r="Z347" s="243" t="s">
        <v>163</v>
      </c>
      <c r="AA347" s="243"/>
      <c r="AB347" s="243"/>
      <c r="AC347" s="243"/>
      <c r="AD347" s="243"/>
      <c r="AE347" s="243"/>
      <c r="AF347" s="243" t="s">
        <v>164</v>
      </c>
      <c r="AG347" s="243"/>
      <c r="AH347" s="243"/>
      <c r="AI347" s="243"/>
      <c r="AJ347" s="243"/>
      <c r="AK347" s="243"/>
      <c r="AM347" s="244" t="s">
        <v>165</v>
      </c>
      <c r="AN347" s="244"/>
      <c r="AO347" s="244"/>
      <c r="AP347" s="244"/>
      <c r="AQ347" s="244"/>
      <c r="AR347" s="244"/>
      <c r="AS347" s="244"/>
      <c r="AT347" s="244"/>
      <c r="AU347" s="244"/>
      <c r="AV347" s="244"/>
      <c r="AW347" s="244"/>
      <c r="AX347" s="244"/>
      <c r="AY347" s="244"/>
    </row>
    <row r="348" spans="1:57" x14ac:dyDescent="0.15">
      <c r="A348" s="8"/>
      <c r="B348" s="94" t="s">
        <v>169</v>
      </c>
      <c r="C348" s="95" t="s">
        <v>172</v>
      </c>
      <c r="D348" s="96" t="s">
        <v>101</v>
      </c>
      <c r="E348" s="97" t="s">
        <v>122</v>
      </c>
      <c r="F348" s="98" t="s">
        <v>173</v>
      </c>
      <c r="G348" s="144" t="s">
        <v>210</v>
      </c>
      <c r="H348" s="94" t="s">
        <v>169</v>
      </c>
      <c r="I348" s="95" t="s">
        <v>172</v>
      </c>
      <c r="J348" s="96" t="s">
        <v>101</v>
      </c>
      <c r="K348" s="97" t="s">
        <v>122</v>
      </c>
      <c r="L348" s="98" t="s">
        <v>173</v>
      </c>
      <c r="M348" s="144" t="s">
        <v>210</v>
      </c>
      <c r="N348" s="94" t="s">
        <v>169</v>
      </c>
      <c r="O348" s="95" t="s">
        <v>172</v>
      </c>
      <c r="P348" s="96" t="s">
        <v>101</v>
      </c>
      <c r="Q348" s="97" t="s">
        <v>122</v>
      </c>
      <c r="R348" s="98" t="s">
        <v>173</v>
      </c>
      <c r="S348" s="144" t="s">
        <v>210</v>
      </c>
      <c r="T348" s="94" t="s">
        <v>169</v>
      </c>
      <c r="U348" s="95" t="s">
        <v>172</v>
      </c>
      <c r="V348" s="96" t="s">
        <v>101</v>
      </c>
      <c r="W348" s="97" t="s">
        <v>122</v>
      </c>
      <c r="X348" s="98" t="s">
        <v>173</v>
      </c>
      <c r="Y348" s="144" t="s">
        <v>210</v>
      </c>
      <c r="Z348" s="94" t="s">
        <v>169</v>
      </c>
      <c r="AA348" s="95" t="s">
        <v>172</v>
      </c>
      <c r="AB348" s="96" t="s">
        <v>101</v>
      </c>
      <c r="AC348" s="97" t="s">
        <v>122</v>
      </c>
      <c r="AD348" s="98" t="s">
        <v>173</v>
      </c>
      <c r="AE348" s="144" t="s">
        <v>210</v>
      </c>
      <c r="AF348" s="94" t="s">
        <v>169</v>
      </c>
      <c r="AG348" s="95" t="s">
        <v>172</v>
      </c>
      <c r="AH348" s="96" t="s">
        <v>101</v>
      </c>
      <c r="AI348" s="97" t="s">
        <v>122</v>
      </c>
      <c r="AJ348" s="98" t="s">
        <v>173</v>
      </c>
      <c r="AK348" s="144" t="s">
        <v>210</v>
      </c>
      <c r="AM348" s="37" t="s">
        <v>64</v>
      </c>
      <c r="AN348" s="34" t="s">
        <v>92</v>
      </c>
      <c r="AO348" s="25" t="s">
        <v>101</v>
      </c>
      <c r="AP348" s="51" t="s">
        <v>100</v>
      </c>
      <c r="AQ348" s="61" t="s">
        <v>121</v>
      </c>
      <c r="AR348" s="67" t="s">
        <v>122</v>
      </c>
      <c r="AS348" s="100" t="s">
        <v>114</v>
      </c>
      <c r="AT348" s="101" t="s">
        <v>171</v>
      </c>
      <c r="AU348" s="25" t="s">
        <v>173</v>
      </c>
      <c r="AV348" s="37" t="s">
        <v>187</v>
      </c>
      <c r="AW348" s="151" t="s">
        <v>204</v>
      </c>
      <c r="AX348" s="156" t="s">
        <v>210</v>
      </c>
      <c r="AY348" s="172" t="s">
        <v>220</v>
      </c>
    </row>
    <row r="349" spans="1:57" ht="14.25" x14ac:dyDescent="0.15">
      <c r="A349" s="26" t="s">
        <v>59</v>
      </c>
      <c r="B349" s="103">
        <f>COUNT(B350:B426)</f>
        <v>4</v>
      </c>
      <c r="C349" s="108">
        <f>COUNT(C350:C426)</f>
        <v>4</v>
      </c>
      <c r="D349" s="105">
        <f>COUNT(D350:D426)</f>
        <v>2</v>
      </c>
      <c r="E349" s="106">
        <f>COUNT(E350:E426)</f>
        <v>3</v>
      </c>
      <c r="F349" s="107">
        <f>COUNT(F350:F427)</f>
        <v>4</v>
      </c>
      <c r="G349" s="155">
        <f>COUNT(G350:G427)</f>
        <v>3</v>
      </c>
      <c r="H349" s="103">
        <f>COUNT(H350:H426)</f>
        <v>2</v>
      </c>
      <c r="I349" s="108">
        <f>COUNT(I350:I426)</f>
        <v>1</v>
      </c>
      <c r="J349" s="105">
        <f>COUNT(J350:J426)</f>
        <v>1</v>
      </c>
      <c r="K349" s="106">
        <v>0</v>
      </c>
      <c r="L349" s="107">
        <f>COUNT(L350:L427)</f>
        <v>2</v>
      </c>
      <c r="M349" s="155">
        <f>COUNT(M350:M426)</f>
        <v>1</v>
      </c>
      <c r="N349" s="103">
        <f>COUNT(N350:N426)</f>
        <v>6</v>
      </c>
      <c r="O349" s="108">
        <f>COUNT(O350:O426)</f>
        <v>5</v>
      </c>
      <c r="P349" s="105">
        <f>COUNT(P350:P426)</f>
        <v>5</v>
      </c>
      <c r="Q349" s="106">
        <f>COUNT(Q350:Q426)</f>
        <v>6</v>
      </c>
      <c r="R349" s="107">
        <f>COUNT(R350:R427)</f>
        <v>6</v>
      </c>
      <c r="S349" s="155">
        <f>COUNT(S350:S426)</f>
        <v>6</v>
      </c>
      <c r="T349" s="103">
        <f>COUNT(T350:T426)</f>
        <v>9</v>
      </c>
      <c r="U349" s="108">
        <f>COUNT(U350:U426)</f>
        <v>8</v>
      </c>
      <c r="V349" s="105">
        <f>COUNT(V350:V426)</f>
        <v>8</v>
      </c>
      <c r="W349" s="106">
        <f>COUNT(W350:W426)</f>
        <v>8</v>
      </c>
      <c r="X349" s="107">
        <f>COUNT(X350:X427)</f>
        <v>9</v>
      </c>
      <c r="Y349" s="155">
        <f>COUNT(Y350:Y426)</f>
        <v>6</v>
      </c>
      <c r="Z349" s="103">
        <f>COUNT(Z350:Z426)</f>
        <v>8</v>
      </c>
      <c r="AA349" s="108">
        <f>COUNT(AA350:AA426)</f>
        <v>4</v>
      </c>
      <c r="AB349" s="105">
        <f>COUNT(AB350:AB426)</f>
        <v>8</v>
      </c>
      <c r="AC349" s="106">
        <f>COUNT(AC350:AC426)</f>
        <v>9</v>
      </c>
      <c r="AD349" s="107">
        <f>COUNT(AD350:AD427)</f>
        <v>10</v>
      </c>
      <c r="AE349" s="155">
        <f>COUNT(AE350:AE426)</f>
        <v>11</v>
      </c>
      <c r="AF349" s="103">
        <f>COUNT(AF350:AF426)</f>
        <v>4</v>
      </c>
      <c r="AG349" s="108">
        <f>COUNT(AG350:AG426)</f>
        <v>4</v>
      </c>
      <c r="AH349" s="105">
        <f>COUNT(AH350:AH426)</f>
        <v>7</v>
      </c>
      <c r="AI349" s="106">
        <f>COUNT(AI350:AI426)</f>
        <v>7</v>
      </c>
      <c r="AJ349" s="107">
        <f>COUNT(AJ350:AJ427)</f>
        <v>5</v>
      </c>
      <c r="AK349" s="155">
        <v>5</v>
      </c>
      <c r="AL349" s="46"/>
      <c r="AM349" s="47">
        <f>COUNT(AM350:AM427)</f>
        <v>1</v>
      </c>
      <c r="AN349" s="48">
        <f>COUNT(AN350:AN427)</f>
        <v>1</v>
      </c>
      <c r="AO349" s="45">
        <f>COUNT(AO350:AO427)</f>
        <v>2</v>
      </c>
      <c r="AP349" s="52">
        <f>COUNT(AP353:AP427)</f>
        <v>2</v>
      </c>
      <c r="AQ349" s="62">
        <f>COUNT(AQ350:AQ426)</f>
        <v>2</v>
      </c>
      <c r="AR349" s="68">
        <f>COUNT(AR350:AR426)</f>
        <v>2</v>
      </c>
      <c r="AS349" s="109">
        <f>COUNT(AS350:AS426)</f>
        <v>2</v>
      </c>
      <c r="AT349" s="110">
        <f>COUNT(AT350:AT426)</f>
        <v>2</v>
      </c>
      <c r="AU349" s="45">
        <f t="shared" ref="AU349:AY349" si="5">COUNT(AU350:AU427)</f>
        <v>3</v>
      </c>
      <c r="AV349" s="47">
        <f t="shared" si="5"/>
        <v>2</v>
      </c>
      <c r="AW349" s="152">
        <f t="shared" si="5"/>
        <v>3</v>
      </c>
      <c r="AX349" s="157">
        <f t="shared" si="5"/>
        <v>2</v>
      </c>
      <c r="AY349" s="173">
        <f t="shared" si="5"/>
        <v>2</v>
      </c>
    </row>
    <row r="350" spans="1:57" x14ac:dyDescent="0.15">
      <c r="A350" s="27" t="s">
        <v>60</v>
      </c>
      <c r="B350" s="114"/>
      <c r="C350" s="115"/>
      <c r="D350" s="111"/>
      <c r="E350" s="112"/>
      <c r="F350" s="113"/>
      <c r="G350" s="145"/>
      <c r="H350" s="114"/>
      <c r="I350" s="115"/>
      <c r="J350" s="111"/>
      <c r="K350" s="112"/>
      <c r="L350" s="113"/>
      <c r="M350" s="145"/>
      <c r="N350" s="114"/>
      <c r="O350" s="115"/>
      <c r="P350" s="111"/>
      <c r="Q350" s="112"/>
      <c r="R350" s="113"/>
      <c r="S350" s="145"/>
      <c r="T350" s="114"/>
      <c r="U350" s="115"/>
      <c r="V350" s="111"/>
      <c r="W350" s="112"/>
      <c r="X350" s="113"/>
      <c r="Y350" s="145"/>
      <c r="Z350" s="114"/>
      <c r="AA350" s="115"/>
      <c r="AB350" s="111"/>
      <c r="AC350" s="112"/>
      <c r="AD350" s="113"/>
      <c r="AE350" s="145"/>
      <c r="AF350" s="114"/>
      <c r="AG350" s="115"/>
      <c r="AH350" s="111"/>
      <c r="AI350" s="112"/>
      <c r="AJ350" s="113"/>
      <c r="AK350" s="145"/>
      <c r="AM350" s="38"/>
      <c r="AN350" s="35"/>
      <c r="AO350" s="4"/>
      <c r="AP350" s="54"/>
      <c r="AQ350" s="64"/>
      <c r="AR350" s="69"/>
      <c r="AS350" s="126"/>
      <c r="AT350" s="127"/>
      <c r="AU350" s="4"/>
      <c r="AV350" s="38"/>
      <c r="AW350" s="83"/>
      <c r="AX350" s="158"/>
      <c r="AY350" s="174"/>
    </row>
    <row r="351" spans="1:57" x14ac:dyDescent="0.15">
      <c r="A351" s="27" t="s">
        <v>105</v>
      </c>
      <c r="B351" s="114"/>
      <c r="C351" s="115"/>
      <c r="D351" s="116"/>
      <c r="E351" s="117"/>
      <c r="F351" s="118"/>
      <c r="G351" s="146"/>
      <c r="H351" s="114"/>
      <c r="I351" s="115"/>
      <c r="J351" s="111"/>
      <c r="K351" s="112"/>
      <c r="L351" s="113"/>
      <c r="M351" s="145"/>
      <c r="N351" s="114"/>
      <c r="O351" s="129"/>
      <c r="P351" s="111"/>
      <c r="Q351" s="117"/>
      <c r="R351" s="118"/>
      <c r="S351" s="146"/>
      <c r="T351" s="114"/>
      <c r="U351" s="115"/>
      <c r="V351" s="116"/>
      <c r="W351" s="117"/>
      <c r="X351" s="118"/>
      <c r="Y351" s="146"/>
      <c r="Z351" s="114"/>
      <c r="AA351" s="115"/>
      <c r="AB351" s="111"/>
      <c r="AC351" s="117"/>
      <c r="AD351" s="118"/>
      <c r="AE351" s="146"/>
      <c r="AF351" s="114"/>
      <c r="AG351" s="115"/>
      <c r="AH351" s="111"/>
      <c r="AI351" s="112"/>
      <c r="AJ351" s="113"/>
      <c r="AK351" s="145"/>
      <c r="AM351" s="38"/>
      <c r="AN351" s="35"/>
      <c r="AO351" s="4"/>
      <c r="AP351" s="54"/>
      <c r="AQ351" s="64"/>
      <c r="AR351" s="69"/>
      <c r="AS351" s="126"/>
      <c r="AT351" s="127"/>
      <c r="AU351" s="4"/>
      <c r="AV351" s="38"/>
      <c r="AW351" s="83"/>
      <c r="AX351" s="158"/>
      <c r="AY351" s="174"/>
    </row>
    <row r="352" spans="1:57" x14ac:dyDescent="0.15">
      <c r="A352" s="2" t="s">
        <v>43</v>
      </c>
      <c r="B352" s="114"/>
      <c r="C352" s="115"/>
      <c r="D352" s="111"/>
      <c r="E352" s="112"/>
      <c r="F352" s="113"/>
      <c r="G352" s="145"/>
      <c r="H352" s="114"/>
      <c r="I352" s="115"/>
      <c r="J352" s="111"/>
      <c r="K352" s="112"/>
      <c r="L352" s="113"/>
      <c r="M352" s="145"/>
      <c r="N352" s="114"/>
      <c r="O352" s="115"/>
      <c r="P352" s="111"/>
      <c r="Q352" s="112"/>
      <c r="R352" s="113"/>
      <c r="S352" s="145"/>
      <c r="T352" s="114"/>
      <c r="U352" s="115"/>
      <c r="V352" s="111"/>
      <c r="W352" s="112"/>
      <c r="X352" s="113"/>
      <c r="Y352" s="145"/>
      <c r="Z352" s="114"/>
      <c r="AA352" s="115"/>
      <c r="AB352" s="111"/>
      <c r="AC352" s="112"/>
      <c r="AD352" s="113"/>
      <c r="AE352" s="145">
        <v>1</v>
      </c>
      <c r="AF352" s="114"/>
      <c r="AG352" s="115"/>
      <c r="AH352" s="111"/>
      <c r="AI352" s="112"/>
      <c r="AJ352" s="113"/>
      <c r="AK352" s="145"/>
      <c r="AL352" s="8"/>
      <c r="AM352" s="133"/>
      <c r="AN352" s="134"/>
      <c r="AO352" s="10"/>
      <c r="AP352" s="53"/>
      <c r="AQ352" s="63"/>
      <c r="AR352" s="135"/>
      <c r="AS352" s="136"/>
      <c r="AT352" s="137"/>
      <c r="AU352" s="10"/>
      <c r="AV352" s="133"/>
      <c r="AW352" s="153"/>
      <c r="AX352" s="159"/>
      <c r="AY352" s="175"/>
    </row>
    <row r="353" spans="1:51" x14ac:dyDescent="0.15">
      <c r="A353" s="27" t="s">
        <v>53</v>
      </c>
      <c r="B353" s="114"/>
      <c r="C353" s="115"/>
      <c r="D353" s="111"/>
      <c r="E353" s="112"/>
      <c r="F353" s="113"/>
      <c r="G353" s="145"/>
      <c r="H353" s="114"/>
      <c r="I353" s="115"/>
      <c r="J353" s="111"/>
      <c r="K353" s="112"/>
      <c r="L353" s="113"/>
      <c r="M353" s="145"/>
      <c r="N353" s="114"/>
      <c r="O353" s="115"/>
      <c r="P353" s="111"/>
      <c r="Q353" s="112"/>
      <c r="R353" s="113"/>
      <c r="S353" s="145"/>
      <c r="T353" s="114"/>
      <c r="U353" s="115"/>
      <c r="V353" s="111"/>
      <c r="W353" s="112"/>
      <c r="X353" s="113"/>
      <c r="Y353" s="145"/>
      <c r="Z353" s="114"/>
      <c r="AA353" s="115"/>
      <c r="AB353" s="111"/>
      <c r="AC353" s="112"/>
      <c r="AD353" s="113"/>
      <c r="AE353" s="145"/>
      <c r="AF353" s="114"/>
      <c r="AG353" s="115"/>
      <c r="AH353" s="111"/>
      <c r="AI353" s="112"/>
      <c r="AJ353" s="113"/>
      <c r="AK353" s="145"/>
      <c r="AM353" s="38"/>
      <c r="AN353" s="35"/>
      <c r="AO353" s="4"/>
      <c r="AP353" s="54"/>
      <c r="AQ353" s="64"/>
      <c r="AR353" s="69"/>
      <c r="AS353" s="126"/>
      <c r="AT353" s="127"/>
      <c r="AU353" s="4"/>
      <c r="AV353" s="38"/>
      <c r="AW353" s="83"/>
      <c r="AX353" s="158"/>
      <c r="AY353" s="174"/>
    </row>
    <row r="354" spans="1:51" x14ac:dyDescent="0.15">
      <c r="A354" s="2" t="s">
        <v>12</v>
      </c>
      <c r="B354">
        <v>1</v>
      </c>
      <c r="C354" s="21">
        <v>1</v>
      </c>
      <c r="D354" s="128"/>
      <c r="E354" s="54">
        <v>1</v>
      </c>
      <c r="F354" s="64"/>
      <c r="G354" s="69">
        <v>1</v>
      </c>
      <c r="I354" s="21"/>
      <c r="J354" s="128"/>
      <c r="K354" s="54"/>
      <c r="L354" s="64"/>
      <c r="M354" s="69"/>
      <c r="N354">
        <v>3</v>
      </c>
      <c r="O354" s="21">
        <v>2</v>
      </c>
      <c r="P354" s="128">
        <v>2</v>
      </c>
      <c r="Q354" s="54">
        <v>2</v>
      </c>
      <c r="R354" s="64">
        <v>1</v>
      </c>
      <c r="S354" s="69">
        <v>1</v>
      </c>
      <c r="T354">
        <v>2</v>
      </c>
      <c r="U354" s="21">
        <v>1</v>
      </c>
      <c r="V354" s="128"/>
      <c r="W354" s="54">
        <v>2</v>
      </c>
      <c r="X354" s="64">
        <v>2</v>
      </c>
      <c r="Y354" s="69">
        <v>1</v>
      </c>
      <c r="AA354" s="21"/>
      <c r="AB354" s="128"/>
      <c r="AC354" s="54">
        <v>1</v>
      </c>
      <c r="AD354" s="64">
        <v>1</v>
      </c>
      <c r="AE354" s="69">
        <v>1</v>
      </c>
      <c r="AG354" s="21"/>
      <c r="AH354" s="128"/>
      <c r="AI354" s="54"/>
      <c r="AJ354" s="64"/>
      <c r="AK354" s="69"/>
      <c r="AM354" s="38"/>
      <c r="AN354" s="35"/>
      <c r="AO354" s="4"/>
      <c r="AP354" s="54"/>
      <c r="AQ354" s="64"/>
      <c r="AR354" s="69"/>
      <c r="AS354" s="126"/>
      <c r="AT354" s="127"/>
      <c r="AU354" s="4"/>
      <c r="AV354" s="38"/>
      <c r="AW354" s="83"/>
      <c r="AX354" s="158"/>
      <c r="AY354" s="174"/>
    </row>
    <row r="355" spans="1:51" x14ac:dyDescent="0.15">
      <c r="A355" s="2" t="s">
        <v>93</v>
      </c>
      <c r="C355" s="21"/>
      <c r="D355" s="128"/>
      <c r="E355" s="54"/>
      <c r="F355" s="64"/>
      <c r="G355" s="69"/>
      <c r="I355" s="21"/>
      <c r="J355" s="128"/>
      <c r="K355" s="54"/>
      <c r="L355" s="64"/>
      <c r="M355" s="69"/>
      <c r="O355" s="21"/>
      <c r="P355" s="128"/>
      <c r="Q355" s="54"/>
      <c r="R355" s="64"/>
      <c r="S355" s="69"/>
      <c r="U355" s="21"/>
      <c r="V355" s="128"/>
      <c r="W355" s="54"/>
      <c r="X355" s="64"/>
      <c r="Y355" s="69"/>
      <c r="AA355" s="21"/>
      <c r="AB355" s="128"/>
      <c r="AC355" s="54"/>
      <c r="AD355" s="64"/>
      <c r="AE355" s="69"/>
      <c r="AG355" s="21"/>
      <c r="AH355" s="128"/>
      <c r="AI355" s="54"/>
      <c r="AJ355" s="64"/>
      <c r="AK355" s="69"/>
      <c r="AM355" s="38"/>
      <c r="AN355" s="35"/>
      <c r="AO355" s="4"/>
      <c r="AP355" s="54"/>
      <c r="AQ355" s="64"/>
      <c r="AR355" s="69"/>
      <c r="AS355" s="126"/>
      <c r="AT355" s="127"/>
      <c r="AU355" s="4"/>
      <c r="AV355" s="38"/>
      <c r="AW355" s="83"/>
      <c r="AX355" s="158"/>
      <c r="AY355" s="174"/>
    </row>
    <row r="356" spans="1:51" x14ac:dyDescent="0.15">
      <c r="A356" s="2" t="s">
        <v>33</v>
      </c>
      <c r="C356" s="21"/>
      <c r="D356" s="128"/>
      <c r="E356" s="54"/>
      <c r="F356" s="64"/>
      <c r="G356" s="69"/>
      <c r="I356" s="21"/>
      <c r="J356" s="128"/>
      <c r="K356" s="54"/>
      <c r="L356" s="64"/>
      <c r="M356" s="69"/>
      <c r="O356" s="21"/>
      <c r="P356" s="128"/>
      <c r="Q356" s="54"/>
      <c r="R356" s="64"/>
      <c r="S356" s="69"/>
      <c r="U356" s="21"/>
      <c r="V356" s="128"/>
      <c r="W356" s="54"/>
      <c r="X356" s="64"/>
      <c r="Y356" s="69"/>
      <c r="AA356" s="21"/>
      <c r="AB356" s="128"/>
      <c r="AC356" s="54"/>
      <c r="AD356" s="64"/>
      <c r="AE356" s="69"/>
      <c r="AG356" s="21"/>
      <c r="AH356" s="128"/>
      <c r="AI356" s="54"/>
      <c r="AJ356" s="64"/>
      <c r="AK356" s="69"/>
      <c r="AM356" s="38"/>
      <c r="AN356" s="35"/>
      <c r="AO356" s="4"/>
      <c r="AP356" s="54"/>
      <c r="AQ356" s="64"/>
      <c r="AR356" s="69"/>
      <c r="AS356" s="126"/>
      <c r="AT356" s="127"/>
      <c r="AU356" s="4"/>
      <c r="AV356" s="38"/>
      <c r="AW356" s="83"/>
      <c r="AX356" s="158"/>
      <c r="AY356" s="174"/>
    </row>
    <row r="357" spans="1:51" x14ac:dyDescent="0.15">
      <c r="A357" s="2" t="s">
        <v>13</v>
      </c>
      <c r="C357" s="21"/>
      <c r="D357" s="128"/>
      <c r="E357" s="54"/>
      <c r="F357" s="64"/>
      <c r="G357" s="69"/>
      <c r="I357" s="21"/>
      <c r="J357" s="128"/>
      <c r="K357" s="54"/>
      <c r="L357" s="64"/>
      <c r="M357" s="69"/>
      <c r="O357" s="21"/>
      <c r="P357" s="128"/>
      <c r="Q357" s="54"/>
      <c r="R357" s="64"/>
      <c r="S357" s="69"/>
      <c r="U357" s="21"/>
      <c r="V357" s="128"/>
      <c r="W357" s="54"/>
      <c r="X357" s="64"/>
      <c r="Y357" s="69"/>
      <c r="AA357" s="21"/>
      <c r="AB357" s="128"/>
      <c r="AC357" s="54"/>
      <c r="AD357" s="64"/>
      <c r="AE357" s="69"/>
      <c r="AG357" s="21"/>
      <c r="AH357" s="128"/>
      <c r="AI357" s="54"/>
      <c r="AJ357" s="64"/>
      <c r="AK357" s="69"/>
      <c r="AM357" s="38"/>
      <c r="AN357" s="35"/>
      <c r="AO357" s="4"/>
      <c r="AP357" s="54"/>
      <c r="AQ357" s="64"/>
      <c r="AR357" s="69"/>
      <c r="AS357" s="126"/>
      <c r="AT357" s="127"/>
      <c r="AU357" s="4"/>
      <c r="AV357" s="38"/>
      <c r="AW357" s="83"/>
      <c r="AX357" s="158"/>
      <c r="AY357" s="174"/>
    </row>
    <row r="358" spans="1:51" x14ac:dyDescent="0.15">
      <c r="A358" s="2" t="s">
        <v>190</v>
      </c>
      <c r="C358" s="21"/>
      <c r="D358" s="128"/>
      <c r="E358" s="54"/>
      <c r="F358" s="64"/>
      <c r="G358" s="69"/>
      <c r="I358" s="21"/>
      <c r="J358" s="128"/>
      <c r="K358" s="54"/>
      <c r="L358" s="64"/>
      <c r="M358" s="69"/>
      <c r="O358" s="21"/>
      <c r="P358" s="128"/>
      <c r="Q358" s="54"/>
      <c r="R358" s="64"/>
      <c r="S358" s="69"/>
      <c r="U358" s="21"/>
      <c r="V358" s="128"/>
      <c r="W358" s="54"/>
      <c r="X358" s="64"/>
      <c r="Y358" s="69"/>
      <c r="AA358" s="21"/>
      <c r="AB358" s="128"/>
      <c r="AC358" s="54"/>
      <c r="AD358" s="64"/>
      <c r="AE358" s="69"/>
      <c r="AG358" s="21"/>
      <c r="AH358" s="128"/>
      <c r="AI358" s="54"/>
      <c r="AJ358" s="64"/>
      <c r="AK358" s="69"/>
      <c r="AM358" s="38"/>
      <c r="AN358" s="35"/>
      <c r="AO358" s="4"/>
      <c r="AP358" s="54"/>
      <c r="AQ358" s="64"/>
      <c r="AR358" s="69"/>
      <c r="AS358" s="126"/>
      <c r="AT358" s="127"/>
      <c r="AU358" s="4"/>
      <c r="AV358" s="38"/>
      <c r="AW358" s="83"/>
      <c r="AX358" s="158"/>
      <c r="AY358" s="174"/>
    </row>
    <row r="359" spans="1:51" x14ac:dyDescent="0.15">
      <c r="A359" s="2" t="s">
        <v>14</v>
      </c>
      <c r="C359" s="21"/>
      <c r="D359" s="128"/>
      <c r="E359" s="54"/>
      <c r="F359" s="64"/>
      <c r="G359" s="69"/>
      <c r="I359" s="21"/>
      <c r="J359" s="128"/>
      <c r="K359" s="54"/>
      <c r="L359" s="64"/>
      <c r="M359" s="69"/>
      <c r="O359" s="21"/>
      <c r="P359" s="128"/>
      <c r="Q359" s="54">
        <v>1</v>
      </c>
      <c r="R359" s="64"/>
      <c r="S359" s="69"/>
      <c r="U359" s="21"/>
      <c r="V359" s="128"/>
      <c r="W359" s="54"/>
      <c r="X359" s="64"/>
      <c r="Y359" s="69"/>
      <c r="Z359">
        <v>1</v>
      </c>
      <c r="AA359" s="21"/>
      <c r="AB359" s="128"/>
      <c r="AC359" s="54"/>
      <c r="AD359" s="64"/>
      <c r="AE359" s="69"/>
      <c r="AF359">
        <v>1</v>
      </c>
      <c r="AG359" s="21"/>
      <c r="AH359" s="128">
        <v>1</v>
      </c>
      <c r="AI359" s="54">
        <v>1</v>
      </c>
      <c r="AJ359" s="64"/>
      <c r="AK359" s="69">
        <v>1</v>
      </c>
      <c r="AM359" s="38"/>
      <c r="AN359" s="35"/>
      <c r="AO359" s="4"/>
      <c r="AP359" s="54"/>
      <c r="AQ359" s="64"/>
      <c r="AR359" s="69"/>
      <c r="AS359" s="126"/>
      <c r="AT359" s="127"/>
      <c r="AU359" s="4"/>
      <c r="AV359" s="38"/>
      <c r="AW359" s="83"/>
      <c r="AX359" s="158"/>
      <c r="AY359" s="174"/>
    </row>
    <row r="360" spans="1:51" x14ac:dyDescent="0.15">
      <c r="A360" s="2" t="s">
        <v>26</v>
      </c>
      <c r="C360" s="21"/>
      <c r="D360" s="128"/>
      <c r="E360" s="54"/>
      <c r="F360" s="64"/>
      <c r="G360" s="69"/>
      <c r="I360" s="21"/>
      <c r="J360" s="128"/>
      <c r="K360" s="54"/>
      <c r="L360" s="64"/>
      <c r="M360" s="69"/>
      <c r="O360" s="21"/>
      <c r="P360" s="128"/>
      <c r="Q360" s="54"/>
      <c r="R360" s="64"/>
      <c r="S360" s="69"/>
      <c r="T360">
        <v>1</v>
      </c>
      <c r="U360" s="21"/>
      <c r="V360" s="128"/>
      <c r="W360" s="54"/>
      <c r="X360" s="64"/>
      <c r="Y360" s="69"/>
      <c r="AA360" s="21"/>
      <c r="AB360" s="128"/>
      <c r="AC360" s="54"/>
      <c r="AD360" s="64"/>
      <c r="AE360" s="69"/>
      <c r="AG360" s="21"/>
      <c r="AH360" s="128"/>
      <c r="AI360" s="54"/>
      <c r="AJ360" s="64"/>
      <c r="AK360" s="69"/>
      <c r="AM360" s="38"/>
      <c r="AN360" s="35"/>
      <c r="AO360" s="4"/>
      <c r="AP360" s="54"/>
      <c r="AQ360" s="64"/>
      <c r="AR360" s="69"/>
      <c r="AS360" s="126"/>
      <c r="AT360" s="127"/>
      <c r="AU360" s="4"/>
      <c r="AV360" s="38"/>
      <c r="AW360" s="83"/>
      <c r="AX360" s="158"/>
      <c r="AY360" s="174"/>
    </row>
    <row r="361" spans="1:51" x14ac:dyDescent="0.15">
      <c r="A361" s="2" t="s">
        <v>51</v>
      </c>
      <c r="C361" s="21"/>
      <c r="D361" s="128"/>
      <c r="E361" s="54"/>
      <c r="F361" s="64"/>
      <c r="G361" s="69"/>
      <c r="I361" s="21"/>
      <c r="J361" s="128"/>
      <c r="K361" s="54"/>
      <c r="L361" s="64"/>
      <c r="M361" s="69"/>
      <c r="O361" s="21"/>
      <c r="P361" s="128"/>
      <c r="Q361" s="54"/>
      <c r="R361" s="64"/>
      <c r="S361" s="69"/>
      <c r="U361" s="21"/>
      <c r="V361" s="128"/>
      <c r="W361" s="54"/>
      <c r="X361" s="64"/>
      <c r="Y361" s="69"/>
      <c r="AA361" s="21"/>
      <c r="AB361" s="128"/>
      <c r="AC361" s="54"/>
      <c r="AD361" s="64"/>
      <c r="AE361" s="69"/>
      <c r="AG361" s="21"/>
      <c r="AH361" s="128">
        <v>1</v>
      </c>
      <c r="AI361" s="54">
        <v>1</v>
      </c>
      <c r="AJ361" s="64">
        <v>1</v>
      </c>
      <c r="AK361" s="69">
        <v>1</v>
      </c>
      <c r="AM361" s="38"/>
      <c r="AN361" s="35"/>
      <c r="AO361" s="4"/>
      <c r="AP361" s="54"/>
      <c r="AQ361" s="64"/>
      <c r="AR361" s="69"/>
      <c r="AS361" s="126"/>
      <c r="AT361" s="127"/>
      <c r="AU361" s="4"/>
      <c r="AV361" s="38"/>
      <c r="AW361" s="83"/>
      <c r="AX361" s="158"/>
      <c r="AY361" s="174"/>
    </row>
    <row r="362" spans="1:51" x14ac:dyDescent="0.15">
      <c r="A362" s="2" t="s">
        <v>44</v>
      </c>
      <c r="C362" s="21">
        <v>1</v>
      </c>
      <c r="D362" s="128"/>
      <c r="E362" s="54"/>
      <c r="F362" s="64">
        <v>1</v>
      </c>
      <c r="G362" s="69"/>
      <c r="I362" s="21"/>
      <c r="J362" s="128"/>
      <c r="K362" s="54"/>
      <c r="L362" s="64"/>
      <c r="M362" s="69"/>
      <c r="O362" s="21"/>
      <c r="P362" s="128"/>
      <c r="Q362" s="54">
        <v>2</v>
      </c>
      <c r="R362" s="64">
        <v>2</v>
      </c>
      <c r="S362" s="69">
        <v>2</v>
      </c>
      <c r="T362">
        <v>2</v>
      </c>
      <c r="U362" s="21">
        <v>2</v>
      </c>
      <c r="V362" s="128">
        <v>2</v>
      </c>
      <c r="W362" s="54">
        <v>2</v>
      </c>
      <c r="X362" s="64">
        <v>2</v>
      </c>
      <c r="Y362" s="69">
        <v>2</v>
      </c>
      <c r="AA362" s="21"/>
      <c r="AB362" s="128">
        <v>1</v>
      </c>
      <c r="AC362" s="54">
        <v>1</v>
      </c>
      <c r="AD362" s="64">
        <v>1</v>
      </c>
      <c r="AE362" s="69">
        <v>1</v>
      </c>
      <c r="AG362" s="21"/>
      <c r="AH362" s="128"/>
      <c r="AI362" s="54"/>
      <c r="AJ362" s="64"/>
      <c r="AK362" s="69"/>
      <c r="AM362" s="38"/>
      <c r="AN362" s="35"/>
      <c r="AO362" s="4"/>
      <c r="AP362" s="54"/>
      <c r="AQ362" s="64"/>
      <c r="AR362" s="69"/>
      <c r="AS362" s="126"/>
      <c r="AT362" s="127"/>
      <c r="AU362" s="4"/>
      <c r="AV362" s="38"/>
      <c r="AW362" s="83"/>
      <c r="AX362" s="158"/>
      <c r="AY362" s="174"/>
    </row>
    <row r="363" spans="1:51" x14ac:dyDescent="0.15">
      <c r="A363" s="2" t="s">
        <v>4</v>
      </c>
      <c r="B363">
        <v>1</v>
      </c>
      <c r="C363" s="21"/>
      <c r="D363" s="128"/>
      <c r="E363" s="54"/>
      <c r="F363" s="64"/>
      <c r="G363" s="69"/>
      <c r="I363" s="21"/>
      <c r="J363" s="128"/>
      <c r="K363" s="54"/>
      <c r="L363" s="64"/>
      <c r="M363" s="69"/>
      <c r="O363" s="21"/>
      <c r="P363" s="128"/>
      <c r="Q363" s="54"/>
      <c r="R363" s="64"/>
      <c r="S363" s="69"/>
      <c r="T363">
        <v>1</v>
      </c>
      <c r="U363" s="21"/>
      <c r="V363" s="128"/>
      <c r="W363" s="54">
        <v>1</v>
      </c>
      <c r="X363" s="64">
        <v>1</v>
      </c>
      <c r="Y363" s="69"/>
      <c r="Z363">
        <v>1</v>
      </c>
      <c r="AA363" s="21"/>
      <c r="AB363" s="128"/>
      <c r="AC363" s="54"/>
      <c r="AD363" s="64">
        <v>1</v>
      </c>
      <c r="AE363" s="69">
        <v>1</v>
      </c>
      <c r="AG363" s="21"/>
      <c r="AH363" s="128"/>
      <c r="AI363" s="54"/>
      <c r="AJ363" s="64"/>
      <c r="AK363" s="69"/>
      <c r="AM363" s="38"/>
      <c r="AN363" s="35"/>
      <c r="AO363" s="4"/>
      <c r="AP363" s="54"/>
      <c r="AQ363" s="64"/>
      <c r="AR363" s="69"/>
      <c r="AS363" s="126"/>
      <c r="AT363" s="127"/>
      <c r="AU363" s="4"/>
      <c r="AV363" s="38"/>
      <c r="AW363" s="83"/>
      <c r="AX363" s="158"/>
      <c r="AY363" s="174"/>
    </row>
    <row r="364" spans="1:51" x14ac:dyDescent="0.15">
      <c r="A364" s="2" t="s">
        <v>232</v>
      </c>
      <c r="C364" s="21"/>
      <c r="D364" s="128"/>
      <c r="E364" s="54"/>
      <c r="F364" s="64"/>
      <c r="G364" s="69"/>
      <c r="I364" s="21"/>
      <c r="J364" s="128"/>
      <c r="K364" s="54"/>
      <c r="L364" s="64"/>
      <c r="M364" s="69"/>
      <c r="O364" s="21"/>
      <c r="P364" s="128"/>
      <c r="Q364" s="54"/>
      <c r="R364" s="64"/>
      <c r="S364" s="69"/>
      <c r="U364" s="21"/>
      <c r="V364" s="128"/>
      <c r="W364" s="54"/>
      <c r="X364" s="64"/>
      <c r="Y364" s="69"/>
      <c r="AA364" s="21"/>
      <c r="AB364" s="128"/>
      <c r="AC364" s="54"/>
      <c r="AD364" s="64"/>
      <c r="AE364" s="69"/>
      <c r="AG364" s="21"/>
      <c r="AH364" s="128"/>
      <c r="AI364" s="54"/>
      <c r="AJ364" s="64"/>
      <c r="AK364" s="69"/>
      <c r="AM364" s="38"/>
      <c r="AN364" s="35"/>
      <c r="AO364" s="4"/>
      <c r="AP364" s="54"/>
      <c r="AQ364" s="64"/>
      <c r="AR364" s="69"/>
      <c r="AS364" s="126"/>
      <c r="AT364" s="127"/>
      <c r="AU364" s="4"/>
      <c r="AV364" s="38"/>
      <c r="AW364" s="83"/>
      <c r="AX364" s="158"/>
      <c r="AY364" s="174"/>
    </row>
    <row r="365" spans="1:51" x14ac:dyDescent="0.15">
      <c r="A365" s="2" t="s">
        <v>15</v>
      </c>
      <c r="C365" s="21"/>
      <c r="D365" s="128"/>
      <c r="E365" s="54"/>
      <c r="F365" s="64"/>
      <c r="G365" s="69"/>
      <c r="I365" s="21"/>
      <c r="J365" s="128"/>
      <c r="K365" s="54"/>
      <c r="L365" s="64"/>
      <c r="M365" s="69"/>
      <c r="O365" s="21"/>
      <c r="P365" s="128"/>
      <c r="Q365" s="54"/>
      <c r="R365" s="64"/>
      <c r="S365" s="69"/>
      <c r="U365" s="21"/>
      <c r="V365" s="128"/>
      <c r="W365" s="54"/>
      <c r="X365" s="64"/>
      <c r="Y365" s="69"/>
      <c r="AA365" s="21"/>
      <c r="AB365" s="128"/>
      <c r="AC365" s="54"/>
      <c r="AD365" s="64"/>
      <c r="AE365" s="69"/>
      <c r="AG365" s="21"/>
      <c r="AH365" s="128"/>
      <c r="AI365" s="54"/>
      <c r="AJ365" s="64"/>
      <c r="AK365" s="69"/>
      <c r="AM365" s="38"/>
      <c r="AN365" s="35"/>
      <c r="AO365" s="4"/>
      <c r="AP365" s="54"/>
      <c r="AQ365" s="64"/>
      <c r="AR365" s="69"/>
      <c r="AS365" s="126"/>
      <c r="AT365" s="127"/>
      <c r="AU365" s="4"/>
      <c r="AV365" s="38"/>
      <c r="AW365" s="83"/>
      <c r="AX365" s="158"/>
      <c r="AY365" s="174"/>
    </row>
    <row r="366" spans="1:51" x14ac:dyDescent="0.15">
      <c r="A366" s="2" t="s">
        <v>5</v>
      </c>
      <c r="C366" s="21"/>
      <c r="D366" s="128"/>
      <c r="E366" s="54"/>
      <c r="F366" s="64"/>
      <c r="G366" s="69"/>
      <c r="I366" s="21"/>
      <c r="J366" s="128"/>
      <c r="K366" s="54"/>
      <c r="L366" s="64"/>
      <c r="M366" s="69"/>
      <c r="O366" s="21"/>
      <c r="P366" s="128"/>
      <c r="Q366" s="54"/>
      <c r="R366" s="64"/>
      <c r="S366" s="69"/>
      <c r="T366">
        <v>3</v>
      </c>
      <c r="U366" s="21">
        <v>3</v>
      </c>
      <c r="V366" s="128">
        <v>3</v>
      </c>
      <c r="W366" s="54">
        <v>2</v>
      </c>
      <c r="X366" s="64">
        <v>1</v>
      </c>
      <c r="Y366" s="69"/>
      <c r="Z366">
        <v>1</v>
      </c>
      <c r="AA366" s="21"/>
      <c r="AB366" s="128"/>
      <c r="AC366" s="54">
        <v>1</v>
      </c>
      <c r="AD366" s="64">
        <v>1</v>
      </c>
      <c r="AE366" s="69">
        <v>1</v>
      </c>
      <c r="AF366">
        <v>1</v>
      </c>
      <c r="AG366" s="21">
        <v>1</v>
      </c>
      <c r="AH366" s="128">
        <v>1</v>
      </c>
      <c r="AI366" s="54">
        <v>1</v>
      </c>
      <c r="AJ366" s="64">
        <v>1</v>
      </c>
      <c r="AK366" s="69">
        <v>1</v>
      </c>
      <c r="AM366" s="38"/>
      <c r="AN366" s="35"/>
      <c r="AO366" s="4"/>
      <c r="AP366" s="54"/>
      <c r="AQ366" s="64"/>
      <c r="AR366" s="69"/>
      <c r="AS366" s="126"/>
      <c r="AT366" s="127"/>
      <c r="AU366" s="4"/>
      <c r="AV366" s="38"/>
      <c r="AW366" s="83"/>
      <c r="AX366" s="158"/>
      <c r="AY366" s="174"/>
    </row>
    <row r="367" spans="1:51" x14ac:dyDescent="0.15">
      <c r="A367" s="2" t="s">
        <v>46</v>
      </c>
      <c r="C367" s="21"/>
      <c r="D367" s="128"/>
      <c r="E367" s="54"/>
      <c r="F367" s="64">
        <v>1</v>
      </c>
      <c r="G367" s="69"/>
      <c r="I367" s="21"/>
      <c r="J367" s="128"/>
      <c r="K367" s="54"/>
      <c r="L367" s="64"/>
      <c r="M367" s="69"/>
      <c r="N367">
        <v>2</v>
      </c>
      <c r="O367" s="21"/>
      <c r="P367" s="128"/>
      <c r="Q367" s="54"/>
      <c r="R367" s="64"/>
      <c r="S367" s="69"/>
      <c r="T367">
        <v>2</v>
      </c>
      <c r="U367" s="21">
        <v>1</v>
      </c>
      <c r="V367" s="128">
        <v>1</v>
      </c>
      <c r="W367" s="54"/>
      <c r="X367" s="64"/>
      <c r="Y367" s="69"/>
      <c r="AA367" s="21">
        <v>1</v>
      </c>
      <c r="AB367" s="128">
        <v>1</v>
      </c>
      <c r="AC367" s="54">
        <v>1</v>
      </c>
      <c r="AD367" s="64">
        <v>1</v>
      </c>
      <c r="AE367" s="69">
        <v>1</v>
      </c>
      <c r="AG367" s="21"/>
      <c r="AH367" s="128"/>
      <c r="AI367" s="54"/>
      <c r="AJ367" s="64"/>
      <c r="AK367" s="69"/>
      <c r="AM367" s="38"/>
      <c r="AN367" s="35"/>
      <c r="AO367" s="4"/>
      <c r="AP367" s="54"/>
      <c r="AQ367" s="64"/>
      <c r="AR367" s="69"/>
      <c r="AS367" s="126"/>
      <c r="AT367" s="127"/>
      <c r="AU367" s="4"/>
      <c r="AV367" s="38"/>
      <c r="AW367" s="83"/>
      <c r="AX367" s="158"/>
      <c r="AY367" s="174"/>
    </row>
    <row r="368" spans="1:51" x14ac:dyDescent="0.15">
      <c r="A368" s="2" t="s">
        <v>228</v>
      </c>
      <c r="C368" s="21"/>
      <c r="D368" s="128"/>
      <c r="E368" s="54"/>
      <c r="F368" s="64"/>
      <c r="G368" s="69"/>
      <c r="I368" s="21"/>
      <c r="J368" s="128"/>
      <c r="K368" s="54"/>
      <c r="L368" s="64"/>
      <c r="M368" s="69"/>
      <c r="N368">
        <v>1</v>
      </c>
      <c r="O368" s="21">
        <v>1</v>
      </c>
      <c r="P368" s="128">
        <v>1</v>
      </c>
      <c r="Q368" s="54">
        <v>1</v>
      </c>
      <c r="R368" s="64"/>
      <c r="S368" s="69"/>
      <c r="U368" s="21"/>
      <c r="V368" s="128"/>
      <c r="W368" s="54"/>
      <c r="X368" s="64"/>
      <c r="Y368" s="69"/>
      <c r="AA368" s="21"/>
      <c r="AB368" s="128"/>
      <c r="AC368" s="54"/>
      <c r="AD368" s="64"/>
      <c r="AE368" s="69"/>
      <c r="AG368" s="21"/>
      <c r="AH368" s="128"/>
      <c r="AI368" s="54"/>
      <c r="AJ368" s="64"/>
      <c r="AK368" s="69"/>
      <c r="AM368" s="38"/>
      <c r="AN368" s="35"/>
      <c r="AO368" s="4"/>
      <c r="AP368" s="54"/>
      <c r="AQ368" s="64"/>
      <c r="AR368" s="69"/>
      <c r="AS368" s="126"/>
      <c r="AT368" s="127"/>
      <c r="AU368" s="4"/>
      <c r="AV368" s="38"/>
      <c r="AW368" s="83"/>
      <c r="AX368" s="158"/>
      <c r="AY368" s="174"/>
    </row>
    <row r="369" spans="1:51" x14ac:dyDescent="0.15">
      <c r="A369" s="5" t="s">
        <v>133</v>
      </c>
      <c r="C369" s="21"/>
      <c r="D369" s="128"/>
      <c r="E369" s="54"/>
      <c r="F369" s="64"/>
      <c r="G369" s="69"/>
      <c r="I369" s="21"/>
      <c r="J369" s="128"/>
      <c r="K369" s="54"/>
      <c r="L369" s="64"/>
      <c r="M369" s="69"/>
      <c r="O369" s="21"/>
      <c r="P369" s="128"/>
      <c r="Q369" s="54"/>
      <c r="R369" s="64"/>
      <c r="S369" s="69"/>
      <c r="U369" s="21"/>
      <c r="V369" s="128"/>
      <c r="W369" s="54"/>
      <c r="X369" s="64"/>
      <c r="Y369" s="69"/>
      <c r="AA369" s="21"/>
      <c r="AB369" s="128"/>
      <c r="AC369" s="54"/>
      <c r="AD369" s="64"/>
      <c r="AE369" s="69"/>
      <c r="AG369" s="21"/>
      <c r="AH369" s="128"/>
      <c r="AI369" s="54"/>
      <c r="AJ369" s="64"/>
      <c r="AK369" s="69"/>
      <c r="AM369" s="38"/>
      <c r="AN369" s="35"/>
      <c r="AO369" s="4"/>
      <c r="AP369" s="54"/>
      <c r="AQ369" s="64"/>
      <c r="AR369" s="69"/>
      <c r="AS369" s="126"/>
      <c r="AT369" s="127"/>
      <c r="AU369" s="4"/>
      <c r="AV369" s="38"/>
      <c r="AW369" s="83"/>
      <c r="AX369" s="158"/>
      <c r="AY369" s="174"/>
    </row>
    <row r="370" spans="1:51" x14ac:dyDescent="0.15">
      <c r="A370" s="5" t="s">
        <v>212</v>
      </c>
      <c r="C370" s="21"/>
      <c r="D370" s="128"/>
      <c r="E370" s="54"/>
      <c r="F370" s="64"/>
      <c r="G370" s="69"/>
      <c r="I370" s="21"/>
      <c r="J370" s="128"/>
      <c r="K370" s="54"/>
      <c r="L370" s="64"/>
      <c r="M370" s="69"/>
      <c r="O370" s="21"/>
      <c r="P370" s="128"/>
      <c r="Q370" s="54"/>
      <c r="R370" s="64"/>
      <c r="S370" s="69"/>
      <c r="U370" s="21"/>
      <c r="V370" s="128"/>
      <c r="W370" s="54"/>
      <c r="X370" s="64"/>
      <c r="Y370" s="69"/>
      <c r="AA370" s="21"/>
      <c r="AB370" s="128"/>
      <c r="AC370" s="54"/>
      <c r="AD370" s="64"/>
      <c r="AE370" s="69"/>
      <c r="AG370" s="21"/>
      <c r="AH370" s="128"/>
      <c r="AI370" s="54"/>
      <c r="AJ370" s="64"/>
      <c r="AK370" s="69">
        <v>1</v>
      </c>
      <c r="AM370" s="38"/>
      <c r="AN370" s="35"/>
      <c r="AO370" s="4"/>
      <c r="AP370" s="54"/>
      <c r="AQ370" s="64"/>
      <c r="AR370" s="69"/>
      <c r="AS370" s="126"/>
      <c r="AT370" s="127"/>
      <c r="AU370" s="4"/>
      <c r="AV370" s="38"/>
      <c r="AW370" s="83"/>
      <c r="AX370" s="158"/>
      <c r="AY370" s="174"/>
    </row>
    <row r="371" spans="1:51" x14ac:dyDescent="0.15">
      <c r="A371" s="2" t="s">
        <v>45</v>
      </c>
      <c r="C371" s="21"/>
      <c r="D371" s="128"/>
      <c r="E371" s="54"/>
      <c r="F371" s="64"/>
      <c r="G371" s="69"/>
      <c r="I371" s="21"/>
      <c r="J371" s="128"/>
      <c r="K371" s="54"/>
      <c r="L371" s="64"/>
      <c r="M371" s="69"/>
      <c r="O371" s="21"/>
      <c r="P371" s="128"/>
      <c r="Q371" s="54"/>
      <c r="R371" s="64"/>
      <c r="S371" s="69"/>
      <c r="U371" s="21"/>
      <c r="V371" s="128"/>
      <c r="W371" s="54"/>
      <c r="X371" s="64"/>
      <c r="Y371" s="69"/>
      <c r="AA371" s="21"/>
      <c r="AB371" s="128"/>
      <c r="AC371" s="54"/>
      <c r="AD371" s="64"/>
      <c r="AE371" s="69"/>
      <c r="AG371" s="21"/>
      <c r="AH371" s="128"/>
      <c r="AI371" s="54"/>
      <c r="AJ371" s="64"/>
      <c r="AK371" s="69"/>
      <c r="AM371" s="38"/>
      <c r="AN371" s="35"/>
      <c r="AO371" s="4"/>
      <c r="AP371" s="54"/>
      <c r="AQ371" s="64"/>
      <c r="AR371" s="69"/>
      <c r="AS371" s="126"/>
      <c r="AT371" s="127"/>
      <c r="AU371" s="4"/>
      <c r="AV371" s="38"/>
      <c r="AW371" s="83"/>
      <c r="AX371" s="158"/>
      <c r="AY371" s="174"/>
    </row>
    <row r="372" spans="1:51" x14ac:dyDescent="0.15">
      <c r="A372" s="2" t="s">
        <v>16</v>
      </c>
      <c r="C372" s="21"/>
      <c r="D372" s="128"/>
      <c r="E372" s="54"/>
      <c r="F372" s="64"/>
      <c r="G372" s="69"/>
      <c r="I372" s="21"/>
      <c r="J372" s="128"/>
      <c r="K372" s="54"/>
      <c r="L372" s="64"/>
      <c r="M372" s="69"/>
      <c r="O372" s="21"/>
      <c r="P372" s="128"/>
      <c r="Q372" s="54"/>
      <c r="R372" s="64"/>
      <c r="S372" s="69"/>
      <c r="U372" s="21"/>
      <c r="V372" s="128"/>
      <c r="W372" s="54"/>
      <c r="X372" s="64"/>
      <c r="Y372" s="69"/>
      <c r="AA372" s="21"/>
      <c r="AB372" s="128">
        <v>1</v>
      </c>
      <c r="AC372" s="54"/>
      <c r="AD372" s="64"/>
      <c r="AE372" s="69"/>
      <c r="AG372" s="21"/>
      <c r="AH372" s="128"/>
      <c r="AI372" s="54"/>
      <c r="AJ372" s="64"/>
      <c r="AK372" s="69"/>
      <c r="AM372" s="38"/>
      <c r="AN372" s="35"/>
      <c r="AO372" s="4"/>
      <c r="AP372" s="54"/>
      <c r="AQ372" s="64"/>
      <c r="AR372" s="69"/>
      <c r="AS372" s="126"/>
      <c r="AT372" s="127"/>
      <c r="AU372" s="4"/>
      <c r="AV372" s="38"/>
      <c r="AW372" s="83"/>
      <c r="AX372" s="158"/>
      <c r="AY372" s="174"/>
    </row>
    <row r="373" spans="1:51" x14ac:dyDescent="0.15">
      <c r="A373" s="2" t="s">
        <v>219</v>
      </c>
      <c r="C373" s="21"/>
      <c r="D373" s="128"/>
      <c r="E373" s="54"/>
      <c r="F373" s="64"/>
      <c r="G373" s="69"/>
      <c r="I373" s="21"/>
      <c r="J373" s="128"/>
      <c r="K373" s="54"/>
      <c r="L373" s="64"/>
      <c r="M373" s="69"/>
      <c r="O373" s="21"/>
      <c r="P373" s="128"/>
      <c r="Q373" s="54"/>
      <c r="R373" s="64"/>
      <c r="S373" s="69"/>
      <c r="U373" s="21"/>
      <c r="V373" s="128"/>
      <c r="W373" s="54"/>
      <c r="X373" s="64"/>
      <c r="Y373" s="69"/>
      <c r="AA373" s="21"/>
      <c r="AB373" s="128"/>
      <c r="AC373" s="54"/>
      <c r="AD373" s="64"/>
      <c r="AE373" s="69"/>
      <c r="AG373" s="21"/>
      <c r="AH373" s="128"/>
      <c r="AI373" s="54"/>
      <c r="AJ373" s="64"/>
      <c r="AK373" s="69"/>
      <c r="AM373" s="38"/>
      <c r="AN373" s="35"/>
      <c r="AO373" s="4"/>
      <c r="AP373" s="54"/>
      <c r="AQ373" s="64"/>
      <c r="AR373" s="69"/>
      <c r="AS373" s="126"/>
      <c r="AT373" s="127"/>
      <c r="AU373" s="4"/>
      <c r="AV373" s="38"/>
      <c r="AW373" s="83"/>
      <c r="AX373" s="158"/>
      <c r="AY373" s="174"/>
    </row>
    <row r="374" spans="1:51" x14ac:dyDescent="0.15">
      <c r="A374" s="5" t="s">
        <v>70</v>
      </c>
      <c r="C374" s="21"/>
      <c r="D374" s="128"/>
      <c r="E374" s="54"/>
      <c r="F374" s="64"/>
      <c r="G374" s="69"/>
      <c r="I374" s="21"/>
      <c r="J374" s="128"/>
      <c r="K374" s="54"/>
      <c r="L374" s="64"/>
      <c r="M374" s="69"/>
      <c r="O374" s="21"/>
      <c r="P374" s="128"/>
      <c r="Q374" s="54"/>
      <c r="R374" s="64"/>
      <c r="S374" s="69"/>
      <c r="U374" s="21"/>
      <c r="V374" s="128"/>
      <c r="W374" s="54"/>
      <c r="X374" s="64"/>
      <c r="Y374" s="69"/>
      <c r="AA374" s="21"/>
      <c r="AB374" s="128"/>
      <c r="AC374" s="54"/>
      <c r="AD374" s="64"/>
      <c r="AE374" s="69"/>
      <c r="AG374" s="21"/>
      <c r="AH374" s="128"/>
      <c r="AI374" s="54"/>
      <c r="AJ374" s="64"/>
      <c r="AK374" s="69"/>
      <c r="AL374" s="4"/>
      <c r="AM374" s="38"/>
      <c r="AN374" s="35"/>
      <c r="AO374" s="4"/>
      <c r="AP374" s="54"/>
      <c r="AQ374" s="64"/>
      <c r="AR374" s="69"/>
      <c r="AS374" s="126"/>
      <c r="AT374" s="127"/>
      <c r="AU374" s="4"/>
      <c r="AV374" s="38"/>
      <c r="AW374" s="83"/>
      <c r="AX374" s="158"/>
      <c r="AY374" s="174"/>
    </row>
    <row r="375" spans="1:51" x14ac:dyDescent="0.15">
      <c r="A375" s="5" t="s">
        <v>221</v>
      </c>
      <c r="C375" s="21"/>
      <c r="D375" s="128"/>
      <c r="E375" s="54"/>
      <c r="F375" s="64"/>
      <c r="G375" s="69"/>
      <c r="I375" s="21"/>
      <c r="J375" s="128"/>
      <c r="K375" s="54"/>
      <c r="L375" s="64"/>
      <c r="M375" s="69"/>
      <c r="O375" s="21"/>
      <c r="P375" s="128"/>
      <c r="Q375" s="54"/>
      <c r="R375" s="64"/>
      <c r="S375" s="69"/>
      <c r="U375" s="21"/>
      <c r="V375" s="128"/>
      <c r="W375" s="54"/>
      <c r="X375" s="64"/>
      <c r="Y375" s="69"/>
      <c r="AA375" s="21"/>
      <c r="AB375" s="128"/>
      <c r="AC375" s="54"/>
      <c r="AD375" s="64"/>
      <c r="AE375" s="69"/>
      <c r="AG375" s="21"/>
      <c r="AH375" s="128"/>
      <c r="AI375" s="54"/>
      <c r="AJ375" s="64"/>
      <c r="AK375" s="69"/>
      <c r="AL375" s="4"/>
      <c r="AM375" s="38"/>
      <c r="AN375" s="35"/>
      <c r="AO375" s="4"/>
      <c r="AP375" s="54"/>
      <c r="AQ375" s="64"/>
      <c r="AR375" s="69"/>
      <c r="AS375" s="126"/>
      <c r="AT375" s="127"/>
      <c r="AU375" s="4"/>
      <c r="AV375" s="38"/>
      <c r="AW375" s="83"/>
      <c r="AX375" s="158"/>
      <c r="AY375" s="174"/>
    </row>
    <row r="376" spans="1:51" x14ac:dyDescent="0.15">
      <c r="A376" s="5" t="s">
        <v>199</v>
      </c>
      <c r="C376" s="21"/>
      <c r="D376" s="128"/>
      <c r="E376" s="54"/>
      <c r="F376" s="64"/>
      <c r="G376" s="69"/>
      <c r="I376" s="21"/>
      <c r="J376" s="128"/>
      <c r="K376" s="54"/>
      <c r="L376" s="64"/>
      <c r="M376" s="69"/>
      <c r="O376" s="21"/>
      <c r="P376" s="128"/>
      <c r="Q376" s="54"/>
      <c r="R376" s="64"/>
      <c r="S376" s="69"/>
      <c r="U376" s="21"/>
      <c r="V376" s="128"/>
      <c r="W376" s="54"/>
      <c r="X376" s="64"/>
      <c r="Y376" s="69"/>
      <c r="AA376" s="21"/>
      <c r="AB376" s="128"/>
      <c r="AC376" s="54"/>
      <c r="AD376" s="64"/>
      <c r="AE376" s="69"/>
      <c r="AG376" s="21"/>
      <c r="AH376" s="128"/>
      <c r="AI376" s="54"/>
      <c r="AJ376" s="64"/>
      <c r="AK376" s="69"/>
      <c r="AL376" s="4"/>
      <c r="AM376" s="38"/>
      <c r="AN376" s="35"/>
      <c r="AO376" s="4"/>
      <c r="AP376" s="54"/>
      <c r="AQ376" s="64"/>
      <c r="AR376" s="69"/>
      <c r="AS376" s="126"/>
      <c r="AT376" s="127"/>
      <c r="AU376" s="4"/>
      <c r="AV376" s="38"/>
      <c r="AW376" s="83"/>
      <c r="AX376" s="158"/>
      <c r="AY376" s="174"/>
    </row>
    <row r="377" spans="1:51" x14ac:dyDescent="0.15">
      <c r="A377" s="5" t="s">
        <v>222</v>
      </c>
      <c r="C377" s="21"/>
      <c r="D377" s="128"/>
      <c r="E377" s="54"/>
      <c r="F377" s="64"/>
      <c r="G377" s="69"/>
      <c r="I377" s="21"/>
      <c r="J377" s="128"/>
      <c r="K377" s="54"/>
      <c r="L377" s="64"/>
      <c r="M377" s="69"/>
      <c r="O377" s="21"/>
      <c r="P377" s="128"/>
      <c r="Q377" s="54"/>
      <c r="R377" s="64"/>
      <c r="S377" s="69"/>
      <c r="U377" s="21"/>
      <c r="V377" s="128"/>
      <c r="W377" s="54"/>
      <c r="X377" s="64"/>
      <c r="Y377" s="69"/>
      <c r="AA377" s="21"/>
      <c r="AB377" s="128"/>
      <c r="AC377" s="54"/>
      <c r="AD377" s="64"/>
      <c r="AE377" s="69"/>
      <c r="AG377" s="21"/>
      <c r="AH377" s="128"/>
      <c r="AI377" s="54"/>
      <c r="AJ377" s="64"/>
      <c r="AK377" s="69"/>
      <c r="AL377" s="4"/>
      <c r="AM377" s="38"/>
      <c r="AN377" s="35"/>
      <c r="AO377" s="4"/>
      <c r="AP377" s="54"/>
      <c r="AQ377" s="64"/>
      <c r="AR377" s="69"/>
      <c r="AS377" s="126"/>
      <c r="AT377" s="127"/>
      <c r="AU377" s="4"/>
      <c r="AV377" s="38"/>
      <c r="AW377" s="83"/>
      <c r="AX377" s="158"/>
      <c r="AY377" s="174"/>
    </row>
    <row r="378" spans="1:51" x14ac:dyDescent="0.15">
      <c r="A378" s="2" t="s">
        <v>62</v>
      </c>
      <c r="C378" s="21"/>
      <c r="D378" s="128"/>
      <c r="E378" s="54"/>
      <c r="F378" s="64"/>
      <c r="G378" s="69"/>
      <c r="I378" s="21"/>
      <c r="J378" s="128"/>
      <c r="K378" s="54"/>
      <c r="L378" s="64"/>
      <c r="M378" s="69"/>
      <c r="O378" s="21"/>
      <c r="P378" s="128"/>
      <c r="Q378" s="54"/>
      <c r="R378" s="64"/>
      <c r="S378" s="69"/>
      <c r="U378" s="21"/>
      <c r="V378" s="128"/>
      <c r="W378" s="54"/>
      <c r="X378" s="64"/>
      <c r="Y378" s="69"/>
      <c r="AA378" s="21"/>
      <c r="AB378" s="128"/>
      <c r="AC378" s="54"/>
      <c r="AD378" s="64"/>
      <c r="AE378" s="69"/>
      <c r="AG378" s="21"/>
      <c r="AH378" s="128"/>
      <c r="AI378" s="54"/>
      <c r="AJ378" s="64"/>
      <c r="AK378" s="69"/>
      <c r="AM378" s="38"/>
      <c r="AN378" s="35"/>
      <c r="AO378" s="4"/>
      <c r="AP378" s="54"/>
      <c r="AQ378" s="64"/>
      <c r="AR378" s="69"/>
      <c r="AS378" s="126"/>
      <c r="AT378" s="127"/>
      <c r="AU378" s="4"/>
      <c r="AV378" s="38"/>
      <c r="AW378" s="83"/>
      <c r="AX378" s="158"/>
      <c r="AY378" s="174"/>
    </row>
    <row r="379" spans="1:51" x14ac:dyDescent="0.15">
      <c r="A379" s="2" t="s">
        <v>17</v>
      </c>
      <c r="C379" s="21"/>
      <c r="D379" s="128"/>
      <c r="E379" s="54"/>
      <c r="F379" s="64"/>
      <c r="G379" s="69"/>
      <c r="I379" s="21"/>
      <c r="J379" s="128"/>
      <c r="K379" s="54"/>
      <c r="L379" s="64"/>
      <c r="M379" s="69"/>
      <c r="O379" s="21"/>
      <c r="P379" s="128"/>
      <c r="Q379" s="54"/>
      <c r="R379" s="64"/>
      <c r="S379" s="69"/>
      <c r="U379" s="21"/>
      <c r="V379" s="128"/>
      <c r="W379" s="54"/>
      <c r="X379" s="64"/>
      <c r="Y379" s="69"/>
      <c r="AA379" s="21"/>
      <c r="AB379" s="128"/>
      <c r="AC379" s="54"/>
      <c r="AD379" s="64"/>
      <c r="AE379" s="69"/>
      <c r="AG379" s="21"/>
      <c r="AH379" s="128"/>
      <c r="AI379" s="54"/>
      <c r="AJ379" s="64"/>
      <c r="AK379" s="69"/>
      <c r="AM379" s="38"/>
      <c r="AN379" s="35"/>
      <c r="AO379" s="4"/>
      <c r="AP379" s="54"/>
      <c r="AQ379" s="64"/>
      <c r="AR379" s="69"/>
      <c r="AS379" s="126"/>
      <c r="AT379" s="127"/>
      <c r="AU379" s="4"/>
      <c r="AV379" s="38"/>
      <c r="AW379" s="83"/>
      <c r="AX379" s="158"/>
      <c r="AY379" s="174"/>
    </row>
    <row r="380" spans="1:51" x14ac:dyDescent="0.15">
      <c r="A380" s="2" t="s">
        <v>49</v>
      </c>
      <c r="C380" s="21"/>
      <c r="D380" s="128">
        <v>1</v>
      </c>
      <c r="E380" s="54">
        <v>1</v>
      </c>
      <c r="F380" s="64"/>
      <c r="G380" s="69"/>
      <c r="I380" s="21"/>
      <c r="J380" s="128"/>
      <c r="K380" s="54"/>
      <c r="L380" s="64"/>
      <c r="M380" s="69"/>
      <c r="O380" s="21"/>
      <c r="P380" s="128">
        <v>1</v>
      </c>
      <c r="Q380" s="54"/>
      <c r="R380" s="64">
        <v>1</v>
      </c>
      <c r="S380" s="69">
        <v>1</v>
      </c>
      <c r="U380" s="21"/>
      <c r="V380" s="128">
        <v>1</v>
      </c>
      <c r="W380" s="54"/>
      <c r="X380" s="64">
        <v>1</v>
      </c>
      <c r="Y380" s="69">
        <v>1</v>
      </c>
      <c r="AA380" s="21"/>
      <c r="AB380" s="128">
        <v>1</v>
      </c>
      <c r="AC380" s="54">
        <v>1</v>
      </c>
      <c r="AD380" s="64">
        <v>1</v>
      </c>
      <c r="AE380" s="69">
        <v>1</v>
      </c>
      <c r="AG380" s="21">
        <v>1</v>
      </c>
      <c r="AH380" s="128">
        <v>1</v>
      </c>
      <c r="AI380" s="54">
        <v>1</v>
      </c>
      <c r="AJ380" s="64">
        <v>1</v>
      </c>
      <c r="AK380" s="69">
        <v>1</v>
      </c>
      <c r="AM380" s="38">
        <v>3</v>
      </c>
      <c r="AN380" s="35">
        <v>2</v>
      </c>
      <c r="AO380" s="4">
        <v>1</v>
      </c>
      <c r="AP380" s="54">
        <v>1</v>
      </c>
      <c r="AQ380" s="64">
        <v>2</v>
      </c>
      <c r="AR380" s="69">
        <v>2</v>
      </c>
      <c r="AS380" s="126">
        <v>1</v>
      </c>
      <c r="AT380" s="127">
        <v>1</v>
      </c>
      <c r="AU380" s="4">
        <v>2</v>
      </c>
      <c r="AV380" s="38">
        <v>1</v>
      </c>
      <c r="AW380" s="83">
        <v>1</v>
      </c>
      <c r="AX380" s="158">
        <v>1</v>
      </c>
      <c r="AY380" s="174">
        <v>2</v>
      </c>
    </row>
    <row r="381" spans="1:51" x14ac:dyDescent="0.15">
      <c r="A381" s="2" t="s">
        <v>6</v>
      </c>
      <c r="C381" s="21"/>
      <c r="D381" s="128"/>
      <c r="E381" s="54"/>
      <c r="F381" s="64"/>
      <c r="G381" s="69"/>
      <c r="I381" s="21"/>
      <c r="J381" s="128"/>
      <c r="K381" s="54"/>
      <c r="L381" s="64"/>
      <c r="M381" s="69"/>
      <c r="O381" s="21"/>
      <c r="P381" s="128"/>
      <c r="Q381" s="54"/>
      <c r="R381" s="64"/>
      <c r="S381" s="69"/>
      <c r="U381" s="21"/>
      <c r="V381" s="128"/>
      <c r="W381" s="54"/>
      <c r="X381" s="64"/>
      <c r="Y381" s="69"/>
      <c r="AA381" s="21"/>
      <c r="AB381" s="128"/>
      <c r="AC381" s="54"/>
      <c r="AD381" s="64"/>
      <c r="AE381" s="69"/>
      <c r="AG381" s="21"/>
      <c r="AH381" s="128"/>
      <c r="AI381" s="54"/>
      <c r="AJ381" s="64"/>
      <c r="AK381" s="69"/>
      <c r="AM381" s="38"/>
      <c r="AN381" s="35"/>
      <c r="AO381" s="4"/>
      <c r="AP381" s="54"/>
      <c r="AQ381" s="64"/>
      <c r="AR381" s="69"/>
      <c r="AS381" s="126"/>
      <c r="AT381" s="127"/>
      <c r="AU381" s="4"/>
      <c r="AV381" s="38"/>
      <c r="AW381" s="83"/>
      <c r="AX381" s="158"/>
      <c r="AY381" s="174"/>
    </row>
    <row r="382" spans="1:51" x14ac:dyDescent="0.15">
      <c r="A382" s="2" t="s">
        <v>19</v>
      </c>
      <c r="C382" s="21"/>
      <c r="D382" s="128"/>
      <c r="E382" s="54"/>
      <c r="F382" s="64"/>
      <c r="G382" s="69"/>
      <c r="I382" s="21"/>
      <c r="J382" s="128"/>
      <c r="K382" s="54"/>
      <c r="L382" s="64"/>
      <c r="M382" s="69"/>
      <c r="O382" s="21"/>
      <c r="P382" s="128"/>
      <c r="Q382" s="54"/>
      <c r="R382" s="64"/>
      <c r="S382" s="69"/>
      <c r="U382" s="21"/>
      <c r="V382" s="128"/>
      <c r="W382" s="54"/>
      <c r="X382" s="64"/>
      <c r="Y382" s="69"/>
      <c r="AA382" s="21"/>
      <c r="AB382" s="128"/>
      <c r="AC382" s="54"/>
      <c r="AD382" s="64"/>
      <c r="AE382" s="69"/>
      <c r="AG382" s="21"/>
      <c r="AH382" s="128"/>
      <c r="AI382" s="54"/>
      <c r="AJ382" s="64"/>
      <c r="AK382" s="69"/>
      <c r="AM382" s="38"/>
      <c r="AN382" s="35"/>
      <c r="AO382" s="4"/>
      <c r="AP382" s="54"/>
      <c r="AQ382" s="64"/>
      <c r="AR382" s="69"/>
      <c r="AS382" s="126"/>
      <c r="AT382" s="127"/>
      <c r="AU382" s="4"/>
      <c r="AV382" s="38"/>
      <c r="AW382" s="83"/>
      <c r="AX382" s="158"/>
      <c r="AY382" s="174"/>
    </row>
    <row r="383" spans="1:51" x14ac:dyDescent="0.15">
      <c r="A383" s="2" t="s">
        <v>68</v>
      </c>
      <c r="B383">
        <v>1</v>
      </c>
      <c r="C383" s="21"/>
      <c r="D383" s="128"/>
      <c r="E383" s="54"/>
      <c r="F383" s="64"/>
      <c r="G383" s="69"/>
      <c r="I383" s="21"/>
      <c r="J383" s="128"/>
      <c r="K383" s="54"/>
      <c r="L383" s="64"/>
      <c r="M383" s="69"/>
      <c r="O383" s="21"/>
      <c r="P383" s="128"/>
      <c r="Q383" s="54"/>
      <c r="R383" s="64"/>
      <c r="S383" s="69"/>
      <c r="U383" s="21"/>
      <c r="V383" s="128"/>
      <c r="W383" s="54"/>
      <c r="X383" s="64"/>
      <c r="Y383" s="69"/>
      <c r="Z383">
        <v>1</v>
      </c>
      <c r="AA383" s="21"/>
      <c r="AB383" s="128"/>
      <c r="AC383" s="54"/>
      <c r="AD383" s="64"/>
      <c r="AE383" s="69"/>
      <c r="AG383" s="21"/>
      <c r="AH383" s="128"/>
      <c r="AI383" s="54"/>
      <c r="AJ383" s="64"/>
      <c r="AK383" s="69"/>
      <c r="AM383" s="38"/>
      <c r="AN383" s="35"/>
      <c r="AO383" s="4"/>
      <c r="AP383" s="54"/>
      <c r="AQ383" s="64"/>
      <c r="AR383" s="69"/>
      <c r="AS383" s="126"/>
      <c r="AT383" s="127"/>
      <c r="AU383" s="4"/>
      <c r="AV383" s="38"/>
      <c r="AW383" s="83"/>
      <c r="AX383" s="158"/>
      <c r="AY383" s="174"/>
    </row>
    <row r="384" spans="1:51" x14ac:dyDescent="0.15">
      <c r="A384" s="2" t="s">
        <v>37</v>
      </c>
      <c r="C384" s="21"/>
      <c r="D384" s="128"/>
      <c r="E384" s="54"/>
      <c r="F384" s="64"/>
      <c r="G384" s="69"/>
      <c r="I384" s="21"/>
      <c r="J384" s="128"/>
      <c r="K384" s="54"/>
      <c r="L384" s="64"/>
      <c r="M384" s="69"/>
      <c r="O384" s="21"/>
      <c r="P384" s="128"/>
      <c r="Q384" s="54"/>
      <c r="R384" s="64"/>
      <c r="S384" s="69"/>
      <c r="U384" s="21"/>
      <c r="V384" s="128"/>
      <c r="W384" s="54"/>
      <c r="X384" s="64"/>
      <c r="Y384" s="69"/>
      <c r="AA384" s="21"/>
      <c r="AB384" s="128"/>
      <c r="AC384" s="54"/>
      <c r="AD384" s="64"/>
      <c r="AE384" s="69"/>
      <c r="AG384" s="21"/>
      <c r="AH384" s="128"/>
      <c r="AI384" s="54"/>
      <c r="AJ384" s="64"/>
      <c r="AK384" s="69"/>
      <c r="AM384" s="38"/>
      <c r="AN384" s="35"/>
      <c r="AO384" s="4"/>
      <c r="AP384" s="54"/>
      <c r="AQ384" s="64"/>
      <c r="AR384" s="69"/>
      <c r="AS384" s="126"/>
      <c r="AT384" s="127"/>
      <c r="AU384" s="4"/>
      <c r="AV384" s="38"/>
      <c r="AW384" s="83"/>
      <c r="AX384" s="158"/>
      <c r="AY384" s="174"/>
    </row>
    <row r="385" spans="1:51" x14ac:dyDescent="0.15">
      <c r="A385" s="2" t="s">
        <v>20</v>
      </c>
      <c r="C385" s="21"/>
      <c r="D385" s="128"/>
      <c r="E385" s="54"/>
      <c r="F385" s="64"/>
      <c r="G385" s="69"/>
      <c r="H385">
        <v>2</v>
      </c>
      <c r="I385" s="21"/>
      <c r="J385" s="128"/>
      <c r="K385" s="54"/>
      <c r="L385" s="64"/>
      <c r="M385" s="69"/>
      <c r="O385" s="21"/>
      <c r="P385" s="128"/>
      <c r="Q385" s="54"/>
      <c r="R385" s="64"/>
      <c r="S385" s="69"/>
      <c r="U385" s="21"/>
      <c r="V385" s="128"/>
      <c r="W385" s="54"/>
      <c r="X385" s="64"/>
      <c r="Y385" s="69"/>
      <c r="AA385" s="21"/>
      <c r="AB385" s="128"/>
      <c r="AC385" s="54"/>
      <c r="AD385" s="64"/>
      <c r="AE385" s="69"/>
      <c r="AG385" s="21"/>
      <c r="AH385" s="128"/>
      <c r="AI385" s="54"/>
      <c r="AJ385" s="64"/>
      <c r="AK385" s="69"/>
      <c r="AM385" s="38"/>
      <c r="AN385" s="35"/>
      <c r="AO385" s="4"/>
      <c r="AP385" s="54"/>
      <c r="AQ385" s="64"/>
      <c r="AR385" s="69"/>
      <c r="AS385" s="126"/>
      <c r="AT385" s="127"/>
      <c r="AU385" s="4"/>
      <c r="AV385" s="38"/>
      <c r="AW385" s="83"/>
      <c r="AX385" s="158"/>
      <c r="AY385" s="174"/>
    </row>
    <row r="386" spans="1:51" x14ac:dyDescent="0.15">
      <c r="A386" s="2" t="s">
        <v>11</v>
      </c>
      <c r="C386" s="21"/>
      <c r="D386" s="128"/>
      <c r="E386" s="54"/>
      <c r="F386" s="64"/>
      <c r="G386" s="69"/>
      <c r="I386" s="21"/>
      <c r="J386" s="128"/>
      <c r="K386" s="54"/>
      <c r="L386" s="64"/>
      <c r="M386" s="69"/>
      <c r="O386" s="21"/>
      <c r="P386" s="128"/>
      <c r="Q386" s="54"/>
      <c r="R386" s="64"/>
      <c r="S386" s="69"/>
      <c r="U386" s="21"/>
      <c r="V386" s="128"/>
      <c r="W386" s="54"/>
      <c r="X386" s="64"/>
      <c r="Y386" s="69"/>
      <c r="AA386" s="21"/>
      <c r="AB386" s="128"/>
      <c r="AC386" s="54"/>
      <c r="AD386" s="64"/>
      <c r="AE386" s="69"/>
      <c r="AG386" s="21"/>
      <c r="AH386" s="128"/>
      <c r="AI386" s="54"/>
      <c r="AJ386" s="64"/>
      <c r="AK386" s="69"/>
      <c r="AM386" s="38"/>
      <c r="AN386" s="35"/>
      <c r="AO386" s="4"/>
      <c r="AP386" s="54"/>
      <c r="AQ386" s="64"/>
      <c r="AR386" s="69"/>
      <c r="AS386" s="126"/>
      <c r="AT386" s="127"/>
      <c r="AU386" s="4"/>
      <c r="AV386" s="38"/>
      <c r="AW386" s="83"/>
      <c r="AX386" s="158"/>
      <c r="AY386" s="174"/>
    </row>
    <row r="387" spans="1:51" x14ac:dyDescent="0.15">
      <c r="A387" s="2" t="s">
        <v>21</v>
      </c>
      <c r="B387">
        <v>3</v>
      </c>
      <c r="C387" s="21">
        <v>3</v>
      </c>
      <c r="D387" s="128">
        <v>3</v>
      </c>
      <c r="E387" s="54">
        <v>3</v>
      </c>
      <c r="F387" s="64">
        <v>3</v>
      </c>
      <c r="G387" s="69">
        <v>3</v>
      </c>
      <c r="I387" s="21">
        <v>1</v>
      </c>
      <c r="J387" s="128">
        <v>1</v>
      </c>
      <c r="K387" s="54"/>
      <c r="L387" s="64">
        <v>1</v>
      </c>
      <c r="M387" s="69"/>
      <c r="N387">
        <v>3</v>
      </c>
      <c r="O387" s="21">
        <v>3</v>
      </c>
      <c r="P387" s="128">
        <v>1</v>
      </c>
      <c r="Q387" s="54">
        <v>1</v>
      </c>
      <c r="R387" s="64">
        <v>2</v>
      </c>
      <c r="S387" s="69">
        <v>2</v>
      </c>
      <c r="T387">
        <v>2</v>
      </c>
      <c r="U387" s="21">
        <v>2</v>
      </c>
      <c r="V387" s="128">
        <v>1</v>
      </c>
      <c r="W387" s="54">
        <v>1</v>
      </c>
      <c r="X387" s="64">
        <v>2</v>
      </c>
      <c r="Y387" s="69">
        <v>2</v>
      </c>
      <c r="Z387">
        <v>2</v>
      </c>
      <c r="AA387" s="21">
        <v>2</v>
      </c>
      <c r="AB387" s="128">
        <v>2</v>
      </c>
      <c r="AC387" s="54">
        <v>2</v>
      </c>
      <c r="AD387" s="64">
        <v>2</v>
      </c>
      <c r="AE387" s="69">
        <v>2</v>
      </c>
      <c r="AF387">
        <v>2</v>
      </c>
      <c r="AG387" s="21">
        <v>2</v>
      </c>
      <c r="AH387" s="128">
        <v>2</v>
      </c>
      <c r="AI387" s="54">
        <v>1</v>
      </c>
      <c r="AJ387" s="64">
        <v>1</v>
      </c>
      <c r="AK387" s="69">
        <v>1</v>
      </c>
      <c r="AM387" s="38"/>
      <c r="AN387" s="35"/>
      <c r="AO387" s="4"/>
      <c r="AP387" s="54"/>
      <c r="AQ387" s="64"/>
      <c r="AR387" s="69"/>
      <c r="AS387" s="126"/>
      <c r="AT387" s="127"/>
      <c r="AU387" s="4"/>
      <c r="AV387" s="38"/>
      <c r="AW387" s="83"/>
      <c r="AX387" s="158"/>
      <c r="AY387" s="174"/>
    </row>
    <row r="388" spans="1:51" x14ac:dyDescent="0.15">
      <c r="A388" s="2" t="s">
        <v>197</v>
      </c>
      <c r="C388" s="21"/>
      <c r="D388" s="128"/>
      <c r="E388" s="54"/>
      <c r="F388" s="64"/>
      <c r="G388" s="69"/>
      <c r="I388" s="21"/>
      <c r="J388" s="128"/>
      <c r="K388" s="54"/>
      <c r="L388" s="64"/>
      <c r="M388" s="69"/>
      <c r="O388" s="21"/>
      <c r="P388" s="128"/>
      <c r="Q388" s="54"/>
      <c r="R388" s="64"/>
      <c r="S388" s="69"/>
      <c r="U388" s="21"/>
      <c r="V388" s="128"/>
      <c r="W388" s="54"/>
      <c r="X388" s="64"/>
      <c r="Y388" s="69"/>
      <c r="AA388" s="21"/>
      <c r="AB388" s="128"/>
      <c r="AC388" s="54"/>
      <c r="AD388" s="64"/>
      <c r="AE388" s="69"/>
      <c r="AG388" s="21"/>
      <c r="AH388" s="128"/>
      <c r="AI388" s="54"/>
      <c r="AJ388" s="64"/>
      <c r="AK388" s="69"/>
      <c r="AM388" s="38"/>
      <c r="AN388" s="35"/>
      <c r="AO388" s="4"/>
      <c r="AP388" s="54"/>
      <c r="AQ388" s="64"/>
      <c r="AR388" s="69"/>
      <c r="AS388" s="126"/>
      <c r="AT388" s="127"/>
      <c r="AU388" s="4"/>
      <c r="AV388" s="38"/>
      <c r="AW388" s="83"/>
      <c r="AX388" s="158"/>
      <c r="AY388" s="174"/>
    </row>
    <row r="389" spans="1:51" x14ac:dyDescent="0.15">
      <c r="A389" s="2" t="s">
        <v>196</v>
      </c>
      <c r="C389" s="21"/>
      <c r="D389" s="128"/>
      <c r="E389" s="54"/>
      <c r="F389" s="64"/>
      <c r="G389" s="69"/>
      <c r="I389" s="21"/>
      <c r="J389" s="128"/>
      <c r="K389" s="54"/>
      <c r="L389" s="64"/>
      <c r="M389" s="69"/>
      <c r="O389" s="21"/>
      <c r="P389" s="128"/>
      <c r="Q389" s="54"/>
      <c r="R389" s="64"/>
      <c r="S389" s="69"/>
      <c r="U389" s="21"/>
      <c r="V389" s="128"/>
      <c r="W389" s="54"/>
      <c r="X389" s="64"/>
      <c r="Y389" s="69"/>
      <c r="AA389" s="21"/>
      <c r="AB389" s="128"/>
      <c r="AC389" s="54"/>
      <c r="AD389" s="64"/>
      <c r="AE389" s="69"/>
      <c r="AG389" s="21"/>
      <c r="AH389" s="128"/>
      <c r="AI389" s="54"/>
      <c r="AJ389" s="64"/>
      <c r="AK389" s="69"/>
      <c r="AM389" s="38"/>
      <c r="AN389" s="35"/>
      <c r="AO389" s="4"/>
      <c r="AP389" s="54"/>
      <c r="AQ389" s="64"/>
      <c r="AR389" s="69"/>
      <c r="AS389" s="126"/>
      <c r="AT389" s="127"/>
      <c r="AU389" s="4"/>
      <c r="AV389" s="38"/>
      <c r="AW389" s="83"/>
      <c r="AX389" s="158"/>
      <c r="AY389" s="174"/>
    </row>
    <row r="390" spans="1:51" x14ac:dyDescent="0.15">
      <c r="A390" s="5" t="s">
        <v>198</v>
      </c>
      <c r="C390" s="21"/>
      <c r="D390" s="128"/>
      <c r="E390" s="54"/>
      <c r="F390" s="64"/>
      <c r="G390" s="69"/>
      <c r="I390" s="21"/>
      <c r="J390" s="128"/>
      <c r="K390" s="54"/>
      <c r="L390" s="64"/>
      <c r="M390" s="69"/>
      <c r="O390" s="21"/>
      <c r="P390" s="128"/>
      <c r="Q390" s="54"/>
      <c r="R390" s="64"/>
      <c r="S390" s="69"/>
      <c r="U390" s="21"/>
      <c r="V390" s="128"/>
      <c r="W390" s="54"/>
      <c r="X390" s="64"/>
      <c r="Y390" s="69"/>
      <c r="AA390" s="21"/>
      <c r="AB390" s="128"/>
      <c r="AC390" s="54"/>
      <c r="AD390" s="64"/>
      <c r="AE390" s="69"/>
      <c r="AG390" s="21"/>
      <c r="AH390" s="128"/>
      <c r="AI390" s="54"/>
      <c r="AJ390" s="64"/>
      <c r="AK390" s="69"/>
      <c r="AM390" s="38"/>
      <c r="AN390" s="35"/>
      <c r="AO390" s="4"/>
      <c r="AP390" s="54"/>
      <c r="AQ390" s="64"/>
      <c r="AR390" s="69"/>
      <c r="AS390" s="126"/>
      <c r="AT390" s="127"/>
      <c r="AU390" s="4"/>
      <c r="AV390" s="38"/>
      <c r="AW390" s="83"/>
      <c r="AX390" s="158"/>
      <c r="AY390" s="174"/>
    </row>
    <row r="391" spans="1:51" x14ac:dyDescent="0.15">
      <c r="A391" s="2" t="s">
        <v>35</v>
      </c>
      <c r="C391" s="21"/>
      <c r="D391" s="128"/>
      <c r="E391" s="54"/>
      <c r="F391" s="64">
        <v>1</v>
      </c>
      <c r="G391" s="69"/>
      <c r="H391">
        <v>3</v>
      </c>
      <c r="I391" s="21"/>
      <c r="J391" s="128"/>
      <c r="K391" s="54"/>
      <c r="L391" s="64">
        <v>1</v>
      </c>
      <c r="M391" s="69">
        <v>1</v>
      </c>
      <c r="N391">
        <v>1</v>
      </c>
      <c r="O391" s="21"/>
      <c r="P391" s="128"/>
      <c r="Q391" s="54"/>
      <c r="R391" s="64">
        <v>1</v>
      </c>
      <c r="S391" s="69"/>
      <c r="U391" s="21"/>
      <c r="V391" s="128"/>
      <c r="W391" s="54"/>
      <c r="X391" s="64"/>
      <c r="Y391" s="69"/>
      <c r="Z391">
        <v>1</v>
      </c>
      <c r="AA391" s="21"/>
      <c r="AB391" s="128"/>
      <c r="AC391" s="54">
        <v>1</v>
      </c>
      <c r="AD391" s="64">
        <v>1</v>
      </c>
      <c r="AE391" s="69">
        <v>1</v>
      </c>
      <c r="AG391" s="21"/>
      <c r="AH391" s="128"/>
      <c r="AI391" s="54"/>
      <c r="AJ391" s="64"/>
      <c r="AK391" s="69"/>
      <c r="AM391" s="38"/>
      <c r="AN391" s="35"/>
      <c r="AO391" s="4"/>
      <c r="AP391" s="54"/>
      <c r="AQ391" s="64"/>
      <c r="AR391" s="69"/>
      <c r="AS391" s="126"/>
      <c r="AT391" s="127"/>
      <c r="AU391" s="4"/>
      <c r="AV391" s="38"/>
      <c r="AW391" s="83"/>
      <c r="AX391" s="158"/>
      <c r="AY391" s="174"/>
    </row>
    <row r="392" spans="1:51" x14ac:dyDescent="0.15">
      <c r="A392" s="2" t="s">
        <v>110</v>
      </c>
      <c r="C392" s="21"/>
      <c r="D392" s="128"/>
      <c r="E392" s="54"/>
      <c r="F392" s="64"/>
      <c r="G392" s="69"/>
      <c r="I392" s="21"/>
      <c r="J392" s="128"/>
      <c r="K392" s="54"/>
      <c r="L392" s="64"/>
      <c r="M392" s="69"/>
      <c r="O392" s="21"/>
      <c r="P392" s="128"/>
      <c r="Q392" s="54"/>
      <c r="R392" s="64"/>
      <c r="S392" s="69"/>
      <c r="U392" s="21"/>
      <c r="V392" s="128"/>
      <c r="W392" s="54"/>
      <c r="X392" s="64"/>
      <c r="Y392" s="69"/>
      <c r="AA392" s="21"/>
      <c r="AB392" s="128"/>
      <c r="AC392" s="54"/>
      <c r="AD392" s="64"/>
      <c r="AE392" s="69"/>
      <c r="AG392" s="21"/>
      <c r="AH392" s="128"/>
      <c r="AI392" s="54"/>
      <c r="AJ392" s="64"/>
      <c r="AK392" s="69"/>
      <c r="AM392" s="38"/>
      <c r="AN392" s="35"/>
      <c r="AO392" s="4"/>
      <c r="AP392" s="54"/>
      <c r="AQ392" s="64"/>
      <c r="AR392" s="69"/>
      <c r="AS392" s="126"/>
      <c r="AT392" s="127"/>
      <c r="AU392" s="4"/>
      <c r="AV392" s="38"/>
      <c r="AW392" s="83"/>
      <c r="AX392" s="158"/>
      <c r="AY392" s="174"/>
    </row>
    <row r="393" spans="1:51" x14ac:dyDescent="0.15">
      <c r="A393" s="2" t="s">
        <v>25</v>
      </c>
      <c r="C393" s="21"/>
      <c r="D393" s="128"/>
      <c r="E393" s="54"/>
      <c r="F393" s="64"/>
      <c r="G393" s="69"/>
      <c r="I393" s="21"/>
      <c r="J393" s="128"/>
      <c r="K393" s="54"/>
      <c r="L393" s="64"/>
      <c r="M393" s="69"/>
      <c r="O393" s="21"/>
      <c r="P393" s="128"/>
      <c r="Q393" s="54"/>
      <c r="R393" s="64"/>
      <c r="S393" s="69"/>
      <c r="U393" s="21"/>
      <c r="V393" s="128"/>
      <c r="W393" s="54"/>
      <c r="X393" s="64"/>
      <c r="Y393" s="69"/>
      <c r="AA393" s="21"/>
      <c r="AB393" s="128"/>
      <c r="AC393" s="54"/>
      <c r="AD393" s="64"/>
      <c r="AE393" s="69"/>
      <c r="AG393" s="21"/>
      <c r="AH393" s="128"/>
      <c r="AI393" s="54"/>
      <c r="AJ393" s="64"/>
      <c r="AK393" s="69"/>
      <c r="AM393" s="38"/>
      <c r="AN393" s="35"/>
      <c r="AO393" s="4"/>
      <c r="AP393" s="54"/>
      <c r="AQ393" s="64"/>
      <c r="AR393" s="69"/>
      <c r="AS393" s="126"/>
      <c r="AT393" s="127"/>
      <c r="AU393" s="4"/>
      <c r="AV393" s="38"/>
      <c r="AW393" s="83"/>
      <c r="AX393" s="158"/>
      <c r="AY393" s="174"/>
    </row>
    <row r="394" spans="1:51" x14ac:dyDescent="0.15">
      <c r="A394" s="2" t="s">
        <v>38</v>
      </c>
      <c r="C394" s="21"/>
      <c r="D394" s="128"/>
      <c r="E394" s="54"/>
      <c r="F394" s="64"/>
      <c r="G394" s="69"/>
      <c r="I394" s="21"/>
      <c r="J394" s="128"/>
      <c r="K394" s="54"/>
      <c r="L394" s="64"/>
      <c r="M394" s="69"/>
      <c r="O394" s="21"/>
      <c r="P394" s="128"/>
      <c r="Q394" s="54"/>
      <c r="R394" s="64"/>
      <c r="S394" s="69"/>
      <c r="U394" s="21"/>
      <c r="V394" s="128"/>
      <c r="W394" s="54"/>
      <c r="X394" s="64"/>
      <c r="Y394" s="69"/>
      <c r="AA394" s="21"/>
      <c r="AB394" s="128"/>
      <c r="AC394" s="54"/>
      <c r="AD394" s="64"/>
      <c r="AE394" s="69"/>
      <c r="AG394" s="21"/>
      <c r="AH394" s="128"/>
      <c r="AI394" s="54"/>
      <c r="AJ394" s="64"/>
      <c r="AK394" s="69"/>
      <c r="AM394" s="38"/>
      <c r="AN394" s="35"/>
      <c r="AO394" s="4">
        <v>1</v>
      </c>
      <c r="AP394" s="54">
        <v>1</v>
      </c>
      <c r="AQ394" s="64">
        <v>1</v>
      </c>
      <c r="AR394" s="69">
        <v>1</v>
      </c>
      <c r="AS394" s="126">
        <v>1</v>
      </c>
      <c r="AT394" s="127"/>
      <c r="AU394" s="4">
        <v>1</v>
      </c>
      <c r="AV394" s="38">
        <v>1</v>
      </c>
      <c r="AW394" s="83">
        <v>1</v>
      </c>
      <c r="AX394" s="158">
        <v>1</v>
      </c>
      <c r="AY394" s="174">
        <v>1</v>
      </c>
    </row>
    <row r="395" spans="1:51" x14ac:dyDescent="0.15">
      <c r="A395" s="2" t="s">
        <v>27</v>
      </c>
      <c r="C395" s="21"/>
      <c r="D395" s="128"/>
      <c r="E395" s="54"/>
      <c r="F395" s="64"/>
      <c r="G395" s="69"/>
      <c r="I395" s="21"/>
      <c r="J395" s="128"/>
      <c r="K395" s="54"/>
      <c r="L395" s="64"/>
      <c r="M395" s="69"/>
      <c r="O395" s="21"/>
      <c r="P395" s="128"/>
      <c r="Q395" s="54"/>
      <c r="R395" s="64"/>
      <c r="S395" s="69"/>
      <c r="U395" s="21"/>
      <c r="V395" s="128"/>
      <c r="W395" s="54"/>
      <c r="X395" s="64"/>
      <c r="Y395" s="69"/>
      <c r="AA395" s="21"/>
      <c r="AB395" s="128"/>
      <c r="AC395" s="54"/>
      <c r="AD395" s="64"/>
      <c r="AE395" s="69"/>
      <c r="AG395" s="21"/>
      <c r="AH395" s="128"/>
      <c r="AI395" s="54"/>
      <c r="AJ395" s="64"/>
      <c r="AK395" s="69"/>
      <c r="AM395" s="38"/>
      <c r="AN395" s="35"/>
      <c r="AO395" s="4"/>
      <c r="AP395" s="54"/>
      <c r="AQ395" s="64"/>
      <c r="AR395" s="69"/>
      <c r="AS395" s="126"/>
      <c r="AT395" s="127"/>
      <c r="AU395" s="4"/>
      <c r="AV395" s="38"/>
      <c r="AW395" s="83"/>
      <c r="AX395" s="158"/>
      <c r="AY395" s="174"/>
    </row>
    <row r="396" spans="1:51" x14ac:dyDescent="0.15">
      <c r="A396" s="2" t="s">
        <v>229</v>
      </c>
      <c r="C396" s="21"/>
      <c r="D396" s="128"/>
      <c r="E396" s="54"/>
      <c r="F396" s="64"/>
      <c r="G396" s="69"/>
      <c r="I396" s="21"/>
      <c r="J396" s="128"/>
      <c r="K396" s="54"/>
      <c r="L396" s="64"/>
      <c r="M396" s="69"/>
      <c r="O396" s="21"/>
      <c r="P396" s="128"/>
      <c r="Q396" s="54"/>
      <c r="R396" s="64"/>
      <c r="S396" s="69"/>
      <c r="U396" s="21"/>
      <c r="V396" s="128"/>
      <c r="W396" s="54"/>
      <c r="X396" s="64"/>
      <c r="Y396" s="69"/>
      <c r="AA396" s="21"/>
      <c r="AB396" s="128"/>
      <c r="AC396" s="54"/>
      <c r="AD396" s="64"/>
      <c r="AE396" s="69"/>
      <c r="AG396" s="21"/>
      <c r="AH396" s="128"/>
      <c r="AI396" s="54"/>
      <c r="AJ396" s="64"/>
      <c r="AK396" s="69"/>
      <c r="AM396" s="38"/>
      <c r="AN396" s="35"/>
      <c r="AO396" s="4"/>
      <c r="AP396" s="54"/>
      <c r="AQ396" s="64"/>
      <c r="AR396" s="69"/>
      <c r="AS396" s="126"/>
      <c r="AT396" s="127"/>
      <c r="AU396" s="4"/>
      <c r="AV396" s="38"/>
      <c r="AW396" s="83"/>
      <c r="AX396" s="158"/>
      <c r="AY396" s="174"/>
    </row>
    <row r="397" spans="1:51" x14ac:dyDescent="0.15">
      <c r="A397" s="2" t="s">
        <v>36</v>
      </c>
      <c r="C397" s="21"/>
      <c r="D397" s="128"/>
      <c r="E397" s="54"/>
      <c r="F397" s="64"/>
      <c r="G397" s="69"/>
      <c r="I397" s="21"/>
      <c r="J397" s="128"/>
      <c r="K397" s="54"/>
      <c r="L397" s="64"/>
      <c r="M397" s="69"/>
      <c r="O397" s="21"/>
      <c r="P397" s="128"/>
      <c r="Q397" s="54"/>
      <c r="R397" s="64"/>
      <c r="S397" s="69"/>
      <c r="U397" s="21"/>
      <c r="V397" s="128"/>
      <c r="W397" s="54"/>
      <c r="X397" s="64"/>
      <c r="Y397" s="69"/>
      <c r="AA397" s="21"/>
      <c r="AB397" s="128"/>
      <c r="AC397" s="54"/>
      <c r="AD397" s="64"/>
      <c r="AE397" s="69"/>
      <c r="AG397" s="21"/>
      <c r="AH397" s="128"/>
      <c r="AI397" s="54"/>
      <c r="AJ397" s="64"/>
      <c r="AK397" s="69"/>
      <c r="AM397" s="38"/>
      <c r="AN397" s="35"/>
      <c r="AO397" s="4"/>
      <c r="AP397" s="54"/>
      <c r="AQ397" s="64"/>
      <c r="AR397" s="69"/>
      <c r="AS397" s="126"/>
      <c r="AT397" s="127"/>
      <c r="AU397" s="4"/>
      <c r="AV397" s="38"/>
      <c r="AW397" s="83"/>
      <c r="AX397" s="158"/>
      <c r="AY397" s="174"/>
    </row>
    <row r="398" spans="1:51" x14ac:dyDescent="0.15">
      <c r="A398" s="2" t="s">
        <v>50</v>
      </c>
      <c r="C398" s="21"/>
      <c r="D398" s="128"/>
      <c r="E398" s="54"/>
      <c r="F398" s="64"/>
      <c r="G398" s="69"/>
      <c r="I398" s="21"/>
      <c r="J398" s="128"/>
      <c r="K398" s="54"/>
      <c r="L398" s="64"/>
      <c r="M398" s="69"/>
      <c r="O398" s="21"/>
      <c r="P398" s="128"/>
      <c r="Q398" s="54"/>
      <c r="R398" s="64"/>
      <c r="S398" s="69"/>
      <c r="U398" s="21"/>
      <c r="V398" s="128"/>
      <c r="W398" s="54"/>
      <c r="X398" s="64"/>
      <c r="Y398" s="69"/>
      <c r="AA398" s="21"/>
      <c r="AB398" s="128"/>
      <c r="AC398" s="54"/>
      <c r="AD398" s="64"/>
      <c r="AE398" s="69"/>
      <c r="AG398" s="21"/>
      <c r="AH398" s="128"/>
      <c r="AI398" s="54"/>
      <c r="AJ398" s="64"/>
      <c r="AK398" s="69"/>
      <c r="AM398" s="38"/>
      <c r="AN398" s="35"/>
      <c r="AO398" s="4"/>
      <c r="AP398" s="54"/>
      <c r="AQ398" s="64"/>
      <c r="AR398" s="69"/>
      <c r="AS398" s="126"/>
      <c r="AT398" s="127"/>
      <c r="AU398" s="4"/>
      <c r="AV398" s="38"/>
      <c r="AW398" s="83"/>
      <c r="AX398" s="158"/>
      <c r="AY398" s="174"/>
    </row>
    <row r="399" spans="1:51" x14ac:dyDescent="0.15">
      <c r="A399" s="2" t="s">
        <v>231</v>
      </c>
      <c r="C399" s="21"/>
      <c r="D399" s="128"/>
      <c r="E399" s="54"/>
      <c r="F399" s="64"/>
      <c r="G399" s="69"/>
      <c r="I399" s="21"/>
      <c r="J399" s="128"/>
      <c r="K399" s="54"/>
      <c r="L399" s="64"/>
      <c r="M399" s="69"/>
      <c r="O399" s="21"/>
      <c r="P399" s="128"/>
      <c r="Q399" s="54"/>
      <c r="R399" s="64"/>
      <c r="S399" s="69"/>
      <c r="U399" s="21"/>
      <c r="V399" s="128"/>
      <c r="W399" s="54"/>
      <c r="X399" s="64"/>
      <c r="Y399" s="69"/>
      <c r="AA399" s="21"/>
      <c r="AB399" s="128"/>
      <c r="AC399" s="54"/>
      <c r="AD399" s="64"/>
      <c r="AE399" s="69"/>
      <c r="AG399" s="21"/>
      <c r="AH399" s="128"/>
      <c r="AI399" s="54"/>
      <c r="AJ399" s="64"/>
      <c r="AK399" s="69"/>
      <c r="AM399" s="38"/>
      <c r="AN399" s="35"/>
      <c r="AO399" s="4"/>
      <c r="AP399" s="54"/>
      <c r="AQ399" s="64"/>
      <c r="AR399" s="69"/>
      <c r="AS399" s="126"/>
      <c r="AT399" s="127"/>
      <c r="AU399" s="4"/>
      <c r="AV399" s="38"/>
      <c r="AW399" s="83"/>
      <c r="AX399" s="158"/>
      <c r="AY399" s="174"/>
    </row>
    <row r="400" spans="1:51" x14ac:dyDescent="0.15">
      <c r="A400" s="2" t="s">
        <v>58</v>
      </c>
      <c r="C400" s="21"/>
      <c r="D400" s="128"/>
      <c r="E400" s="54"/>
      <c r="F400" s="64"/>
      <c r="G400" s="69"/>
      <c r="I400" s="21"/>
      <c r="J400" s="128"/>
      <c r="K400" s="54"/>
      <c r="L400" s="64"/>
      <c r="M400" s="69"/>
      <c r="O400" s="21"/>
      <c r="P400" s="128"/>
      <c r="Q400" s="54"/>
      <c r="R400" s="64"/>
      <c r="S400" s="69"/>
      <c r="U400" s="21"/>
      <c r="V400" s="128"/>
      <c r="W400" s="54"/>
      <c r="X400" s="64"/>
      <c r="Y400" s="69"/>
      <c r="AA400" s="21"/>
      <c r="AB400" s="128"/>
      <c r="AC400" s="54"/>
      <c r="AD400" s="64"/>
      <c r="AE400" s="69"/>
      <c r="AG400" s="21"/>
      <c r="AH400" s="128"/>
      <c r="AI400" s="54"/>
      <c r="AJ400" s="64"/>
      <c r="AK400" s="69"/>
      <c r="AM400" s="38"/>
      <c r="AN400" s="35"/>
      <c r="AO400" s="4"/>
      <c r="AP400" s="54"/>
      <c r="AQ400" s="64"/>
      <c r="AR400" s="69"/>
      <c r="AS400" s="126"/>
      <c r="AT400" s="127"/>
      <c r="AU400" s="4"/>
      <c r="AV400" s="38"/>
      <c r="AW400" s="83"/>
      <c r="AX400" s="158"/>
      <c r="AY400" s="174"/>
    </row>
    <row r="401" spans="1:51" x14ac:dyDescent="0.15">
      <c r="A401" s="2" t="s">
        <v>57</v>
      </c>
      <c r="C401" s="21"/>
      <c r="D401" s="128"/>
      <c r="E401" s="54"/>
      <c r="F401" s="64"/>
      <c r="G401" s="69"/>
      <c r="I401" s="21"/>
      <c r="J401" s="128"/>
      <c r="K401" s="54"/>
      <c r="L401" s="64"/>
      <c r="M401" s="69"/>
      <c r="O401" s="21"/>
      <c r="P401" s="128"/>
      <c r="Q401" s="54"/>
      <c r="R401" s="64"/>
      <c r="S401" s="69"/>
      <c r="U401" s="21"/>
      <c r="V401" s="128"/>
      <c r="W401" s="54"/>
      <c r="X401" s="64"/>
      <c r="Y401" s="69"/>
      <c r="AA401" s="21"/>
      <c r="AB401" s="128"/>
      <c r="AC401" s="54"/>
      <c r="AD401" s="64"/>
      <c r="AE401" s="69"/>
      <c r="AG401" s="21"/>
      <c r="AH401" s="128"/>
      <c r="AI401" s="54"/>
      <c r="AJ401" s="64"/>
      <c r="AK401" s="69"/>
      <c r="AM401" s="38"/>
      <c r="AN401" s="35"/>
      <c r="AO401" s="4"/>
      <c r="AP401" s="54"/>
      <c r="AQ401" s="64"/>
      <c r="AR401" s="69"/>
      <c r="AS401" s="126"/>
      <c r="AT401" s="127"/>
      <c r="AU401" s="4"/>
      <c r="AV401" s="38"/>
      <c r="AW401" s="83"/>
      <c r="AX401" s="158"/>
      <c r="AY401" s="174"/>
    </row>
    <row r="402" spans="1:51" x14ac:dyDescent="0.15">
      <c r="A402" s="2" t="s">
        <v>28</v>
      </c>
      <c r="C402" s="21"/>
      <c r="D402" s="128"/>
      <c r="E402" s="54"/>
      <c r="F402" s="64"/>
      <c r="G402" s="69"/>
      <c r="I402" s="21"/>
      <c r="J402" s="128"/>
      <c r="K402" s="54"/>
      <c r="L402" s="64"/>
      <c r="M402" s="69"/>
      <c r="O402" s="21"/>
      <c r="P402" s="128"/>
      <c r="Q402" s="54"/>
      <c r="R402" s="64"/>
      <c r="S402" s="69"/>
      <c r="U402" s="21"/>
      <c r="V402" s="128"/>
      <c r="W402" s="54"/>
      <c r="X402" s="64"/>
      <c r="Y402" s="69"/>
      <c r="AA402" s="21"/>
      <c r="AB402" s="128"/>
      <c r="AC402" s="54"/>
      <c r="AD402" s="64"/>
      <c r="AE402" s="69"/>
      <c r="AG402" s="21"/>
      <c r="AH402" s="128"/>
      <c r="AI402" s="54"/>
      <c r="AJ402" s="64"/>
      <c r="AK402" s="69"/>
      <c r="AM402" s="38"/>
      <c r="AN402" s="35"/>
      <c r="AO402" s="4"/>
      <c r="AP402" s="54"/>
      <c r="AQ402" s="64"/>
      <c r="AR402" s="69"/>
      <c r="AS402" s="126"/>
      <c r="AT402" s="127"/>
      <c r="AU402" s="4"/>
      <c r="AV402" s="38"/>
      <c r="AW402" s="83"/>
      <c r="AX402" s="158"/>
      <c r="AY402" s="174"/>
    </row>
    <row r="403" spans="1:51" x14ac:dyDescent="0.15">
      <c r="A403" s="2" t="s">
        <v>194</v>
      </c>
      <c r="C403" s="21"/>
      <c r="D403" s="128"/>
      <c r="E403" s="54"/>
      <c r="F403" s="64"/>
      <c r="G403" s="69"/>
      <c r="I403" s="21"/>
      <c r="J403" s="128"/>
      <c r="K403" s="54"/>
      <c r="L403" s="64"/>
      <c r="M403" s="69"/>
      <c r="O403" s="21"/>
      <c r="P403" s="128"/>
      <c r="Q403" s="54"/>
      <c r="R403" s="64"/>
      <c r="S403" s="69"/>
      <c r="U403" s="21"/>
      <c r="V403" s="128"/>
      <c r="W403" s="54"/>
      <c r="X403" s="64"/>
      <c r="Y403" s="69"/>
      <c r="AA403" s="21"/>
      <c r="AB403" s="128"/>
      <c r="AC403" s="54"/>
      <c r="AD403" s="64"/>
      <c r="AE403" s="69"/>
      <c r="AG403" s="21"/>
      <c r="AH403" s="128"/>
      <c r="AI403" s="54"/>
      <c r="AJ403" s="64"/>
      <c r="AK403" s="69"/>
      <c r="AM403" s="38"/>
      <c r="AN403" s="35"/>
      <c r="AO403" s="4"/>
      <c r="AP403" s="54"/>
      <c r="AQ403" s="64"/>
      <c r="AR403" s="69"/>
      <c r="AS403" s="126"/>
      <c r="AT403" s="127"/>
      <c r="AU403" s="4"/>
      <c r="AV403" s="38"/>
      <c r="AW403" s="83"/>
      <c r="AX403" s="158"/>
      <c r="AY403" s="174"/>
    </row>
    <row r="404" spans="1:51" x14ac:dyDescent="0.15">
      <c r="A404" s="2" t="s">
        <v>10</v>
      </c>
      <c r="C404" s="21"/>
      <c r="D404" s="128"/>
      <c r="E404" s="54"/>
      <c r="F404" s="64"/>
      <c r="G404" s="69"/>
      <c r="I404" s="21"/>
      <c r="J404" s="128"/>
      <c r="K404" s="54"/>
      <c r="L404" s="64"/>
      <c r="M404" s="69"/>
      <c r="O404" s="21"/>
      <c r="P404" s="128"/>
      <c r="Q404" s="54"/>
      <c r="R404" s="64"/>
      <c r="S404" s="69"/>
      <c r="U404" s="21"/>
      <c r="V404" s="128"/>
      <c r="W404" s="54"/>
      <c r="X404" s="64"/>
      <c r="Y404" s="69"/>
      <c r="AA404" s="21"/>
      <c r="AB404" s="128"/>
      <c r="AC404" s="54"/>
      <c r="AD404" s="64"/>
      <c r="AE404" s="69"/>
      <c r="AG404" s="21"/>
      <c r="AH404" s="128"/>
      <c r="AI404" s="54"/>
      <c r="AJ404" s="64"/>
      <c r="AK404" s="69"/>
      <c r="AM404" s="38"/>
      <c r="AN404" s="35"/>
      <c r="AO404" s="4"/>
      <c r="AP404" s="54"/>
      <c r="AQ404" s="64"/>
      <c r="AR404" s="69"/>
      <c r="AS404" s="126"/>
      <c r="AT404" s="127"/>
      <c r="AU404" s="4"/>
      <c r="AV404" s="38"/>
      <c r="AW404" s="83"/>
      <c r="AX404" s="158"/>
      <c r="AY404" s="174"/>
    </row>
    <row r="405" spans="1:51" x14ac:dyDescent="0.15">
      <c r="A405" s="5" t="s">
        <v>174</v>
      </c>
      <c r="B405" s="114"/>
      <c r="C405" s="115"/>
      <c r="D405" s="111"/>
      <c r="E405" s="112"/>
      <c r="F405" s="113"/>
      <c r="G405" s="145"/>
      <c r="H405" s="114"/>
      <c r="I405" s="115"/>
      <c r="J405" s="111"/>
      <c r="K405" s="112"/>
      <c r="L405" s="113"/>
      <c r="M405" s="145"/>
      <c r="N405" s="4">
        <v>3</v>
      </c>
      <c r="O405" s="138">
        <v>1</v>
      </c>
      <c r="P405" s="128">
        <v>1</v>
      </c>
      <c r="Q405" s="112"/>
      <c r="R405" s="113"/>
      <c r="S405" s="145">
        <v>1</v>
      </c>
      <c r="T405" s="4">
        <v>3</v>
      </c>
      <c r="U405" s="138">
        <v>1</v>
      </c>
      <c r="V405" s="111"/>
      <c r="W405" s="112"/>
      <c r="X405" s="113"/>
      <c r="Y405" s="145"/>
      <c r="Z405" s="4">
        <v>1</v>
      </c>
      <c r="AA405" s="138">
        <v>1</v>
      </c>
      <c r="AB405" s="128">
        <v>1</v>
      </c>
      <c r="AC405" s="112"/>
      <c r="AD405" s="113"/>
      <c r="AE405" s="145"/>
      <c r="AF405" s="4">
        <v>1</v>
      </c>
      <c r="AG405" s="115"/>
      <c r="AH405" s="111"/>
      <c r="AI405" s="112"/>
      <c r="AJ405" s="113"/>
      <c r="AK405" s="145"/>
      <c r="AM405" s="38"/>
      <c r="AN405" s="35"/>
      <c r="AO405" s="4"/>
      <c r="AP405" s="54"/>
      <c r="AQ405" s="64"/>
      <c r="AR405" s="69"/>
      <c r="AS405" s="126"/>
      <c r="AT405" s="127"/>
      <c r="AU405" s="4"/>
      <c r="AV405" s="38"/>
      <c r="AW405" s="83"/>
      <c r="AX405" s="158"/>
      <c r="AY405" s="174"/>
    </row>
    <row r="406" spans="1:51" x14ac:dyDescent="0.15">
      <c r="A406" s="2" t="s">
        <v>22</v>
      </c>
      <c r="C406" s="21"/>
      <c r="D406" s="128"/>
      <c r="E406" s="54"/>
      <c r="F406" s="64"/>
      <c r="G406" s="69"/>
      <c r="I406" s="21"/>
      <c r="J406" s="128"/>
      <c r="K406" s="54"/>
      <c r="L406" s="64"/>
      <c r="M406" s="69"/>
      <c r="O406" s="21"/>
      <c r="P406" s="128"/>
      <c r="Q406" s="54"/>
      <c r="R406" s="64"/>
      <c r="S406" s="69"/>
      <c r="U406" s="21"/>
      <c r="V406" s="128"/>
      <c r="W406" s="54"/>
      <c r="X406" s="64"/>
      <c r="Y406" s="69"/>
      <c r="AA406" s="21"/>
      <c r="AB406" s="128"/>
      <c r="AC406" s="54"/>
      <c r="AD406" s="64"/>
      <c r="AE406" s="69"/>
      <c r="AG406" s="21"/>
      <c r="AH406" s="128"/>
      <c r="AI406" s="54"/>
      <c r="AJ406" s="64"/>
      <c r="AK406" s="69"/>
      <c r="AM406" s="38"/>
      <c r="AN406" s="35"/>
      <c r="AO406" s="4"/>
      <c r="AP406" s="54"/>
      <c r="AQ406" s="64"/>
      <c r="AR406" s="69"/>
      <c r="AS406" s="126"/>
      <c r="AT406" s="127"/>
      <c r="AU406" s="4"/>
      <c r="AV406" s="38"/>
      <c r="AW406" s="83"/>
      <c r="AX406" s="158"/>
      <c r="AY406" s="174"/>
    </row>
    <row r="407" spans="1:51" x14ac:dyDescent="0.15">
      <c r="A407" s="5" t="s">
        <v>132</v>
      </c>
      <c r="C407" s="21"/>
      <c r="D407" s="128"/>
      <c r="E407" s="54"/>
      <c r="F407" s="64"/>
      <c r="G407" s="69"/>
      <c r="I407" s="21"/>
      <c r="J407" s="128"/>
      <c r="K407" s="54"/>
      <c r="L407" s="64"/>
      <c r="M407" s="69"/>
      <c r="O407" s="21"/>
      <c r="P407" s="128"/>
      <c r="Q407" s="54"/>
      <c r="R407" s="64"/>
      <c r="S407" s="69"/>
      <c r="U407" s="21"/>
      <c r="V407" s="128"/>
      <c r="W407" s="54"/>
      <c r="X407" s="64"/>
      <c r="Y407" s="69"/>
      <c r="AA407" s="21"/>
      <c r="AB407" s="128"/>
      <c r="AC407" s="54"/>
      <c r="AD407" s="64"/>
      <c r="AE407" s="69"/>
      <c r="AG407" s="21"/>
      <c r="AH407" s="128"/>
      <c r="AI407" s="54"/>
      <c r="AJ407" s="64"/>
      <c r="AK407" s="69"/>
      <c r="AM407" s="38"/>
      <c r="AN407" s="35"/>
      <c r="AO407" s="4"/>
      <c r="AP407" s="54"/>
      <c r="AQ407" s="64"/>
      <c r="AR407" s="69"/>
      <c r="AS407" s="126"/>
      <c r="AT407" s="127"/>
      <c r="AU407" s="4"/>
      <c r="AV407" s="38"/>
      <c r="AW407" s="83"/>
      <c r="AX407" s="158"/>
      <c r="AY407" s="174"/>
    </row>
    <row r="408" spans="1:51" x14ac:dyDescent="0.15">
      <c r="A408" s="5" t="s">
        <v>191</v>
      </c>
      <c r="C408" s="21"/>
      <c r="D408" s="128"/>
      <c r="E408" s="54"/>
      <c r="F408" s="64"/>
      <c r="G408" s="69"/>
      <c r="I408" s="21"/>
      <c r="J408" s="128"/>
      <c r="K408" s="54"/>
      <c r="L408" s="64"/>
      <c r="M408" s="69"/>
      <c r="O408" s="21"/>
      <c r="P408" s="128"/>
      <c r="Q408" s="54"/>
      <c r="R408" s="64"/>
      <c r="S408" s="69"/>
      <c r="U408" s="21"/>
      <c r="V408" s="128"/>
      <c r="W408" s="54"/>
      <c r="X408" s="64"/>
      <c r="Y408" s="69"/>
      <c r="AA408" s="21"/>
      <c r="AB408" s="128"/>
      <c r="AC408" s="54"/>
      <c r="AD408" s="64"/>
      <c r="AE408" s="69"/>
      <c r="AG408" s="21"/>
      <c r="AH408" s="128"/>
      <c r="AI408" s="54"/>
      <c r="AJ408" s="64"/>
      <c r="AK408" s="69"/>
      <c r="AM408" s="38"/>
      <c r="AN408" s="35"/>
      <c r="AO408" s="4"/>
      <c r="AP408" s="54"/>
      <c r="AQ408" s="64"/>
      <c r="AR408" s="69"/>
      <c r="AS408" s="126"/>
      <c r="AT408" s="127"/>
      <c r="AU408" s="4"/>
      <c r="AV408" s="38"/>
      <c r="AW408" s="83"/>
      <c r="AX408" s="158"/>
      <c r="AY408" s="174"/>
    </row>
    <row r="409" spans="1:51" x14ac:dyDescent="0.15">
      <c r="A409" s="5" t="s">
        <v>218</v>
      </c>
      <c r="C409" s="21"/>
      <c r="D409" s="128"/>
      <c r="E409" s="54"/>
      <c r="F409" s="64"/>
      <c r="G409" s="69"/>
      <c r="I409" s="21"/>
      <c r="J409" s="128"/>
      <c r="K409" s="54"/>
      <c r="L409" s="64"/>
      <c r="M409" s="69"/>
      <c r="O409" s="21"/>
      <c r="P409" s="128"/>
      <c r="Q409" s="54"/>
      <c r="R409" s="64"/>
      <c r="S409" s="69"/>
      <c r="U409" s="21"/>
      <c r="V409" s="128"/>
      <c r="W409" s="54"/>
      <c r="X409" s="64"/>
      <c r="Y409" s="69"/>
      <c r="AA409" s="21"/>
      <c r="AB409" s="128"/>
      <c r="AC409" s="54"/>
      <c r="AD409" s="64"/>
      <c r="AE409" s="69"/>
      <c r="AG409" s="21"/>
      <c r="AH409" s="128"/>
      <c r="AI409" s="54"/>
      <c r="AJ409" s="64"/>
      <c r="AK409" s="69"/>
      <c r="AM409" s="38"/>
      <c r="AN409" s="35"/>
      <c r="AO409" s="4"/>
      <c r="AP409" s="54"/>
      <c r="AQ409" s="64"/>
      <c r="AR409" s="69"/>
      <c r="AS409" s="126"/>
      <c r="AT409" s="127">
        <v>1</v>
      </c>
      <c r="AU409" s="4">
        <v>1</v>
      </c>
      <c r="AV409" s="38"/>
      <c r="AW409" s="83">
        <v>1</v>
      </c>
      <c r="AX409" s="158"/>
      <c r="AY409" s="174"/>
    </row>
    <row r="410" spans="1:51" x14ac:dyDescent="0.15">
      <c r="A410" s="5" t="s">
        <v>203</v>
      </c>
      <c r="C410" s="21"/>
      <c r="D410" s="128"/>
      <c r="E410" s="54"/>
      <c r="F410" s="64"/>
      <c r="G410" s="69"/>
      <c r="I410" s="21"/>
      <c r="J410" s="128"/>
      <c r="K410" s="54"/>
      <c r="L410" s="64"/>
      <c r="M410" s="69"/>
      <c r="O410" s="21"/>
      <c r="P410" s="128"/>
      <c r="Q410" s="54">
        <v>1</v>
      </c>
      <c r="R410" s="64">
        <v>1</v>
      </c>
      <c r="S410" s="69"/>
      <c r="U410" s="21"/>
      <c r="V410" s="128">
        <v>1</v>
      </c>
      <c r="W410" s="54">
        <v>1</v>
      </c>
      <c r="X410" s="64">
        <v>1</v>
      </c>
      <c r="Y410" s="69"/>
      <c r="AA410" s="21"/>
      <c r="AB410" s="128"/>
      <c r="AC410" s="54">
        <v>1</v>
      </c>
      <c r="AD410" s="64">
        <v>1</v>
      </c>
      <c r="AE410" s="69">
        <v>1</v>
      </c>
      <c r="AG410" s="21"/>
      <c r="AH410" s="128"/>
      <c r="AI410" s="54"/>
      <c r="AJ410" s="64"/>
      <c r="AK410" s="69"/>
      <c r="AM410" s="38"/>
      <c r="AN410" s="35"/>
      <c r="AO410" s="4"/>
      <c r="AP410" s="54"/>
      <c r="AQ410" s="64"/>
      <c r="AR410" s="69"/>
      <c r="AS410" s="126"/>
      <c r="AT410" s="127"/>
      <c r="AU410" s="4"/>
      <c r="AV410" s="38"/>
      <c r="AW410" s="83"/>
      <c r="AX410" s="158"/>
      <c r="AY410" s="174"/>
    </row>
    <row r="411" spans="1:51" x14ac:dyDescent="0.15">
      <c r="A411" s="2" t="s">
        <v>23</v>
      </c>
      <c r="C411" s="21"/>
      <c r="D411" s="128"/>
      <c r="E411" s="54"/>
      <c r="F411" s="64"/>
      <c r="G411" s="69"/>
      <c r="I411" s="21"/>
      <c r="J411" s="128"/>
      <c r="K411" s="54"/>
      <c r="L411" s="64"/>
      <c r="M411" s="69"/>
      <c r="O411" s="21"/>
      <c r="P411" s="128"/>
      <c r="Q411" s="54"/>
      <c r="R411" s="64"/>
      <c r="S411" s="69"/>
      <c r="U411" s="21"/>
      <c r="V411" s="128"/>
      <c r="W411" s="54"/>
      <c r="X411" s="64"/>
      <c r="Y411" s="69"/>
      <c r="AA411" s="21"/>
      <c r="AB411" s="128"/>
      <c r="AC411" s="54"/>
      <c r="AD411" s="64"/>
      <c r="AE411" s="69"/>
      <c r="AG411" s="21"/>
      <c r="AH411" s="128"/>
      <c r="AI411" s="54"/>
      <c r="AJ411" s="64"/>
      <c r="AK411" s="69"/>
      <c r="AM411" s="38"/>
      <c r="AN411" s="35"/>
      <c r="AO411" s="4"/>
      <c r="AP411" s="54"/>
      <c r="AQ411" s="64"/>
      <c r="AR411" s="69"/>
      <c r="AS411" s="126"/>
      <c r="AT411" s="127"/>
      <c r="AU411" s="4"/>
      <c r="AV411" s="38"/>
      <c r="AW411" s="83"/>
      <c r="AX411" s="158"/>
      <c r="AY411" s="174"/>
    </row>
    <row r="412" spans="1:51" x14ac:dyDescent="0.15">
      <c r="A412" s="2" t="s">
        <v>208</v>
      </c>
      <c r="C412" s="21"/>
      <c r="D412" s="128"/>
      <c r="E412" s="54"/>
      <c r="F412" s="64"/>
      <c r="G412" s="69"/>
      <c r="I412" s="21"/>
      <c r="J412" s="128"/>
      <c r="K412" s="54"/>
      <c r="L412" s="64"/>
      <c r="M412" s="69"/>
      <c r="O412" s="21"/>
      <c r="P412" s="128"/>
      <c r="Q412" s="54"/>
      <c r="R412" s="64"/>
      <c r="S412" s="69"/>
      <c r="U412" s="21"/>
      <c r="V412" s="128"/>
      <c r="W412" s="54"/>
      <c r="X412" s="64"/>
      <c r="Y412" s="69"/>
      <c r="AA412" s="21"/>
      <c r="AB412" s="128"/>
      <c r="AC412" s="54"/>
      <c r="AD412" s="64"/>
      <c r="AE412" s="69"/>
      <c r="AG412" s="21"/>
      <c r="AH412" s="128"/>
      <c r="AI412" s="54"/>
      <c r="AJ412" s="64"/>
      <c r="AK412" s="69"/>
      <c r="AM412" s="38"/>
      <c r="AN412" s="35"/>
      <c r="AO412" s="4"/>
      <c r="AP412" s="54"/>
      <c r="AQ412" s="64"/>
      <c r="AR412" s="69"/>
      <c r="AS412" s="126"/>
      <c r="AT412" s="127"/>
      <c r="AU412" s="4"/>
      <c r="AV412" s="38"/>
      <c r="AW412" s="83"/>
      <c r="AX412" s="158"/>
      <c r="AY412" s="174"/>
    </row>
    <row r="413" spans="1:51" x14ac:dyDescent="0.15">
      <c r="A413" s="2" t="s">
        <v>41</v>
      </c>
      <c r="C413" s="21"/>
      <c r="D413" s="128"/>
      <c r="E413" s="54"/>
      <c r="F413" s="64"/>
      <c r="G413" s="69"/>
      <c r="I413" s="21"/>
      <c r="J413" s="128"/>
      <c r="K413" s="54"/>
      <c r="L413" s="64"/>
      <c r="M413" s="69"/>
      <c r="O413" s="21"/>
      <c r="P413" s="128"/>
      <c r="Q413" s="54"/>
      <c r="R413" s="64"/>
      <c r="S413" s="69"/>
      <c r="U413" s="21"/>
      <c r="V413" s="128"/>
      <c r="W413" s="54"/>
      <c r="X413" s="64"/>
      <c r="Y413" s="69"/>
      <c r="AA413" s="21"/>
      <c r="AB413" s="128"/>
      <c r="AC413" s="54"/>
      <c r="AD413" s="64"/>
      <c r="AE413" s="69"/>
      <c r="AG413" s="21"/>
      <c r="AH413" s="128"/>
      <c r="AI413" s="54"/>
      <c r="AJ413" s="64"/>
      <c r="AK413" s="69"/>
      <c r="AM413" s="38"/>
      <c r="AN413" s="35"/>
      <c r="AO413" s="4"/>
      <c r="AP413" s="54"/>
      <c r="AQ413" s="64"/>
      <c r="AR413" s="69"/>
      <c r="AS413" s="126"/>
      <c r="AT413" s="127"/>
      <c r="AU413" s="4"/>
      <c r="AV413" s="38"/>
      <c r="AW413" s="83"/>
      <c r="AX413" s="158"/>
      <c r="AY413" s="174"/>
    </row>
    <row r="414" spans="1:51" x14ac:dyDescent="0.15">
      <c r="A414" s="5" t="s">
        <v>95</v>
      </c>
      <c r="C414" s="21"/>
      <c r="D414" s="128"/>
      <c r="E414" s="54"/>
      <c r="F414" s="64"/>
      <c r="G414" s="69"/>
      <c r="I414" s="21"/>
      <c r="J414" s="128"/>
      <c r="K414" s="54"/>
      <c r="L414" s="64"/>
      <c r="M414" s="69"/>
      <c r="O414" s="21"/>
      <c r="P414" s="128"/>
      <c r="Q414" s="54"/>
      <c r="R414" s="64"/>
      <c r="S414" s="69"/>
      <c r="U414" s="21"/>
      <c r="V414" s="128"/>
      <c r="W414" s="54"/>
      <c r="X414" s="64"/>
      <c r="Y414" s="69"/>
      <c r="AA414" s="21"/>
      <c r="AB414" s="128"/>
      <c r="AC414" s="54"/>
      <c r="AD414" s="64"/>
      <c r="AE414" s="69"/>
      <c r="AG414" s="21"/>
      <c r="AH414" s="128"/>
      <c r="AI414" s="54"/>
      <c r="AJ414" s="64"/>
      <c r="AK414" s="69"/>
      <c r="AM414" s="38"/>
      <c r="AN414" s="35"/>
      <c r="AO414" s="4"/>
      <c r="AP414" s="54"/>
      <c r="AQ414" s="64"/>
      <c r="AR414" s="69"/>
      <c r="AS414" s="126"/>
      <c r="AT414" s="127"/>
      <c r="AU414" s="4"/>
      <c r="AV414" s="38"/>
      <c r="AW414" s="83"/>
      <c r="AX414" s="158"/>
      <c r="AY414" s="174"/>
    </row>
    <row r="415" spans="1:51" x14ac:dyDescent="0.15">
      <c r="A415" s="5" t="s">
        <v>111</v>
      </c>
      <c r="C415" s="21"/>
      <c r="D415" s="128"/>
      <c r="E415" s="54"/>
      <c r="F415" s="64"/>
      <c r="G415" s="69"/>
      <c r="I415" s="21"/>
      <c r="J415" s="128"/>
      <c r="K415" s="54"/>
      <c r="L415" s="64"/>
      <c r="M415" s="69"/>
      <c r="O415" s="21"/>
      <c r="P415" s="128"/>
      <c r="Q415" s="54"/>
      <c r="R415" s="64"/>
      <c r="S415" s="69"/>
      <c r="U415" s="21"/>
      <c r="V415" s="128"/>
      <c r="W415" s="54"/>
      <c r="X415" s="64"/>
      <c r="Y415" s="69"/>
      <c r="AA415" s="21"/>
      <c r="AB415" s="128"/>
      <c r="AC415" s="54"/>
      <c r="AD415" s="64"/>
      <c r="AE415" s="69"/>
      <c r="AG415" s="21"/>
      <c r="AH415" s="128"/>
      <c r="AI415" s="54"/>
      <c r="AJ415" s="64"/>
      <c r="AK415" s="69"/>
      <c r="AM415" s="38"/>
      <c r="AN415" s="35"/>
      <c r="AO415" s="4"/>
      <c r="AP415" s="54"/>
      <c r="AQ415" s="64"/>
      <c r="AR415" s="69"/>
      <c r="AS415" s="126"/>
      <c r="AT415" s="127"/>
      <c r="AU415" s="4"/>
      <c r="AV415" s="38"/>
      <c r="AW415" s="83"/>
      <c r="AX415" s="158"/>
      <c r="AY415" s="174"/>
    </row>
    <row r="416" spans="1:51" x14ac:dyDescent="0.15">
      <c r="A416" s="2" t="s">
        <v>7</v>
      </c>
      <c r="C416" s="21"/>
      <c r="D416" s="128"/>
      <c r="E416" s="54"/>
      <c r="F416" s="64"/>
      <c r="G416" s="69"/>
      <c r="I416" s="21"/>
      <c r="J416" s="128"/>
      <c r="K416" s="54"/>
      <c r="L416" s="64"/>
      <c r="M416" s="69"/>
      <c r="O416" s="21"/>
      <c r="P416" s="128"/>
      <c r="Q416" s="54"/>
      <c r="R416" s="64"/>
      <c r="S416" s="69"/>
      <c r="T416">
        <v>1</v>
      </c>
      <c r="U416" s="21">
        <v>1</v>
      </c>
      <c r="V416" s="128">
        <v>1</v>
      </c>
      <c r="W416" s="54">
        <v>1</v>
      </c>
      <c r="X416" s="64">
        <v>1</v>
      </c>
      <c r="Y416" s="69">
        <v>1</v>
      </c>
      <c r="Z416">
        <v>2</v>
      </c>
      <c r="AA416" s="21">
        <v>1</v>
      </c>
      <c r="AB416" s="128">
        <v>1</v>
      </c>
      <c r="AC416" s="54">
        <v>1</v>
      </c>
      <c r="AD416" s="64">
        <v>1</v>
      </c>
      <c r="AE416" s="69">
        <v>1</v>
      </c>
      <c r="AG416" s="21"/>
      <c r="AH416" s="128"/>
      <c r="AI416" s="54"/>
      <c r="AJ416" s="64"/>
      <c r="AK416" s="69"/>
      <c r="AM416" s="38"/>
      <c r="AN416" s="35"/>
      <c r="AO416" s="4"/>
      <c r="AP416" s="54"/>
      <c r="AQ416" s="64"/>
      <c r="AR416" s="69"/>
      <c r="AS416" s="126"/>
      <c r="AT416" s="127"/>
      <c r="AU416" s="4"/>
      <c r="AV416" s="38"/>
      <c r="AW416" s="83"/>
      <c r="AX416" s="158"/>
      <c r="AY416" s="174"/>
    </row>
    <row r="417" spans="1:53" x14ac:dyDescent="0.15">
      <c r="A417" s="2" t="s">
        <v>32</v>
      </c>
      <c r="C417" s="21"/>
      <c r="D417" s="128"/>
      <c r="E417" s="54"/>
      <c r="F417" s="64"/>
      <c r="G417" s="69"/>
      <c r="I417" s="21"/>
      <c r="J417" s="128"/>
      <c r="K417" s="54"/>
      <c r="L417" s="64"/>
      <c r="M417" s="69"/>
      <c r="O417" s="21"/>
      <c r="P417" s="128"/>
      <c r="Q417" s="54"/>
      <c r="R417" s="64"/>
      <c r="S417" s="69"/>
      <c r="U417" s="21"/>
      <c r="V417" s="128"/>
      <c r="W417" s="54"/>
      <c r="X417" s="64"/>
      <c r="Y417" s="69"/>
      <c r="AA417" s="21"/>
      <c r="AB417" s="128"/>
      <c r="AC417" s="54"/>
      <c r="AD417" s="64"/>
      <c r="AE417" s="69"/>
      <c r="AG417" s="21"/>
      <c r="AH417" s="128"/>
      <c r="AI417" s="54"/>
      <c r="AJ417" s="64"/>
      <c r="AK417" s="69"/>
      <c r="AM417" s="38"/>
      <c r="AN417" s="35"/>
      <c r="AO417" s="4"/>
      <c r="AP417" s="54"/>
      <c r="AQ417" s="64"/>
      <c r="AR417" s="69"/>
      <c r="AS417" s="126"/>
      <c r="AT417" s="127"/>
      <c r="AU417" s="4"/>
      <c r="AV417" s="38"/>
      <c r="AW417" s="83"/>
      <c r="AX417" s="158"/>
      <c r="AY417" s="174"/>
    </row>
    <row r="418" spans="1:53" x14ac:dyDescent="0.15">
      <c r="A418" s="5" t="s">
        <v>72</v>
      </c>
      <c r="C418" s="21"/>
      <c r="D418" s="128"/>
      <c r="E418" s="54"/>
      <c r="F418" s="64"/>
      <c r="G418" s="69"/>
      <c r="I418" s="21"/>
      <c r="J418" s="128"/>
      <c r="K418" s="54"/>
      <c r="L418" s="64"/>
      <c r="M418" s="69"/>
      <c r="O418" s="21"/>
      <c r="P418" s="128"/>
      <c r="Q418" s="54"/>
      <c r="R418" s="64"/>
      <c r="S418" s="69"/>
      <c r="U418" s="21"/>
      <c r="V418" s="128"/>
      <c r="W418" s="54"/>
      <c r="X418" s="64"/>
      <c r="Y418" s="69"/>
      <c r="AA418" s="21"/>
      <c r="AB418" s="128"/>
      <c r="AC418" s="54"/>
      <c r="AD418" s="64"/>
      <c r="AE418" s="69"/>
      <c r="AG418" s="21"/>
      <c r="AH418" s="128"/>
      <c r="AI418" s="54"/>
      <c r="AJ418" s="64"/>
      <c r="AK418" s="69"/>
      <c r="AL418" s="4"/>
      <c r="AM418" s="38"/>
      <c r="AN418" s="35"/>
      <c r="AO418" s="4"/>
      <c r="AP418" s="54"/>
      <c r="AQ418" s="64"/>
      <c r="AR418" s="69"/>
      <c r="AS418" s="126"/>
      <c r="AT418" s="127"/>
      <c r="AU418" s="4"/>
      <c r="AV418" s="38"/>
      <c r="AW418" s="83"/>
      <c r="AX418" s="158"/>
      <c r="AY418" s="174"/>
    </row>
    <row r="419" spans="1:53" x14ac:dyDescent="0.15">
      <c r="A419" s="5" t="s">
        <v>61</v>
      </c>
      <c r="C419" s="21"/>
      <c r="D419" s="128"/>
      <c r="E419" s="54"/>
      <c r="F419" s="64"/>
      <c r="G419" s="69"/>
      <c r="I419" s="21"/>
      <c r="J419" s="128"/>
      <c r="K419" s="54"/>
      <c r="L419" s="64"/>
      <c r="M419" s="69"/>
      <c r="O419" s="21"/>
      <c r="P419" s="128"/>
      <c r="Q419" s="54"/>
      <c r="R419" s="64"/>
      <c r="S419" s="69"/>
      <c r="U419" s="21"/>
      <c r="V419" s="128"/>
      <c r="W419" s="54"/>
      <c r="X419" s="64"/>
      <c r="Y419" s="69"/>
      <c r="AA419" s="21"/>
      <c r="AB419" s="128"/>
      <c r="AC419" s="54"/>
      <c r="AD419" s="64"/>
      <c r="AE419" s="69"/>
      <c r="AG419" s="21"/>
      <c r="AH419" s="128"/>
      <c r="AI419" s="54"/>
      <c r="AJ419" s="64"/>
      <c r="AK419" s="69"/>
      <c r="AL419" s="4"/>
      <c r="AM419" s="38"/>
      <c r="AN419" s="35"/>
      <c r="AO419" s="4"/>
      <c r="AP419" s="54"/>
      <c r="AQ419" s="64"/>
      <c r="AR419" s="69"/>
      <c r="AS419" s="126"/>
      <c r="AT419" s="127"/>
      <c r="AU419" s="4"/>
      <c r="AV419" s="38"/>
      <c r="AW419" s="83"/>
      <c r="AX419" s="158"/>
      <c r="AY419" s="174"/>
    </row>
    <row r="420" spans="1:53" x14ac:dyDescent="0.15">
      <c r="A420" s="5" t="s">
        <v>42</v>
      </c>
      <c r="C420" s="21"/>
      <c r="D420" s="128"/>
      <c r="E420" s="54"/>
      <c r="F420" s="64"/>
      <c r="G420" s="69"/>
      <c r="I420" s="21"/>
      <c r="J420" s="128"/>
      <c r="K420" s="54"/>
      <c r="L420" s="64"/>
      <c r="M420" s="69"/>
      <c r="O420" s="21"/>
      <c r="P420" s="128"/>
      <c r="Q420" s="54"/>
      <c r="R420" s="64"/>
      <c r="S420" s="69"/>
      <c r="U420" s="21"/>
      <c r="V420" s="128"/>
      <c r="W420" s="54"/>
      <c r="X420" s="64"/>
      <c r="Y420" s="69"/>
      <c r="AA420" s="21"/>
      <c r="AB420" s="128"/>
      <c r="AC420" s="54"/>
      <c r="AD420" s="64"/>
      <c r="AE420" s="69"/>
      <c r="AG420" s="21"/>
      <c r="AH420" s="128"/>
      <c r="AI420" s="54"/>
      <c r="AJ420" s="64"/>
      <c r="AK420" s="69"/>
      <c r="AL420" s="4"/>
      <c r="AM420" s="38"/>
      <c r="AN420" s="35"/>
      <c r="AO420" s="4"/>
      <c r="AP420" s="54"/>
      <c r="AQ420" s="64"/>
      <c r="AR420" s="69"/>
      <c r="AS420" s="126"/>
      <c r="AT420" s="127"/>
      <c r="AU420" s="4"/>
      <c r="AV420" s="38"/>
      <c r="AW420" s="83"/>
      <c r="AX420" s="158"/>
      <c r="AY420" s="174"/>
    </row>
    <row r="421" spans="1:53" x14ac:dyDescent="0.15">
      <c r="A421" s="5" t="s">
        <v>205</v>
      </c>
      <c r="C421" s="21"/>
      <c r="D421" s="128"/>
      <c r="E421" s="54"/>
      <c r="F421" s="64"/>
      <c r="G421" s="69"/>
      <c r="I421" s="21"/>
      <c r="J421" s="128"/>
      <c r="K421" s="54"/>
      <c r="L421" s="64"/>
      <c r="M421" s="69"/>
      <c r="O421" s="21"/>
      <c r="P421" s="128"/>
      <c r="Q421" s="54"/>
      <c r="R421" s="64"/>
      <c r="S421" s="69"/>
      <c r="U421" s="21"/>
      <c r="V421" s="128"/>
      <c r="W421" s="54"/>
      <c r="X421" s="64"/>
      <c r="Y421" s="69"/>
      <c r="AA421" s="21"/>
      <c r="AB421" s="128"/>
      <c r="AC421" s="54"/>
      <c r="AD421" s="64"/>
      <c r="AE421" s="69"/>
      <c r="AG421" s="21"/>
      <c r="AH421" s="128"/>
      <c r="AI421" s="54"/>
      <c r="AJ421" s="64"/>
      <c r="AK421" s="69"/>
      <c r="AL421" s="4"/>
      <c r="AM421" s="38"/>
      <c r="AN421" s="35"/>
      <c r="AO421" s="4"/>
      <c r="AP421" s="54"/>
      <c r="AQ421" s="64"/>
      <c r="AR421" s="69"/>
      <c r="AS421" s="126"/>
      <c r="AT421" s="127"/>
      <c r="AU421" s="4"/>
      <c r="AV421" s="38"/>
      <c r="AW421" s="83"/>
      <c r="AX421" s="158"/>
      <c r="AY421" s="174"/>
    </row>
    <row r="422" spans="1:53" x14ac:dyDescent="0.15">
      <c r="A422" s="2" t="s">
        <v>213</v>
      </c>
      <c r="C422" s="21"/>
      <c r="D422" s="128"/>
      <c r="E422" s="54"/>
      <c r="F422" s="64"/>
      <c r="G422" s="69"/>
      <c r="I422" s="21"/>
      <c r="J422" s="128"/>
      <c r="K422" s="54"/>
      <c r="L422" s="64"/>
      <c r="M422" s="69"/>
      <c r="O422" s="21"/>
      <c r="P422" s="128"/>
      <c r="Q422" s="54"/>
      <c r="R422" s="64"/>
      <c r="S422" s="69"/>
      <c r="U422" s="21"/>
      <c r="V422" s="128"/>
      <c r="W422" s="54"/>
      <c r="X422" s="64"/>
      <c r="Y422" s="69"/>
      <c r="AA422" s="21"/>
      <c r="AB422" s="128"/>
      <c r="AC422" s="54"/>
      <c r="AD422" s="64"/>
      <c r="AE422" s="69"/>
      <c r="AG422" s="21"/>
      <c r="AH422" s="128">
        <v>1</v>
      </c>
      <c r="AI422" s="54">
        <v>2</v>
      </c>
      <c r="AJ422" s="64">
        <v>1</v>
      </c>
      <c r="AK422" s="69">
        <v>2</v>
      </c>
      <c r="AL422" s="4"/>
      <c r="AM422" s="38"/>
      <c r="AN422" s="35"/>
      <c r="AO422" s="4"/>
      <c r="AP422" s="54"/>
      <c r="AQ422" s="64"/>
      <c r="AR422" s="69"/>
      <c r="AS422" s="126"/>
      <c r="AT422" s="127"/>
      <c r="AU422" s="4"/>
      <c r="AV422" s="38"/>
      <c r="AW422" s="83"/>
      <c r="AX422" s="158"/>
      <c r="AY422" s="174"/>
    </row>
    <row r="423" spans="1:53" x14ac:dyDescent="0.15">
      <c r="A423" s="5" t="s">
        <v>96</v>
      </c>
      <c r="C423" s="21"/>
      <c r="D423" s="128"/>
      <c r="E423" s="54"/>
      <c r="F423" s="64"/>
      <c r="G423" s="69"/>
      <c r="I423" s="21"/>
      <c r="J423" s="128"/>
      <c r="K423" s="54"/>
      <c r="L423" s="64"/>
      <c r="M423" s="69"/>
      <c r="O423" s="21"/>
      <c r="P423" s="128"/>
      <c r="Q423" s="54"/>
      <c r="R423" s="64"/>
      <c r="S423" s="69"/>
      <c r="U423" s="21"/>
      <c r="V423" s="128"/>
      <c r="W423" s="54"/>
      <c r="X423" s="64"/>
      <c r="Y423" s="69"/>
      <c r="AA423" s="21"/>
      <c r="AB423" s="128"/>
      <c r="AC423" s="54"/>
      <c r="AD423" s="64"/>
      <c r="AE423" s="69"/>
      <c r="AG423" s="21"/>
      <c r="AH423" s="128"/>
      <c r="AI423" s="54"/>
      <c r="AJ423" s="64"/>
      <c r="AK423" s="69"/>
      <c r="AL423" s="4"/>
      <c r="AM423" s="38"/>
      <c r="AN423" s="35"/>
      <c r="AO423" s="4"/>
      <c r="AP423" s="54"/>
      <c r="AQ423" s="64"/>
      <c r="AR423" s="69"/>
      <c r="AS423" s="126"/>
      <c r="AT423" s="127"/>
      <c r="AU423" s="4"/>
      <c r="AV423" s="38"/>
      <c r="AW423" s="83"/>
      <c r="AX423" s="158"/>
      <c r="AY423" s="174"/>
    </row>
    <row r="424" spans="1:53" x14ac:dyDescent="0.15">
      <c r="A424" s="2" t="s">
        <v>175</v>
      </c>
      <c r="C424" s="21"/>
      <c r="D424" s="128"/>
      <c r="E424" s="54"/>
      <c r="F424" s="64"/>
      <c r="G424" s="69"/>
      <c r="I424" s="21"/>
      <c r="J424" s="128"/>
      <c r="K424" s="54"/>
      <c r="L424" s="64"/>
      <c r="M424" s="69"/>
      <c r="O424" s="21"/>
      <c r="P424" s="128"/>
      <c r="Q424" s="54"/>
      <c r="R424" s="64"/>
      <c r="S424" s="69"/>
      <c r="U424" s="21"/>
      <c r="V424" s="128"/>
      <c r="W424" s="54"/>
      <c r="X424" s="64"/>
      <c r="Y424" s="69"/>
      <c r="AA424" s="21"/>
      <c r="AB424" s="128"/>
      <c r="AC424" s="54"/>
      <c r="AD424" s="64"/>
      <c r="AE424" s="69"/>
      <c r="AG424" s="21"/>
      <c r="AH424" s="128"/>
      <c r="AI424" s="54"/>
      <c r="AJ424" s="64"/>
      <c r="AK424" s="69"/>
      <c r="AL424" s="4"/>
      <c r="AM424" s="38"/>
      <c r="AN424" s="35"/>
      <c r="AO424" s="4"/>
      <c r="AP424" s="54"/>
      <c r="AQ424" s="64"/>
      <c r="AR424" s="69"/>
      <c r="AS424" s="126"/>
      <c r="AT424" s="127"/>
      <c r="AU424" s="4"/>
      <c r="AV424" s="38"/>
      <c r="AW424" s="83"/>
      <c r="AX424" s="158"/>
      <c r="AY424" s="174"/>
    </row>
    <row r="425" spans="1:53" x14ac:dyDescent="0.15">
      <c r="A425" s="2" t="s">
        <v>24</v>
      </c>
      <c r="C425" s="21">
        <v>1</v>
      </c>
      <c r="D425" s="128"/>
      <c r="E425" s="54"/>
      <c r="F425" s="64"/>
      <c r="G425" s="69"/>
      <c r="I425" s="21"/>
      <c r="J425" s="128"/>
      <c r="K425" s="54"/>
      <c r="L425" s="64"/>
      <c r="M425" s="69"/>
      <c r="O425" s="21">
        <v>1</v>
      </c>
      <c r="P425" s="128"/>
      <c r="Q425" s="54"/>
      <c r="R425" s="64"/>
      <c r="S425" s="69"/>
      <c r="U425" s="21">
        <v>3</v>
      </c>
      <c r="V425" s="128"/>
      <c r="W425" s="54"/>
      <c r="X425" s="64"/>
      <c r="Y425" s="69"/>
      <c r="AA425" s="21"/>
      <c r="AB425" s="128"/>
      <c r="AC425" s="54"/>
      <c r="AD425" s="64"/>
      <c r="AE425" s="69"/>
      <c r="AG425" s="21">
        <v>1</v>
      </c>
      <c r="AH425" s="128"/>
      <c r="AI425" s="54"/>
      <c r="AJ425" s="64"/>
      <c r="AK425" s="69"/>
      <c r="AM425" s="38"/>
      <c r="AN425" s="35"/>
      <c r="AO425" s="4"/>
      <c r="AP425" s="54"/>
      <c r="AQ425" s="64"/>
      <c r="AR425" s="69"/>
      <c r="AS425" s="126"/>
      <c r="AT425" s="127"/>
      <c r="AU425" s="4"/>
      <c r="AV425" s="38"/>
      <c r="AW425" s="83"/>
      <c r="AX425" s="158"/>
      <c r="AY425" s="174"/>
    </row>
    <row r="426" spans="1:53" x14ac:dyDescent="0.15">
      <c r="A426" s="2" t="s">
        <v>189</v>
      </c>
      <c r="C426" s="21"/>
      <c r="D426" s="128"/>
      <c r="E426" s="54"/>
      <c r="F426" s="64"/>
      <c r="G426" s="69">
        <v>1</v>
      </c>
      <c r="I426" s="21"/>
      <c r="J426" s="128"/>
      <c r="K426" s="54"/>
      <c r="L426" s="64"/>
      <c r="M426" s="69"/>
      <c r="O426" s="21"/>
      <c r="P426" s="128"/>
      <c r="Q426" s="54"/>
      <c r="R426" s="64"/>
      <c r="S426" s="69">
        <v>1</v>
      </c>
      <c r="U426" s="21"/>
      <c r="V426" s="128">
        <v>1</v>
      </c>
      <c r="W426" s="54">
        <v>2</v>
      </c>
      <c r="X426" s="64">
        <v>1</v>
      </c>
      <c r="Y426" s="69">
        <v>1</v>
      </c>
      <c r="AA426" s="21"/>
      <c r="AB426" s="128">
        <v>1</v>
      </c>
      <c r="AC426" s="54"/>
      <c r="AD426" s="64"/>
      <c r="AE426" s="69"/>
      <c r="AG426" s="21"/>
      <c r="AH426" s="128">
        <v>1</v>
      </c>
      <c r="AI426" s="54">
        <v>1</v>
      </c>
      <c r="AJ426" s="64"/>
      <c r="AK426" s="69"/>
      <c r="AM426" s="38"/>
      <c r="AN426" s="35"/>
      <c r="AO426" s="4"/>
      <c r="AP426" s="54"/>
      <c r="AQ426" s="64"/>
      <c r="AR426" s="69"/>
      <c r="AS426" s="126"/>
      <c r="AT426" s="127"/>
      <c r="AU426" s="4"/>
      <c r="AV426" s="38"/>
      <c r="AW426" s="83"/>
      <c r="AX426" s="158"/>
      <c r="AY426" s="174"/>
    </row>
    <row r="427" spans="1:53" x14ac:dyDescent="0.15">
      <c r="A427" s="196" t="s">
        <v>202</v>
      </c>
      <c r="B427" s="6"/>
      <c r="C427" s="197"/>
      <c r="D427" s="198"/>
      <c r="E427" s="199"/>
      <c r="F427" s="200"/>
      <c r="G427" s="201"/>
      <c r="H427" s="6"/>
      <c r="I427" s="197"/>
      <c r="J427" s="198"/>
      <c r="K427" s="199"/>
      <c r="L427" s="200"/>
      <c r="M427" s="201"/>
      <c r="N427" s="6"/>
      <c r="O427" s="197"/>
      <c r="P427" s="198"/>
      <c r="Q427" s="199"/>
      <c r="R427" s="200"/>
      <c r="S427" s="201"/>
      <c r="T427" s="203"/>
      <c r="U427" s="197"/>
      <c r="V427" s="198"/>
      <c r="W427" s="199"/>
      <c r="X427" s="200"/>
      <c r="Y427" s="201"/>
      <c r="Z427" s="6"/>
      <c r="AA427" s="197"/>
      <c r="AB427" s="198"/>
      <c r="AC427" s="199"/>
      <c r="AD427" s="200"/>
      <c r="AE427" s="201"/>
      <c r="AF427" s="6"/>
      <c r="AG427" s="197"/>
      <c r="AH427" s="198"/>
      <c r="AI427" s="199"/>
      <c r="AJ427" s="200"/>
      <c r="AK427" s="201"/>
      <c r="AL427" s="6"/>
      <c r="AM427" s="205"/>
      <c r="AN427" s="206"/>
      <c r="AO427" s="26"/>
      <c r="AP427" s="199"/>
      <c r="AQ427" s="200"/>
      <c r="AR427" s="201"/>
      <c r="AS427" s="207"/>
      <c r="AT427" s="202"/>
      <c r="AU427" s="26"/>
      <c r="AV427" s="205"/>
      <c r="AW427" s="208"/>
      <c r="AX427" s="209"/>
      <c r="AY427" s="210"/>
    </row>
    <row r="431" spans="1:53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</row>
    <row r="432" spans="1:53" x14ac:dyDescent="0.15">
      <c r="A432" t="s">
        <v>0</v>
      </c>
      <c r="B432" s="242">
        <v>52</v>
      </c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>
        <v>53</v>
      </c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2"/>
      <c r="AA432" s="242"/>
      <c r="AB432" s="242">
        <v>54</v>
      </c>
      <c r="AC432" s="242"/>
      <c r="AD432" s="242"/>
      <c r="AE432" s="242"/>
      <c r="AF432" s="242"/>
      <c r="AG432" s="242"/>
      <c r="AH432" s="242"/>
      <c r="AI432" s="242"/>
      <c r="AJ432" s="242"/>
      <c r="AK432" s="242"/>
      <c r="AL432" s="242"/>
      <c r="AM432" s="242"/>
      <c r="AN432" s="242"/>
      <c r="AO432" s="242">
        <v>55</v>
      </c>
      <c r="AP432" s="242"/>
      <c r="AQ432" s="242"/>
      <c r="AR432" s="242"/>
      <c r="AS432" s="242"/>
      <c r="AT432" s="242"/>
      <c r="AU432" s="242"/>
      <c r="AV432" s="242"/>
      <c r="AW432" s="242"/>
      <c r="AX432" s="242"/>
      <c r="AY432" s="242"/>
      <c r="AZ432" s="242"/>
      <c r="BA432" s="242"/>
    </row>
    <row r="433" spans="1:53" ht="13.5" customHeight="1" x14ac:dyDescent="0.15">
      <c r="A433" s="6" t="s">
        <v>1</v>
      </c>
      <c r="B433" s="244" t="s">
        <v>214</v>
      </c>
      <c r="C433" s="244"/>
      <c r="D433" s="244"/>
      <c r="E433" s="244"/>
      <c r="F433" s="244"/>
      <c r="G433" s="244"/>
      <c r="H433" s="244"/>
      <c r="I433" s="244"/>
      <c r="J433" s="244"/>
      <c r="K433" s="244"/>
      <c r="L433" s="244"/>
      <c r="M433" s="244"/>
      <c r="N433" s="244"/>
      <c r="O433" s="244" t="s">
        <v>215</v>
      </c>
      <c r="P433" s="244"/>
      <c r="Q433" s="244"/>
      <c r="R433" s="244"/>
      <c r="S433" s="244"/>
      <c r="T433" s="244"/>
      <c r="U433" s="244"/>
      <c r="V433" s="244"/>
      <c r="W433" s="244"/>
      <c r="X433" s="244"/>
      <c r="Y433" s="244"/>
      <c r="Z433" s="244"/>
      <c r="AA433" s="244"/>
      <c r="AB433" s="244" t="s">
        <v>166</v>
      </c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  <c r="AO433" s="244" t="s">
        <v>167</v>
      </c>
      <c r="AP433" s="244"/>
      <c r="AQ433" s="244"/>
      <c r="AR433" s="244"/>
      <c r="AS433" s="244"/>
      <c r="AT433" s="244"/>
      <c r="AU433" s="244"/>
      <c r="AV433" s="244"/>
      <c r="AW433" s="244"/>
      <c r="AX433" s="244"/>
      <c r="AY433" s="244"/>
      <c r="AZ433" s="244"/>
      <c r="BA433" s="244"/>
    </row>
    <row r="434" spans="1:53" x14ac:dyDescent="0.15">
      <c r="A434" s="8"/>
      <c r="B434" s="37" t="s">
        <v>64</v>
      </c>
      <c r="C434" s="34" t="s">
        <v>92</v>
      </c>
      <c r="D434" s="25" t="s">
        <v>101</v>
      </c>
      <c r="E434" s="51" t="s">
        <v>100</v>
      </c>
      <c r="F434" s="61" t="s">
        <v>121</v>
      </c>
      <c r="G434" s="67" t="s">
        <v>122</v>
      </c>
      <c r="H434" s="100" t="s">
        <v>114</v>
      </c>
      <c r="I434" s="101" t="s">
        <v>171</v>
      </c>
      <c r="J434" s="25" t="s">
        <v>173</v>
      </c>
      <c r="K434" s="37" t="s">
        <v>187</v>
      </c>
      <c r="L434" s="151" t="s">
        <v>204</v>
      </c>
      <c r="M434" s="156" t="s">
        <v>210</v>
      </c>
      <c r="N434" s="172" t="s">
        <v>220</v>
      </c>
      <c r="O434" s="37" t="s">
        <v>64</v>
      </c>
      <c r="P434" s="34" t="s">
        <v>92</v>
      </c>
      <c r="Q434" s="25" t="s">
        <v>101</v>
      </c>
      <c r="R434" s="51" t="s">
        <v>100</v>
      </c>
      <c r="S434" s="61" t="s">
        <v>121</v>
      </c>
      <c r="T434" s="67" t="s">
        <v>122</v>
      </c>
      <c r="U434" s="100" t="s">
        <v>114</v>
      </c>
      <c r="V434" s="101" t="s">
        <v>171</v>
      </c>
      <c r="W434" s="25" t="s">
        <v>173</v>
      </c>
      <c r="X434" s="37" t="s">
        <v>187</v>
      </c>
      <c r="Y434" s="151" t="s">
        <v>204</v>
      </c>
      <c r="Z434" s="156" t="s">
        <v>210</v>
      </c>
      <c r="AA434" s="172" t="s">
        <v>220</v>
      </c>
      <c r="AB434" s="37" t="s">
        <v>64</v>
      </c>
      <c r="AC434" s="34" t="s">
        <v>92</v>
      </c>
      <c r="AD434" s="25" t="s">
        <v>101</v>
      </c>
      <c r="AE434" s="51" t="s">
        <v>100</v>
      </c>
      <c r="AF434" s="61" t="s">
        <v>121</v>
      </c>
      <c r="AG434" s="67" t="s">
        <v>122</v>
      </c>
      <c r="AH434" s="100" t="s">
        <v>114</v>
      </c>
      <c r="AI434" s="101" t="s">
        <v>171</v>
      </c>
      <c r="AJ434" s="25" t="s">
        <v>173</v>
      </c>
      <c r="AK434" s="37" t="s">
        <v>187</v>
      </c>
      <c r="AL434" s="151" t="s">
        <v>204</v>
      </c>
      <c r="AM434" s="156" t="s">
        <v>210</v>
      </c>
      <c r="AN434" s="172" t="s">
        <v>220</v>
      </c>
      <c r="AO434" s="37" t="s">
        <v>64</v>
      </c>
      <c r="AP434" s="34" t="s">
        <v>92</v>
      </c>
      <c r="AQ434" s="25" t="s">
        <v>101</v>
      </c>
      <c r="AR434" s="51" t="s">
        <v>100</v>
      </c>
      <c r="AS434" s="61" t="s">
        <v>121</v>
      </c>
      <c r="AT434" s="67" t="s">
        <v>122</v>
      </c>
      <c r="AU434" s="100" t="s">
        <v>114</v>
      </c>
      <c r="AV434" s="101" t="s">
        <v>171</v>
      </c>
      <c r="AW434" s="25" t="s">
        <v>173</v>
      </c>
      <c r="AX434" s="37" t="s">
        <v>187</v>
      </c>
      <c r="AY434" s="151" t="s">
        <v>204</v>
      </c>
      <c r="AZ434" s="156" t="s">
        <v>210</v>
      </c>
      <c r="BA434" s="172" t="s">
        <v>220</v>
      </c>
    </row>
    <row r="435" spans="1:53" ht="14.25" x14ac:dyDescent="0.15">
      <c r="A435" s="26" t="s">
        <v>59</v>
      </c>
      <c r="B435" s="47">
        <f t="shared" ref="B435:D435" si="6">COUNT(B436:B513)</f>
        <v>2</v>
      </c>
      <c r="C435" s="48">
        <f t="shared" si="6"/>
        <v>10</v>
      </c>
      <c r="D435" s="45">
        <f t="shared" si="6"/>
        <v>10</v>
      </c>
      <c r="E435" s="52">
        <f>COUNT(E439:E513)</f>
        <v>10</v>
      </c>
      <c r="F435" s="62">
        <f>COUNT(F436:F512)</f>
        <v>9</v>
      </c>
      <c r="G435" s="68">
        <f>COUNT(G436:G512)</f>
        <v>10</v>
      </c>
      <c r="H435" s="109">
        <f>COUNT(H436:H512)</f>
        <v>12</v>
      </c>
      <c r="I435" s="110">
        <f>COUNT(I436:I512)</f>
        <v>16</v>
      </c>
      <c r="J435" s="45">
        <f>COUNT(J436:J513)</f>
        <v>16</v>
      </c>
      <c r="K435" s="47">
        <f>COUNT(K436:K513)</f>
        <v>18</v>
      </c>
      <c r="L435" s="152">
        <f>COUNT(L436:L513)</f>
        <v>17</v>
      </c>
      <c r="M435" s="157">
        <f>COUNT(M436:M513)</f>
        <v>18</v>
      </c>
      <c r="N435" s="173">
        <f>COUNT(N436:N513)</f>
        <v>18</v>
      </c>
      <c r="O435" s="47">
        <f>COUNT(O439:O513)</f>
        <v>3</v>
      </c>
      <c r="P435" s="48">
        <f>COUNT(P439:P513)</f>
        <v>8</v>
      </c>
      <c r="Q435" s="45">
        <f>COUNT(Q439:Q513)</f>
        <v>6</v>
      </c>
      <c r="R435" s="52">
        <f>COUNT(R439:R513)</f>
        <v>11</v>
      </c>
      <c r="S435" s="62">
        <f>COUNT(S436:S512)</f>
        <v>11</v>
      </c>
      <c r="T435" s="68">
        <f>COUNT(T436:T512)</f>
        <v>13</v>
      </c>
      <c r="U435" s="109">
        <f>COUNT(U436:U512)</f>
        <v>16</v>
      </c>
      <c r="V435" s="110">
        <f>COUNT(V436:V512)</f>
        <v>18</v>
      </c>
      <c r="W435" s="45">
        <f>COUNT(W436:W513)</f>
        <v>12</v>
      </c>
      <c r="X435" s="47">
        <f>COUNT(X436:X513)</f>
        <v>14</v>
      </c>
      <c r="Y435" s="152">
        <f>COUNT(Y436:Y513)</f>
        <v>12</v>
      </c>
      <c r="Z435" s="157">
        <f>COUNT(Z436:Z513)</f>
        <v>12</v>
      </c>
      <c r="AA435" s="173">
        <f>COUNT(AA436:AA513)</f>
        <v>14</v>
      </c>
      <c r="AB435" s="47">
        <f>COUNT(AB439:AB513)</f>
        <v>1</v>
      </c>
      <c r="AC435" s="48">
        <f>COUNT(AC439:AC513)</f>
        <v>1</v>
      </c>
      <c r="AD435" s="45">
        <f>COUNT(AD439:AD513)</f>
        <v>1</v>
      </c>
      <c r="AE435" s="52">
        <f>COUNT(AE439:AE513)</f>
        <v>1</v>
      </c>
      <c r="AF435" s="62">
        <f>COUNT(AF436:AF512)</f>
        <v>1</v>
      </c>
      <c r="AG435" s="68">
        <f>COUNT(AG436:AG512)</f>
        <v>2</v>
      </c>
      <c r="AH435" s="109">
        <f>COUNT(AH436:AH512)</f>
        <v>2</v>
      </c>
      <c r="AI435" s="110">
        <f>COUNT(AI436:AI512)</f>
        <v>1</v>
      </c>
      <c r="AJ435" s="45">
        <f>COUNT(AJ436:AJ513)</f>
        <v>1</v>
      </c>
      <c r="AK435" s="47">
        <f>COUNT(AK436:AK513)</f>
        <v>1</v>
      </c>
      <c r="AL435" s="152">
        <f>COUNT(AL436:AL513)</f>
        <v>1</v>
      </c>
      <c r="AM435" s="157">
        <f>COUNT(AM436:AM513)</f>
        <v>1</v>
      </c>
      <c r="AN435" s="173">
        <f>COUNT(AN436:AN513)</f>
        <v>1</v>
      </c>
      <c r="AO435" s="47">
        <f>COUNT(AO439:AO513)</f>
        <v>1</v>
      </c>
      <c r="AP435" s="48">
        <f>COUNT(AP439:AP513)</f>
        <v>0</v>
      </c>
      <c r="AQ435" s="45">
        <f>COUNT(AQ439:AQ513)</f>
        <v>0</v>
      </c>
      <c r="AR435" s="52">
        <f>COUNT(AR439:AR511)</f>
        <v>1</v>
      </c>
      <c r="AS435" s="62">
        <f t="shared" ref="AS435:AY435" si="7">COUNT(AS436:AS512)</f>
        <v>1</v>
      </c>
      <c r="AT435" s="68">
        <f t="shared" si="7"/>
        <v>1</v>
      </c>
      <c r="AU435" s="109">
        <f t="shared" si="7"/>
        <v>1</v>
      </c>
      <c r="AV435" s="110">
        <f t="shared" si="7"/>
        <v>1</v>
      </c>
      <c r="AW435" s="45">
        <f t="shared" si="7"/>
        <v>1</v>
      </c>
      <c r="AX435" s="47">
        <f t="shared" si="7"/>
        <v>1</v>
      </c>
      <c r="AY435" s="152">
        <f t="shared" si="7"/>
        <v>1</v>
      </c>
      <c r="AZ435" s="157">
        <f>COUNT(AZ436:AZ513)</f>
        <v>1</v>
      </c>
      <c r="BA435" s="173">
        <f>COUNT(BA436:BA513)</f>
        <v>1</v>
      </c>
    </row>
    <row r="436" spans="1:53" x14ac:dyDescent="0.15">
      <c r="A436" s="27" t="s">
        <v>60</v>
      </c>
      <c r="B436" s="38"/>
      <c r="C436" s="35"/>
      <c r="D436" s="4"/>
      <c r="E436" s="54"/>
      <c r="F436" s="64"/>
      <c r="G436" s="69"/>
      <c r="H436" s="126"/>
      <c r="I436" s="127"/>
      <c r="J436" s="4"/>
      <c r="K436" s="38"/>
      <c r="L436" s="83"/>
      <c r="M436" s="158"/>
      <c r="N436" s="174"/>
      <c r="O436" s="38"/>
      <c r="P436" s="35"/>
      <c r="Q436" s="4"/>
      <c r="R436" s="54"/>
      <c r="S436" s="64"/>
      <c r="T436" s="69"/>
      <c r="U436" s="126"/>
      <c r="V436" s="127"/>
      <c r="W436" s="4"/>
      <c r="X436" s="38"/>
      <c r="Y436" s="83"/>
      <c r="Z436" s="158"/>
      <c r="AA436" s="174"/>
      <c r="AB436" s="38"/>
      <c r="AC436" s="35"/>
      <c r="AD436" s="4"/>
      <c r="AE436" s="54"/>
      <c r="AF436" s="64"/>
      <c r="AG436" s="69"/>
      <c r="AH436" s="126"/>
      <c r="AI436" s="127"/>
      <c r="AJ436" s="4"/>
      <c r="AK436" s="38"/>
      <c r="AL436" s="83"/>
      <c r="AM436" s="158"/>
      <c r="AN436" s="174"/>
      <c r="AO436" s="38"/>
      <c r="AP436" s="35"/>
      <c r="AQ436" s="4"/>
      <c r="AR436" s="54"/>
      <c r="AS436" s="64"/>
      <c r="AT436" s="69"/>
      <c r="AU436" s="126"/>
      <c r="AV436" s="127"/>
      <c r="AW436" s="4"/>
      <c r="AX436" s="38"/>
      <c r="AY436" s="83"/>
      <c r="AZ436" s="158"/>
      <c r="BA436" s="174"/>
    </row>
    <row r="437" spans="1:53" x14ac:dyDescent="0.15">
      <c r="A437" s="27" t="s">
        <v>105</v>
      </c>
      <c r="B437" s="38"/>
      <c r="C437" s="35"/>
      <c r="D437" s="4"/>
      <c r="E437" s="54"/>
      <c r="F437" s="64"/>
      <c r="G437" s="69"/>
      <c r="H437" s="126"/>
      <c r="I437" s="127"/>
      <c r="J437" s="4"/>
      <c r="K437" s="38"/>
      <c r="L437" s="83"/>
      <c r="M437" s="158"/>
      <c r="N437" s="174"/>
      <c r="O437" s="38"/>
      <c r="P437" s="35"/>
      <c r="Q437" s="4"/>
      <c r="R437" s="54"/>
      <c r="S437" s="64"/>
      <c r="T437" s="69"/>
      <c r="U437" s="126"/>
      <c r="V437" s="127"/>
      <c r="W437" s="4"/>
      <c r="X437" s="38"/>
      <c r="Y437" s="83"/>
      <c r="Z437" s="158"/>
      <c r="AA437" s="174"/>
      <c r="AB437" s="38"/>
      <c r="AC437" s="35"/>
      <c r="AD437" s="4"/>
      <c r="AE437" s="54"/>
      <c r="AF437" s="64"/>
      <c r="AG437" s="69"/>
      <c r="AH437" s="126"/>
      <c r="AI437" s="127"/>
      <c r="AJ437" s="4"/>
      <c r="AK437" s="38"/>
      <c r="AL437" s="83"/>
      <c r="AM437" s="158"/>
      <c r="AN437" s="174"/>
      <c r="AO437" s="38"/>
      <c r="AP437" s="35"/>
      <c r="AQ437" s="4"/>
      <c r="AR437" s="54"/>
      <c r="AS437" s="64"/>
      <c r="AT437" s="69"/>
      <c r="AU437" s="126"/>
      <c r="AV437" s="127"/>
      <c r="AW437" s="4"/>
      <c r="AX437" s="38"/>
      <c r="AY437" s="83"/>
      <c r="AZ437" s="158"/>
      <c r="BA437" s="174"/>
    </row>
    <row r="438" spans="1:53" x14ac:dyDescent="0.15">
      <c r="A438" s="2" t="s">
        <v>43</v>
      </c>
      <c r="B438" s="133"/>
      <c r="C438" s="134"/>
      <c r="D438" s="10"/>
      <c r="E438" s="53"/>
      <c r="F438" s="63"/>
      <c r="G438" s="135"/>
      <c r="H438" s="136"/>
      <c r="I438" s="137"/>
      <c r="J438" s="10"/>
      <c r="K438" s="133"/>
      <c r="L438" s="153"/>
      <c r="M438" s="159"/>
      <c r="N438" s="175"/>
      <c r="O438" s="133"/>
      <c r="P438" s="134"/>
      <c r="Q438" s="10"/>
      <c r="R438" s="53"/>
      <c r="S438" s="63"/>
      <c r="T438" s="135"/>
      <c r="U438" s="136"/>
      <c r="V438" s="137"/>
      <c r="W438" s="10"/>
      <c r="X438" s="133"/>
      <c r="Y438" s="153"/>
      <c r="Z438" s="159"/>
      <c r="AA438" s="175"/>
      <c r="AB438" s="133"/>
      <c r="AC438" s="134"/>
      <c r="AD438" s="10"/>
      <c r="AE438" s="53"/>
      <c r="AF438" s="63"/>
      <c r="AG438" s="135"/>
      <c r="AH438" s="136"/>
      <c r="AI438" s="137"/>
      <c r="AJ438" s="10"/>
      <c r="AK438" s="133"/>
      <c r="AL438" s="153"/>
      <c r="AM438" s="159"/>
      <c r="AN438" s="175"/>
      <c r="AO438" s="133"/>
      <c r="AP438" s="134"/>
      <c r="AQ438" s="10"/>
      <c r="AR438" s="53"/>
      <c r="AS438" s="63"/>
      <c r="AT438" s="135"/>
      <c r="AU438" s="136"/>
      <c r="AV438" s="137"/>
      <c r="AW438" s="10"/>
      <c r="AX438" s="133"/>
      <c r="AY438" s="153"/>
      <c r="AZ438" s="159"/>
      <c r="BA438" s="175"/>
    </row>
    <row r="439" spans="1:53" x14ac:dyDescent="0.15">
      <c r="A439" s="27" t="s">
        <v>53</v>
      </c>
      <c r="B439" s="38"/>
      <c r="C439" s="35"/>
      <c r="D439" s="4"/>
      <c r="E439" s="54"/>
      <c r="F439" s="64"/>
      <c r="G439" s="69"/>
      <c r="H439" s="126"/>
      <c r="I439" s="127"/>
      <c r="J439" s="4"/>
      <c r="K439" s="38"/>
      <c r="L439" s="83"/>
      <c r="M439" s="158"/>
      <c r="N439" s="174"/>
      <c r="O439" s="38"/>
      <c r="P439" s="35"/>
      <c r="Q439" s="4"/>
      <c r="R439" s="54"/>
      <c r="S439" s="64"/>
      <c r="T439" s="69"/>
      <c r="U439" s="126"/>
      <c r="V439" s="127"/>
      <c r="W439" s="4"/>
      <c r="X439" s="38"/>
      <c r="Y439" s="83"/>
      <c r="Z439" s="158"/>
      <c r="AA439" s="174"/>
      <c r="AB439" s="38"/>
      <c r="AC439" s="35"/>
      <c r="AD439" s="4"/>
      <c r="AE439" s="54"/>
      <c r="AF439" s="64"/>
      <c r="AG439" s="69"/>
      <c r="AH439" s="126"/>
      <c r="AI439" s="127"/>
      <c r="AJ439" s="4"/>
      <c r="AK439" s="38"/>
      <c r="AL439" s="83"/>
      <c r="AM439" s="158"/>
      <c r="AN439" s="174"/>
      <c r="AO439" s="38"/>
      <c r="AP439" s="35"/>
      <c r="AQ439" s="4"/>
      <c r="AR439" s="54"/>
      <c r="AS439" s="64">
        <v>2</v>
      </c>
      <c r="AT439" s="69">
        <v>2</v>
      </c>
      <c r="AU439" s="126">
        <v>2</v>
      </c>
      <c r="AV439" s="127">
        <v>2</v>
      </c>
      <c r="AW439" s="4">
        <v>2</v>
      </c>
      <c r="AX439" s="38">
        <v>1</v>
      </c>
      <c r="AY439" s="83">
        <v>1</v>
      </c>
      <c r="AZ439" s="158">
        <v>1</v>
      </c>
      <c r="BA439" s="174">
        <v>1</v>
      </c>
    </row>
    <row r="440" spans="1:53" x14ac:dyDescent="0.15">
      <c r="A440" s="2" t="s">
        <v>12</v>
      </c>
      <c r="B440" s="38">
        <v>2</v>
      </c>
      <c r="C440" s="35">
        <v>2</v>
      </c>
      <c r="D440" s="4">
        <v>3</v>
      </c>
      <c r="E440" s="54">
        <v>2</v>
      </c>
      <c r="F440" s="64">
        <v>2</v>
      </c>
      <c r="G440" s="69">
        <v>2</v>
      </c>
      <c r="H440" s="126">
        <v>2</v>
      </c>
      <c r="I440" s="127">
        <v>2</v>
      </c>
      <c r="J440" s="4">
        <v>2</v>
      </c>
      <c r="K440" s="38">
        <v>2</v>
      </c>
      <c r="L440" s="83">
        <v>2</v>
      </c>
      <c r="M440" s="158">
        <v>2</v>
      </c>
      <c r="N440" s="174">
        <v>2</v>
      </c>
      <c r="O440" s="38">
        <v>2</v>
      </c>
      <c r="P440" s="35">
        <v>2</v>
      </c>
      <c r="Q440" s="4">
        <v>2</v>
      </c>
      <c r="R440" s="54">
        <v>2</v>
      </c>
      <c r="S440" s="64">
        <v>2</v>
      </c>
      <c r="T440" s="69">
        <v>2</v>
      </c>
      <c r="U440" s="126">
        <v>2</v>
      </c>
      <c r="V440" s="127">
        <v>2</v>
      </c>
      <c r="W440" s="4">
        <v>1</v>
      </c>
      <c r="X440" s="38">
        <v>2</v>
      </c>
      <c r="Y440" s="83">
        <v>1</v>
      </c>
      <c r="Z440" s="158">
        <v>1</v>
      </c>
      <c r="AA440" s="174">
        <v>1</v>
      </c>
      <c r="AB440" s="38">
        <v>2</v>
      </c>
      <c r="AC440" s="35">
        <v>1</v>
      </c>
      <c r="AD440" s="4">
        <v>1</v>
      </c>
      <c r="AE440" s="54">
        <v>1</v>
      </c>
      <c r="AF440" s="64">
        <v>1</v>
      </c>
      <c r="AG440" s="69">
        <v>1</v>
      </c>
      <c r="AH440" s="126">
        <v>1</v>
      </c>
      <c r="AI440" s="127"/>
      <c r="AJ440" s="4"/>
      <c r="AK440" s="38"/>
      <c r="AL440" s="83"/>
      <c r="AM440" s="158"/>
      <c r="AN440" s="174"/>
      <c r="AO440" s="38"/>
      <c r="AP440" s="35"/>
      <c r="AQ440" s="4"/>
      <c r="AR440" s="54"/>
      <c r="AS440" s="64"/>
      <c r="AT440" s="69"/>
      <c r="AU440" s="126"/>
      <c r="AV440" s="127"/>
      <c r="AW440" s="4"/>
      <c r="AX440" s="38"/>
      <c r="AY440" s="83"/>
      <c r="AZ440" s="158"/>
      <c r="BA440" s="174"/>
    </row>
    <row r="441" spans="1:53" x14ac:dyDescent="0.15">
      <c r="A441" s="2" t="s">
        <v>93</v>
      </c>
      <c r="B441" s="38"/>
      <c r="C441" s="35">
        <v>1</v>
      </c>
      <c r="D441" s="4">
        <v>1</v>
      </c>
      <c r="E441" s="54">
        <v>1</v>
      </c>
      <c r="F441" s="64"/>
      <c r="G441" s="69">
        <v>1</v>
      </c>
      <c r="H441" s="126">
        <v>1</v>
      </c>
      <c r="I441" s="127">
        <v>1</v>
      </c>
      <c r="J441" s="4">
        <v>1</v>
      </c>
      <c r="K441" s="38">
        <v>1</v>
      </c>
      <c r="L441" s="83">
        <v>1</v>
      </c>
      <c r="M441" s="158">
        <v>1</v>
      </c>
      <c r="N441" s="174">
        <v>1</v>
      </c>
      <c r="O441" s="38"/>
      <c r="P441" s="35"/>
      <c r="Q441" s="4"/>
      <c r="R441" s="54"/>
      <c r="S441" s="64"/>
      <c r="T441" s="69"/>
      <c r="U441" s="126"/>
      <c r="V441" s="127">
        <v>1</v>
      </c>
      <c r="W441" s="4"/>
      <c r="X441" s="38"/>
      <c r="Y441" s="83"/>
      <c r="Z441" s="158"/>
      <c r="AA441" s="174"/>
      <c r="AB441" s="38"/>
      <c r="AC441" s="35"/>
      <c r="AD441" s="4"/>
      <c r="AE441" s="54"/>
      <c r="AF441" s="64"/>
      <c r="AG441" s="69"/>
      <c r="AH441" s="126"/>
      <c r="AI441" s="127"/>
      <c r="AJ441" s="4"/>
      <c r="AK441" s="38"/>
      <c r="AL441" s="83"/>
      <c r="AM441" s="158"/>
      <c r="AN441" s="174"/>
      <c r="AO441" s="38"/>
      <c r="AP441" s="35"/>
      <c r="AQ441" s="4"/>
      <c r="AR441" s="54"/>
      <c r="AS441" s="64"/>
      <c r="AT441" s="69"/>
      <c r="AU441" s="126"/>
      <c r="AV441" s="127"/>
      <c r="AW441" s="4"/>
      <c r="AX441" s="38"/>
      <c r="AY441" s="83"/>
      <c r="AZ441" s="158"/>
      <c r="BA441" s="174"/>
    </row>
    <row r="442" spans="1:53" x14ac:dyDescent="0.15">
      <c r="A442" s="2" t="s">
        <v>33</v>
      </c>
      <c r="B442" s="38"/>
      <c r="C442" s="35"/>
      <c r="D442" s="4"/>
      <c r="E442" s="54"/>
      <c r="F442" s="64"/>
      <c r="G442" s="69"/>
      <c r="H442" s="126"/>
      <c r="I442" s="127"/>
      <c r="J442" s="4"/>
      <c r="K442" s="38"/>
      <c r="L442" s="83"/>
      <c r="M442" s="158"/>
      <c r="N442" s="174"/>
      <c r="O442" s="38"/>
      <c r="P442" s="35"/>
      <c r="Q442" s="4"/>
      <c r="R442" s="54"/>
      <c r="S442" s="64"/>
      <c r="T442" s="69"/>
      <c r="U442" s="126"/>
      <c r="V442" s="127"/>
      <c r="W442" s="4"/>
      <c r="X442" s="38"/>
      <c r="Y442" s="83"/>
      <c r="Z442" s="158"/>
      <c r="AA442" s="174"/>
      <c r="AB442" s="38"/>
      <c r="AC442" s="35"/>
      <c r="AD442" s="4"/>
      <c r="AE442" s="54"/>
      <c r="AF442" s="64"/>
      <c r="AG442" s="69"/>
      <c r="AH442" s="126"/>
      <c r="AI442" s="127"/>
      <c r="AJ442" s="4"/>
      <c r="AK442" s="38"/>
      <c r="AL442" s="83"/>
      <c r="AM442" s="158"/>
      <c r="AN442" s="174"/>
      <c r="AO442" s="38"/>
      <c r="AP442" s="35"/>
      <c r="AQ442" s="4"/>
      <c r="AR442" s="54"/>
      <c r="AS442" s="64"/>
      <c r="AT442" s="69"/>
      <c r="AU442" s="126"/>
      <c r="AV442" s="127"/>
      <c r="AW442" s="4"/>
      <c r="AX442" s="38"/>
      <c r="AY442" s="83"/>
      <c r="AZ442" s="158"/>
      <c r="BA442" s="174"/>
    </row>
    <row r="443" spans="1:53" x14ac:dyDescent="0.15">
      <c r="A443" s="2" t="s">
        <v>13</v>
      </c>
      <c r="B443" s="38"/>
      <c r="C443" s="35"/>
      <c r="D443" s="4"/>
      <c r="E443" s="54"/>
      <c r="F443" s="64"/>
      <c r="G443" s="69"/>
      <c r="H443" s="126"/>
      <c r="I443" s="127"/>
      <c r="J443" s="4"/>
      <c r="K443" s="38"/>
      <c r="L443" s="83"/>
      <c r="M443" s="158"/>
      <c r="N443" s="174"/>
      <c r="O443" s="38"/>
      <c r="P443" s="35"/>
      <c r="Q443" s="4"/>
      <c r="R443" s="54"/>
      <c r="S443" s="64"/>
      <c r="T443" s="69"/>
      <c r="U443" s="126"/>
      <c r="V443" s="127"/>
      <c r="W443" s="4"/>
      <c r="X443" s="38"/>
      <c r="Y443" s="83"/>
      <c r="Z443" s="158"/>
      <c r="AA443" s="174"/>
      <c r="AB443" s="38"/>
      <c r="AC443" s="35"/>
      <c r="AD443" s="4"/>
      <c r="AE443" s="54"/>
      <c r="AF443" s="64"/>
      <c r="AG443" s="69"/>
      <c r="AH443" s="126"/>
      <c r="AI443" s="127"/>
      <c r="AJ443" s="4"/>
      <c r="AK443" s="38"/>
      <c r="AL443" s="83"/>
      <c r="AM443" s="158"/>
      <c r="AN443" s="174"/>
      <c r="AO443" s="38"/>
      <c r="AP443" s="35"/>
      <c r="AQ443" s="4"/>
      <c r="AR443" s="54"/>
      <c r="AS443" s="64"/>
      <c r="AT443" s="69"/>
      <c r="AU443" s="126"/>
      <c r="AV443" s="127"/>
      <c r="AW443" s="4"/>
      <c r="AX443" s="38"/>
      <c r="AY443" s="83"/>
      <c r="AZ443" s="158"/>
      <c r="BA443" s="174"/>
    </row>
    <row r="444" spans="1:53" x14ac:dyDescent="0.15">
      <c r="A444" s="2" t="s">
        <v>190</v>
      </c>
      <c r="B444" s="38"/>
      <c r="C444" s="35"/>
      <c r="D444" s="4"/>
      <c r="E444" s="54"/>
      <c r="F444" s="64"/>
      <c r="G444" s="69"/>
      <c r="H444" s="126"/>
      <c r="I444" s="127"/>
      <c r="J444" s="4"/>
      <c r="K444" s="38"/>
      <c r="L444" s="83"/>
      <c r="M444" s="158"/>
      <c r="N444" s="174"/>
      <c r="O444" s="38"/>
      <c r="P444" s="35"/>
      <c r="Q444" s="4"/>
      <c r="R444" s="54"/>
      <c r="S444" s="64"/>
      <c r="T444" s="69"/>
      <c r="U444" s="126"/>
      <c r="V444" s="127"/>
      <c r="W444" s="4"/>
      <c r="X444" s="38"/>
      <c r="Y444" s="83"/>
      <c r="Z444" s="158"/>
      <c r="AA444" s="174"/>
      <c r="AB444" s="38"/>
      <c r="AC444" s="35"/>
      <c r="AD444" s="4"/>
      <c r="AE444" s="54"/>
      <c r="AF444" s="64"/>
      <c r="AG444" s="69"/>
      <c r="AH444" s="126"/>
      <c r="AI444" s="127"/>
      <c r="AJ444" s="4"/>
      <c r="AK444" s="38"/>
      <c r="AL444" s="83"/>
      <c r="AM444" s="158"/>
      <c r="AN444" s="174"/>
      <c r="AO444" s="38"/>
      <c r="AP444" s="35"/>
      <c r="AQ444" s="4"/>
      <c r="AR444" s="54"/>
      <c r="AS444" s="64"/>
      <c r="AT444" s="69"/>
      <c r="AU444" s="126"/>
      <c r="AV444" s="127"/>
      <c r="AW444" s="4"/>
      <c r="AX444" s="38"/>
      <c r="AY444" s="83"/>
      <c r="AZ444" s="158"/>
      <c r="BA444" s="174"/>
    </row>
    <row r="445" spans="1:53" x14ac:dyDescent="0.15">
      <c r="A445" s="2" t="s">
        <v>14</v>
      </c>
      <c r="B445" s="38"/>
      <c r="C445" s="35">
        <v>1</v>
      </c>
      <c r="D445" s="4">
        <v>1</v>
      </c>
      <c r="E445" s="54"/>
      <c r="F445" s="64"/>
      <c r="G445" s="69"/>
      <c r="H445" s="126"/>
      <c r="I445" s="127">
        <v>2</v>
      </c>
      <c r="J445" s="4">
        <v>1</v>
      </c>
      <c r="K445" s="38">
        <v>1</v>
      </c>
      <c r="L445" s="83">
        <v>1</v>
      </c>
      <c r="M445" s="158">
        <v>1</v>
      </c>
      <c r="N445" s="174">
        <v>1</v>
      </c>
      <c r="O445" s="38"/>
      <c r="P445" s="35">
        <v>1</v>
      </c>
      <c r="Q445" s="4"/>
      <c r="R445" s="54">
        <v>2</v>
      </c>
      <c r="S445" s="64"/>
      <c r="T445" s="69">
        <v>1</v>
      </c>
      <c r="U445" s="126">
        <v>1</v>
      </c>
      <c r="V445" s="127"/>
      <c r="W445" s="4"/>
      <c r="X445" s="38"/>
      <c r="Y445" s="83"/>
      <c r="Z445" s="158"/>
      <c r="AA445" s="174"/>
      <c r="AB445" s="38"/>
      <c r="AC445" s="35"/>
      <c r="AD445" s="4"/>
      <c r="AE445" s="54"/>
      <c r="AF445" s="64"/>
      <c r="AG445" s="69"/>
      <c r="AH445" s="126"/>
      <c r="AI445" s="127"/>
      <c r="AJ445" s="4"/>
      <c r="AK445" s="38"/>
      <c r="AL445" s="83"/>
      <c r="AM445" s="158"/>
      <c r="AN445" s="174"/>
      <c r="AO445" s="38"/>
      <c r="AP445" s="35"/>
      <c r="AQ445" s="4"/>
      <c r="AR445" s="54"/>
      <c r="AS445" s="64"/>
      <c r="AT445" s="69"/>
      <c r="AU445" s="126"/>
      <c r="AV445" s="127"/>
      <c r="AW445" s="4"/>
      <c r="AX445" s="38"/>
      <c r="AY445" s="83"/>
      <c r="AZ445" s="158"/>
      <c r="BA445" s="174"/>
    </row>
    <row r="446" spans="1:53" x14ac:dyDescent="0.15">
      <c r="A446" s="2" t="s">
        <v>26</v>
      </c>
      <c r="B446" s="38"/>
      <c r="C446" s="35"/>
      <c r="D446" s="4"/>
      <c r="E446" s="54"/>
      <c r="F446" s="64"/>
      <c r="G446" s="69"/>
      <c r="H446" s="126"/>
      <c r="I446" s="127"/>
      <c r="J446" s="4"/>
      <c r="K446" s="38"/>
      <c r="L446" s="83"/>
      <c r="M446" s="158"/>
      <c r="N446" s="174"/>
      <c r="O446" s="38"/>
      <c r="P446" s="35"/>
      <c r="Q446" s="4"/>
      <c r="R446" s="54"/>
      <c r="S446" s="64"/>
      <c r="T446" s="69"/>
      <c r="U446" s="126"/>
      <c r="V446" s="127"/>
      <c r="W446" s="4"/>
      <c r="X446" s="38"/>
      <c r="Y446" s="83"/>
      <c r="Z446" s="158"/>
      <c r="AA446" s="174"/>
      <c r="AB446" s="38"/>
      <c r="AC446" s="35"/>
      <c r="AD446" s="4"/>
      <c r="AE446" s="54"/>
      <c r="AF446" s="64"/>
      <c r="AG446" s="69"/>
      <c r="AH446" s="126"/>
      <c r="AI446" s="127"/>
      <c r="AJ446" s="4"/>
      <c r="AK446" s="38"/>
      <c r="AL446" s="83"/>
      <c r="AM446" s="158"/>
      <c r="AN446" s="174"/>
      <c r="AO446" s="38"/>
      <c r="AP446" s="35"/>
      <c r="AQ446" s="4"/>
      <c r="AR446" s="54"/>
      <c r="AS446" s="64"/>
      <c r="AT446" s="69"/>
      <c r="AU446" s="126"/>
      <c r="AV446" s="127"/>
      <c r="AW446" s="4"/>
      <c r="AX446" s="38"/>
      <c r="AY446" s="83"/>
      <c r="AZ446" s="158"/>
      <c r="BA446" s="174"/>
    </row>
    <row r="447" spans="1:53" x14ac:dyDescent="0.15">
      <c r="A447" s="2" t="s">
        <v>51</v>
      </c>
      <c r="B447" s="38"/>
      <c r="C447" s="35">
        <v>1</v>
      </c>
      <c r="D447" s="4">
        <v>1</v>
      </c>
      <c r="E447" s="54">
        <v>1</v>
      </c>
      <c r="F447" s="64">
        <v>1</v>
      </c>
      <c r="G447" s="69">
        <v>1</v>
      </c>
      <c r="H447" s="126">
        <v>1</v>
      </c>
      <c r="I447" s="127"/>
      <c r="J447" s="4"/>
      <c r="K447" s="38"/>
      <c r="L447" s="83"/>
      <c r="M447" s="158"/>
      <c r="N447" s="174"/>
      <c r="O447" s="38"/>
      <c r="P447" s="35"/>
      <c r="Q447" s="4"/>
      <c r="R447" s="54"/>
      <c r="S447" s="64"/>
      <c r="T447" s="69"/>
      <c r="U447" s="126"/>
      <c r="V447" s="127"/>
      <c r="W447" s="4"/>
      <c r="X447" s="38"/>
      <c r="Y447" s="83"/>
      <c r="Z447" s="158"/>
      <c r="AA447" s="174"/>
      <c r="AB447" s="38"/>
      <c r="AC447" s="35"/>
      <c r="AD447" s="4"/>
      <c r="AE447" s="54"/>
      <c r="AF447" s="64"/>
      <c r="AG447" s="69"/>
      <c r="AH447" s="126"/>
      <c r="AI447" s="127"/>
      <c r="AJ447" s="4"/>
      <c r="AK447" s="38"/>
      <c r="AL447" s="83"/>
      <c r="AM447" s="158"/>
      <c r="AN447" s="174"/>
      <c r="AO447" s="38"/>
      <c r="AP447" s="35"/>
      <c r="AQ447" s="4"/>
      <c r="AR447" s="54"/>
      <c r="AS447" s="64"/>
      <c r="AT447" s="69"/>
      <c r="AU447" s="126"/>
      <c r="AV447" s="127"/>
      <c r="AW447" s="4"/>
      <c r="AX447" s="38"/>
      <c r="AY447" s="83"/>
      <c r="AZ447" s="158"/>
      <c r="BA447" s="174"/>
    </row>
    <row r="448" spans="1:53" x14ac:dyDescent="0.15">
      <c r="A448" s="2" t="s">
        <v>44</v>
      </c>
      <c r="B448" s="38"/>
      <c r="C448" s="35"/>
      <c r="D448" s="4"/>
      <c r="E448" s="54"/>
      <c r="F448" s="64"/>
      <c r="G448" s="69"/>
      <c r="H448" s="126"/>
      <c r="I448" s="127"/>
      <c r="J448" s="4"/>
      <c r="K448" s="38"/>
      <c r="L448" s="83"/>
      <c r="M448" s="158"/>
      <c r="N448" s="174"/>
      <c r="O448" s="38"/>
      <c r="P448" s="35"/>
      <c r="Q448" s="4"/>
      <c r="R448" s="54"/>
      <c r="S448" s="64"/>
      <c r="T448" s="69"/>
      <c r="U448" s="126"/>
      <c r="V448" s="127"/>
      <c r="W448" s="4"/>
      <c r="X448" s="38"/>
      <c r="Y448" s="83"/>
      <c r="Z448" s="158"/>
      <c r="AA448" s="174"/>
      <c r="AB448" s="38"/>
      <c r="AC448" s="35"/>
      <c r="AD448" s="4"/>
      <c r="AE448" s="54"/>
      <c r="AF448" s="64"/>
      <c r="AG448" s="69"/>
      <c r="AH448" s="126"/>
      <c r="AI448" s="127"/>
      <c r="AJ448" s="4"/>
      <c r="AK448" s="38"/>
      <c r="AL448" s="83"/>
      <c r="AM448" s="158"/>
      <c r="AN448" s="174"/>
      <c r="AO448" s="38"/>
      <c r="AP448" s="35"/>
      <c r="AQ448" s="4"/>
      <c r="AR448" s="54"/>
      <c r="AS448" s="64"/>
      <c r="AT448" s="69"/>
      <c r="AU448" s="126"/>
      <c r="AV448" s="127"/>
      <c r="AW448" s="4"/>
      <c r="AX448" s="38"/>
      <c r="AY448" s="83"/>
      <c r="AZ448" s="158"/>
      <c r="BA448" s="174"/>
    </row>
    <row r="449" spans="1:53" x14ac:dyDescent="0.15">
      <c r="A449" s="2" t="s">
        <v>4</v>
      </c>
      <c r="B449" s="38"/>
      <c r="C449" s="35">
        <v>1</v>
      </c>
      <c r="D449" s="4">
        <v>1</v>
      </c>
      <c r="E449" s="54">
        <v>1</v>
      </c>
      <c r="F449" s="64">
        <v>1</v>
      </c>
      <c r="G449" s="69">
        <v>1</v>
      </c>
      <c r="H449" s="126">
        <v>1</v>
      </c>
      <c r="I449" s="127">
        <v>1</v>
      </c>
      <c r="J449" s="4">
        <v>1</v>
      </c>
      <c r="K449" s="38">
        <v>1</v>
      </c>
      <c r="L449" s="83">
        <v>1</v>
      </c>
      <c r="M449" s="158">
        <v>1</v>
      </c>
      <c r="N449" s="174">
        <v>1</v>
      </c>
      <c r="O449" s="38">
        <v>1</v>
      </c>
      <c r="P449" s="35">
        <v>1</v>
      </c>
      <c r="Q449" s="4">
        <v>1</v>
      </c>
      <c r="R449" s="54">
        <v>2</v>
      </c>
      <c r="S449" s="64">
        <v>1</v>
      </c>
      <c r="T449" s="69">
        <v>1</v>
      </c>
      <c r="U449" s="126">
        <v>1</v>
      </c>
      <c r="V449" s="127">
        <v>2</v>
      </c>
      <c r="W449" s="4">
        <v>1</v>
      </c>
      <c r="X449" s="38">
        <v>1</v>
      </c>
      <c r="Y449" s="83">
        <v>1</v>
      </c>
      <c r="Z449" s="158">
        <v>1</v>
      </c>
      <c r="AA449" s="174">
        <v>1</v>
      </c>
      <c r="AB449" s="38"/>
      <c r="AC449" s="35"/>
      <c r="AD449" s="4"/>
      <c r="AE449" s="54"/>
      <c r="AF449" s="64"/>
      <c r="AG449" s="69"/>
      <c r="AH449" s="126"/>
      <c r="AI449" s="127"/>
      <c r="AJ449" s="4"/>
      <c r="AK449" s="38"/>
      <c r="AL449" s="83"/>
      <c r="AM449" s="158"/>
      <c r="AN449" s="174"/>
      <c r="AO449" s="38"/>
      <c r="AP449" s="35"/>
      <c r="AQ449" s="4"/>
      <c r="AR449" s="54"/>
      <c r="AS449" s="64"/>
      <c r="AT449" s="69"/>
      <c r="AU449" s="126"/>
      <c r="AV449" s="127"/>
      <c r="AW449" s="4"/>
      <c r="AX449" s="38"/>
      <c r="AY449" s="83"/>
      <c r="AZ449" s="158"/>
      <c r="BA449" s="174"/>
    </row>
    <row r="450" spans="1:53" x14ac:dyDescent="0.15">
      <c r="A450" s="2" t="s">
        <v>232</v>
      </c>
      <c r="B450" s="38"/>
      <c r="C450" s="35"/>
      <c r="D450" s="4"/>
      <c r="E450" s="54"/>
      <c r="F450" s="64"/>
      <c r="G450" s="69"/>
      <c r="H450" s="126"/>
      <c r="I450" s="127"/>
      <c r="J450" s="4"/>
      <c r="K450" s="38"/>
      <c r="L450" s="83"/>
      <c r="M450" s="158"/>
      <c r="N450" s="174"/>
      <c r="O450" s="38"/>
      <c r="P450" s="35"/>
      <c r="Q450" s="4"/>
      <c r="R450" s="54"/>
      <c r="S450" s="64"/>
      <c r="T450" s="69"/>
      <c r="U450" s="126"/>
      <c r="V450" s="127"/>
      <c r="W450" s="4"/>
      <c r="X450" s="38"/>
      <c r="Y450" s="83"/>
      <c r="Z450" s="158"/>
      <c r="AA450" s="174"/>
      <c r="AB450" s="38"/>
      <c r="AC450" s="35"/>
      <c r="AD450" s="4"/>
      <c r="AE450" s="54"/>
      <c r="AF450" s="64"/>
      <c r="AG450" s="69"/>
      <c r="AH450" s="126"/>
      <c r="AI450" s="127"/>
      <c r="AJ450" s="4"/>
      <c r="AK450" s="38"/>
      <c r="AL450" s="83"/>
      <c r="AM450" s="158"/>
      <c r="AN450" s="174"/>
      <c r="AO450" s="38"/>
      <c r="AP450" s="35"/>
      <c r="AQ450" s="4"/>
      <c r="AR450" s="54"/>
      <c r="AS450" s="64"/>
      <c r="AT450" s="69"/>
      <c r="AU450" s="126"/>
      <c r="AV450" s="127"/>
      <c r="AW450" s="4"/>
      <c r="AX450" s="38"/>
      <c r="AY450" s="83"/>
      <c r="AZ450" s="158"/>
      <c r="BA450" s="174"/>
    </row>
    <row r="451" spans="1:53" x14ac:dyDescent="0.15">
      <c r="A451" s="2" t="s">
        <v>15</v>
      </c>
      <c r="B451" s="38"/>
      <c r="C451" s="35"/>
      <c r="D451" s="4"/>
      <c r="E451" s="54"/>
      <c r="F451" s="64"/>
      <c r="G451" s="69"/>
      <c r="H451" s="126"/>
      <c r="I451" s="127"/>
      <c r="J451" s="4"/>
      <c r="K451" s="38"/>
      <c r="L451" s="83"/>
      <c r="M451" s="158"/>
      <c r="N451" s="174"/>
      <c r="O451" s="38"/>
      <c r="P451" s="35"/>
      <c r="Q451" s="4"/>
      <c r="R451" s="54"/>
      <c r="S451" s="64"/>
      <c r="T451" s="69"/>
      <c r="U451" s="126"/>
      <c r="V451" s="127"/>
      <c r="W451" s="4"/>
      <c r="X451" s="38"/>
      <c r="Y451" s="83"/>
      <c r="Z451" s="158"/>
      <c r="AA451" s="174"/>
      <c r="AB451" s="38"/>
      <c r="AC451" s="35"/>
      <c r="AD451" s="4"/>
      <c r="AE451" s="54"/>
      <c r="AF451" s="64"/>
      <c r="AG451" s="69"/>
      <c r="AH451" s="126"/>
      <c r="AI451" s="127"/>
      <c r="AJ451" s="4"/>
      <c r="AK451" s="38"/>
      <c r="AL451" s="83"/>
      <c r="AM451" s="158"/>
      <c r="AN451" s="174"/>
      <c r="AO451" s="38"/>
      <c r="AP451" s="35"/>
      <c r="AQ451" s="4"/>
      <c r="AR451" s="54"/>
      <c r="AS451" s="64"/>
      <c r="AT451" s="69"/>
      <c r="AU451" s="126"/>
      <c r="AV451" s="127"/>
      <c r="AW451" s="4"/>
      <c r="AX451" s="38"/>
      <c r="AY451" s="83"/>
      <c r="AZ451" s="158"/>
      <c r="BA451" s="174"/>
    </row>
    <row r="452" spans="1:53" x14ac:dyDescent="0.15">
      <c r="A452" s="2" t="s">
        <v>5</v>
      </c>
      <c r="B452" s="38"/>
      <c r="C452" s="35"/>
      <c r="D452" s="4"/>
      <c r="E452" s="54"/>
      <c r="F452" s="64"/>
      <c r="G452" s="69"/>
      <c r="H452" s="126"/>
      <c r="I452" s="127">
        <v>1</v>
      </c>
      <c r="J452" s="4"/>
      <c r="K452" s="38">
        <v>1</v>
      </c>
      <c r="L452" s="83">
        <v>1</v>
      </c>
      <c r="M452" s="158">
        <v>1</v>
      </c>
      <c r="N452" s="174">
        <v>1</v>
      </c>
      <c r="O452" s="38"/>
      <c r="P452" s="35"/>
      <c r="Q452" s="4"/>
      <c r="R452" s="54">
        <v>1</v>
      </c>
      <c r="S452" s="64">
        <v>1</v>
      </c>
      <c r="T452" s="69">
        <v>1</v>
      </c>
      <c r="U452" s="126">
        <v>1</v>
      </c>
      <c r="V452" s="127">
        <v>2</v>
      </c>
      <c r="W452" s="4">
        <v>1</v>
      </c>
      <c r="X452" s="38">
        <v>1</v>
      </c>
      <c r="Y452" s="83">
        <v>1</v>
      </c>
      <c r="Z452" s="158">
        <v>1</v>
      </c>
      <c r="AA452" s="174">
        <v>1</v>
      </c>
      <c r="AB452" s="38"/>
      <c r="AC452" s="35"/>
      <c r="AD452" s="4"/>
      <c r="AE452" s="54"/>
      <c r="AF452" s="64"/>
      <c r="AG452" s="69"/>
      <c r="AH452" s="126"/>
      <c r="AI452" s="127"/>
      <c r="AJ452" s="4"/>
      <c r="AK452" s="38"/>
      <c r="AL452" s="83"/>
      <c r="AM452" s="158"/>
      <c r="AN452" s="174"/>
      <c r="AO452" s="38"/>
      <c r="AP452" s="35"/>
      <c r="AQ452" s="4"/>
      <c r="AR452" s="54"/>
      <c r="AS452" s="64"/>
      <c r="AT452" s="69"/>
      <c r="AU452" s="126"/>
      <c r="AV452" s="127"/>
      <c r="AW452" s="4"/>
      <c r="AX452" s="38"/>
      <c r="AY452" s="83"/>
      <c r="AZ452" s="158"/>
      <c r="BA452" s="174"/>
    </row>
    <row r="453" spans="1:53" x14ac:dyDescent="0.15">
      <c r="A453" s="2" t="s">
        <v>46</v>
      </c>
      <c r="B453" s="38"/>
      <c r="C453" s="35"/>
      <c r="D453" s="4"/>
      <c r="E453" s="54"/>
      <c r="F453" s="64"/>
      <c r="G453" s="69"/>
      <c r="H453" s="126"/>
      <c r="I453" s="127">
        <v>2</v>
      </c>
      <c r="J453" s="4">
        <v>1</v>
      </c>
      <c r="K453" s="38">
        <v>1</v>
      </c>
      <c r="L453" s="83"/>
      <c r="M453" s="158">
        <v>1</v>
      </c>
      <c r="N453" s="174"/>
      <c r="O453" s="38"/>
      <c r="P453" s="35"/>
      <c r="Q453" s="4"/>
      <c r="R453" s="54">
        <v>3</v>
      </c>
      <c r="S453" s="64">
        <v>2</v>
      </c>
      <c r="T453" s="69">
        <v>2</v>
      </c>
      <c r="U453" s="126">
        <v>1</v>
      </c>
      <c r="V453" s="127">
        <v>1</v>
      </c>
      <c r="W453" s="4">
        <v>1</v>
      </c>
      <c r="X453" s="38">
        <v>1</v>
      </c>
      <c r="Y453" s="83">
        <v>1</v>
      </c>
      <c r="Z453" s="158">
        <v>2</v>
      </c>
      <c r="AA453" s="174">
        <v>1</v>
      </c>
      <c r="AB453" s="38"/>
      <c r="AC453" s="35"/>
      <c r="AD453" s="4"/>
      <c r="AE453" s="54"/>
      <c r="AF453" s="64"/>
      <c r="AG453" s="69"/>
      <c r="AH453" s="126"/>
      <c r="AI453" s="127"/>
      <c r="AJ453" s="4"/>
      <c r="AK453" s="38"/>
      <c r="AL453" s="83"/>
      <c r="AM453" s="158"/>
      <c r="AN453" s="174"/>
      <c r="AO453" s="38"/>
      <c r="AP453" s="35"/>
      <c r="AQ453" s="4"/>
      <c r="AR453" s="54"/>
      <c r="AS453" s="64"/>
      <c r="AT453" s="69"/>
      <c r="AU453" s="126"/>
      <c r="AV453" s="127"/>
      <c r="AW453" s="4"/>
      <c r="AX453" s="38"/>
      <c r="AY453" s="83"/>
      <c r="AZ453" s="158"/>
      <c r="BA453" s="174"/>
    </row>
    <row r="454" spans="1:53" x14ac:dyDescent="0.15">
      <c r="A454" s="2" t="s">
        <v>228</v>
      </c>
      <c r="B454" s="38"/>
      <c r="C454" s="35"/>
      <c r="D454" s="4"/>
      <c r="E454" s="54"/>
      <c r="F454" s="64"/>
      <c r="G454" s="69"/>
      <c r="H454" s="126"/>
      <c r="I454" s="127"/>
      <c r="J454" s="4"/>
      <c r="K454" s="38"/>
      <c r="L454" s="83"/>
      <c r="M454" s="158"/>
      <c r="N454" s="174"/>
      <c r="O454" s="38"/>
      <c r="P454" s="35"/>
      <c r="Q454" s="4"/>
      <c r="R454" s="54"/>
      <c r="S454" s="64"/>
      <c r="T454" s="69"/>
      <c r="U454" s="126"/>
      <c r="V454" s="127"/>
      <c r="W454" s="4"/>
      <c r="X454" s="38"/>
      <c r="Y454" s="83"/>
      <c r="Z454" s="158"/>
      <c r="AA454" s="174"/>
      <c r="AB454" s="38"/>
      <c r="AC454" s="35"/>
      <c r="AD454" s="4"/>
      <c r="AE454" s="54"/>
      <c r="AF454" s="64"/>
      <c r="AG454" s="69"/>
      <c r="AH454" s="126"/>
      <c r="AI454" s="127"/>
      <c r="AJ454" s="4"/>
      <c r="AK454" s="38"/>
      <c r="AL454" s="83"/>
      <c r="AM454" s="158"/>
      <c r="AN454" s="174"/>
      <c r="AO454" s="38"/>
      <c r="AP454" s="35"/>
      <c r="AQ454" s="4"/>
      <c r="AR454" s="54"/>
      <c r="AS454" s="64"/>
      <c r="AT454" s="69"/>
      <c r="AU454" s="126"/>
      <c r="AV454" s="127"/>
      <c r="AW454" s="4"/>
      <c r="AX454" s="38"/>
      <c r="AY454" s="83"/>
      <c r="AZ454" s="158"/>
      <c r="BA454" s="174"/>
    </row>
    <row r="455" spans="1:53" x14ac:dyDescent="0.15">
      <c r="A455" s="5" t="s">
        <v>133</v>
      </c>
      <c r="B455" s="38"/>
      <c r="C455" s="35"/>
      <c r="D455" s="4"/>
      <c r="E455" s="54"/>
      <c r="F455" s="64"/>
      <c r="G455" s="69"/>
      <c r="H455" s="126"/>
      <c r="I455" s="127"/>
      <c r="J455" s="4"/>
      <c r="K455" s="38"/>
      <c r="L455" s="83"/>
      <c r="M455" s="158"/>
      <c r="N455" s="174"/>
      <c r="O455" s="38"/>
      <c r="P455" s="35"/>
      <c r="Q455" s="4"/>
      <c r="R455" s="54"/>
      <c r="S455" s="64"/>
      <c r="T455" s="69"/>
      <c r="U455" s="126"/>
      <c r="V455" s="127"/>
      <c r="W455" s="4"/>
      <c r="X455" s="38"/>
      <c r="Y455" s="83"/>
      <c r="Z455" s="158"/>
      <c r="AA455" s="174"/>
      <c r="AB455" s="38"/>
      <c r="AC455" s="35"/>
      <c r="AD455" s="4"/>
      <c r="AE455" s="54"/>
      <c r="AF455" s="64"/>
      <c r="AG455" s="69"/>
      <c r="AH455" s="126"/>
      <c r="AI455" s="127"/>
      <c r="AJ455" s="4"/>
      <c r="AK455" s="38"/>
      <c r="AL455" s="83"/>
      <c r="AM455" s="158"/>
      <c r="AN455" s="174"/>
      <c r="AO455" s="38"/>
      <c r="AP455" s="35"/>
      <c r="AQ455" s="4"/>
      <c r="AR455" s="54"/>
      <c r="AS455" s="64"/>
      <c r="AT455" s="69"/>
      <c r="AU455" s="126"/>
      <c r="AV455" s="127"/>
      <c r="AW455" s="4"/>
      <c r="AX455" s="38"/>
      <c r="AY455" s="83"/>
      <c r="AZ455" s="158"/>
      <c r="BA455" s="174"/>
    </row>
    <row r="456" spans="1:53" x14ac:dyDescent="0.15">
      <c r="A456" s="5" t="s">
        <v>212</v>
      </c>
      <c r="B456" s="38"/>
      <c r="C456" s="35"/>
      <c r="D456" s="4"/>
      <c r="E456" s="54"/>
      <c r="F456" s="64"/>
      <c r="G456" s="69"/>
      <c r="H456" s="126"/>
      <c r="I456" s="127"/>
      <c r="J456" s="4"/>
      <c r="K456" s="38"/>
      <c r="L456" s="83"/>
      <c r="M456" s="158"/>
      <c r="N456" s="174"/>
      <c r="O456" s="38"/>
      <c r="P456" s="35"/>
      <c r="Q456" s="4"/>
      <c r="R456" s="54"/>
      <c r="S456" s="64"/>
      <c r="T456" s="69"/>
      <c r="U456" s="126"/>
      <c r="V456" s="127"/>
      <c r="W456" s="4"/>
      <c r="X456" s="38"/>
      <c r="Y456" s="83"/>
      <c r="Z456" s="158"/>
      <c r="AA456" s="174"/>
      <c r="AB456" s="38"/>
      <c r="AC456" s="35"/>
      <c r="AD456" s="4"/>
      <c r="AE456" s="54"/>
      <c r="AF456" s="64"/>
      <c r="AG456" s="69"/>
      <c r="AH456" s="126"/>
      <c r="AI456" s="127"/>
      <c r="AJ456" s="4"/>
      <c r="AK456" s="38"/>
      <c r="AL456" s="83"/>
      <c r="AM456" s="158"/>
      <c r="AN456" s="174"/>
      <c r="AO456" s="38"/>
      <c r="AP456" s="35"/>
      <c r="AQ456" s="4"/>
      <c r="AR456" s="54"/>
      <c r="AS456" s="64"/>
      <c r="AT456" s="69"/>
      <c r="AU456" s="126"/>
      <c r="AV456" s="127"/>
      <c r="AW456" s="4"/>
      <c r="AX456" s="38"/>
      <c r="AY456" s="83"/>
      <c r="AZ456" s="158"/>
      <c r="BA456" s="174"/>
    </row>
    <row r="457" spans="1:53" x14ac:dyDescent="0.15">
      <c r="A457" s="2" t="s">
        <v>45</v>
      </c>
      <c r="B457" s="38"/>
      <c r="C457" s="35"/>
      <c r="D457" s="4"/>
      <c r="E457" s="54"/>
      <c r="F457" s="64"/>
      <c r="G457" s="69"/>
      <c r="H457" s="126"/>
      <c r="I457" s="127"/>
      <c r="J457" s="4"/>
      <c r="K457" s="38"/>
      <c r="L457" s="83"/>
      <c r="M457" s="158"/>
      <c r="N457" s="174"/>
      <c r="O457" s="38"/>
      <c r="P457" s="35"/>
      <c r="Q457" s="4"/>
      <c r="R457" s="54"/>
      <c r="S457" s="64"/>
      <c r="T457" s="69"/>
      <c r="U457" s="126"/>
      <c r="V457" s="127">
        <v>1</v>
      </c>
      <c r="W457" s="4">
        <v>1</v>
      </c>
      <c r="X457" s="38">
        <v>1</v>
      </c>
      <c r="Y457" s="83">
        <v>1</v>
      </c>
      <c r="Z457" s="158">
        <v>1</v>
      </c>
      <c r="AA457" s="174">
        <v>1</v>
      </c>
      <c r="AB457" s="38"/>
      <c r="AC457" s="35"/>
      <c r="AD457" s="4"/>
      <c r="AE457" s="54"/>
      <c r="AF457" s="64"/>
      <c r="AG457" s="69"/>
      <c r="AH457" s="126"/>
      <c r="AI457" s="127"/>
      <c r="AJ457" s="4"/>
      <c r="AK457" s="38"/>
      <c r="AL457" s="83"/>
      <c r="AM457" s="158"/>
      <c r="AN457" s="174"/>
      <c r="AO457" s="38"/>
      <c r="AP457" s="35"/>
      <c r="AQ457" s="4"/>
      <c r="AR457" s="54"/>
      <c r="AS457" s="64"/>
      <c r="AT457" s="69"/>
      <c r="AU457" s="126"/>
      <c r="AV457" s="127"/>
      <c r="AW457" s="4"/>
      <c r="AX457" s="38"/>
      <c r="AY457" s="83"/>
      <c r="AZ457" s="158"/>
      <c r="BA457" s="174"/>
    </row>
    <row r="458" spans="1:53" x14ac:dyDescent="0.15">
      <c r="A458" s="2" t="s">
        <v>16</v>
      </c>
      <c r="B458" s="38"/>
      <c r="C458" s="35"/>
      <c r="D458" s="4"/>
      <c r="E458" s="54"/>
      <c r="F458" s="64"/>
      <c r="G458" s="69"/>
      <c r="H458" s="126"/>
      <c r="I458" s="127"/>
      <c r="J458" s="4"/>
      <c r="K458" s="38"/>
      <c r="L458" s="83"/>
      <c r="M458" s="158">
        <v>1</v>
      </c>
      <c r="N458" s="174">
        <v>1</v>
      </c>
      <c r="O458" s="38"/>
      <c r="P458" s="35"/>
      <c r="Q458" s="4"/>
      <c r="R458" s="54"/>
      <c r="S458" s="64"/>
      <c r="T458" s="69"/>
      <c r="U458" s="126"/>
      <c r="V458" s="127">
        <v>1</v>
      </c>
      <c r="W458" s="4"/>
      <c r="X458" s="38"/>
      <c r="Y458" s="83"/>
      <c r="Z458" s="158"/>
      <c r="AA458" s="174"/>
      <c r="AB458" s="38"/>
      <c r="AC458" s="35"/>
      <c r="AD458" s="4"/>
      <c r="AE458" s="54"/>
      <c r="AF458" s="64"/>
      <c r="AG458" s="69"/>
      <c r="AH458" s="126"/>
      <c r="AI458" s="127"/>
      <c r="AJ458" s="4"/>
      <c r="AK458" s="38"/>
      <c r="AL458" s="83"/>
      <c r="AM458" s="158"/>
      <c r="AN458" s="174"/>
      <c r="AO458" s="38"/>
      <c r="AP458" s="35"/>
      <c r="AQ458" s="4"/>
      <c r="AR458" s="54"/>
      <c r="AS458" s="64"/>
      <c r="AT458" s="69"/>
      <c r="AU458" s="126"/>
      <c r="AV458" s="127"/>
      <c r="AW458" s="4"/>
      <c r="AX458" s="38"/>
      <c r="AY458" s="83"/>
      <c r="AZ458" s="158"/>
      <c r="BA458" s="174"/>
    </row>
    <row r="459" spans="1:53" x14ac:dyDescent="0.15">
      <c r="A459" s="2" t="s">
        <v>219</v>
      </c>
      <c r="B459" s="38"/>
      <c r="C459" s="35"/>
      <c r="D459" s="4"/>
      <c r="E459" s="54"/>
      <c r="F459" s="64"/>
      <c r="G459" s="69"/>
      <c r="H459" s="126"/>
      <c r="I459" s="127"/>
      <c r="J459" s="4"/>
      <c r="K459" s="38"/>
      <c r="L459" s="83"/>
      <c r="M459" s="158"/>
      <c r="N459" s="174"/>
      <c r="O459" s="38"/>
      <c r="P459" s="35"/>
      <c r="Q459" s="4"/>
      <c r="R459" s="54"/>
      <c r="S459" s="64"/>
      <c r="T459" s="69"/>
      <c r="U459" s="126"/>
      <c r="V459" s="127"/>
      <c r="W459" s="4"/>
      <c r="X459" s="38"/>
      <c r="Y459" s="83"/>
      <c r="Z459" s="158"/>
      <c r="AA459" s="174"/>
      <c r="AB459" s="38"/>
      <c r="AC459" s="35"/>
      <c r="AD459" s="4"/>
      <c r="AE459" s="54"/>
      <c r="AF459" s="64"/>
      <c r="AG459" s="69"/>
      <c r="AH459" s="126"/>
      <c r="AI459" s="127"/>
      <c r="AJ459" s="4"/>
      <c r="AK459" s="38"/>
      <c r="AL459" s="83"/>
      <c r="AM459" s="158"/>
      <c r="AN459" s="174"/>
      <c r="AO459" s="38"/>
      <c r="AP459" s="35"/>
      <c r="AQ459" s="4"/>
      <c r="AR459" s="54"/>
      <c r="AS459" s="64"/>
      <c r="AT459" s="69"/>
      <c r="AU459" s="126"/>
      <c r="AV459" s="127"/>
      <c r="AW459" s="4"/>
      <c r="AX459" s="38"/>
      <c r="AY459" s="83"/>
      <c r="AZ459" s="158"/>
      <c r="BA459" s="174"/>
    </row>
    <row r="460" spans="1:53" x14ac:dyDescent="0.15">
      <c r="A460" s="5" t="s">
        <v>70</v>
      </c>
      <c r="B460" s="38"/>
      <c r="C460" s="35"/>
      <c r="D460" s="4"/>
      <c r="E460" s="54"/>
      <c r="F460" s="64"/>
      <c r="G460" s="69"/>
      <c r="H460" s="126"/>
      <c r="I460" s="127"/>
      <c r="J460" s="4"/>
      <c r="K460" s="38"/>
      <c r="L460" s="83"/>
      <c r="M460" s="158"/>
      <c r="N460" s="174"/>
      <c r="O460" s="38"/>
      <c r="P460" s="35"/>
      <c r="Q460" s="4"/>
      <c r="R460" s="54"/>
      <c r="S460" s="64"/>
      <c r="T460" s="69"/>
      <c r="U460" s="126"/>
      <c r="V460" s="127"/>
      <c r="W460" s="4"/>
      <c r="X460" s="38"/>
      <c r="Y460" s="83"/>
      <c r="Z460" s="158"/>
      <c r="AA460" s="174"/>
      <c r="AB460" s="38"/>
      <c r="AC460" s="35"/>
      <c r="AD460" s="4"/>
      <c r="AE460" s="54"/>
      <c r="AF460" s="64"/>
      <c r="AG460" s="69"/>
      <c r="AH460" s="126"/>
      <c r="AI460" s="127"/>
      <c r="AJ460" s="4"/>
      <c r="AK460" s="38"/>
      <c r="AL460" s="83"/>
      <c r="AM460" s="158"/>
      <c r="AN460" s="174"/>
      <c r="AO460" s="38"/>
      <c r="AP460" s="35"/>
      <c r="AQ460" s="4"/>
      <c r="AR460" s="54"/>
      <c r="AS460" s="64"/>
      <c r="AT460" s="69"/>
      <c r="AU460" s="126"/>
      <c r="AV460" s="127"/>
      <c r="AW460" s="4"/>
      <c r="AX460" s="38"/>
      <c r="AY460" s="83"/>
      <c r="AZ460" s="158"/>
      <c r="BA460" s="174"/>
    </row>
    <row r="461" spans="1:53" x14ac:dyDescent="0.15">
      <c r="A461" s="5" t="s">
        <v>221</v>
      </c>
      <c r="B461" s="38"/>
      <c r="C461" s="35"/>
      <c r="D461" s="4"/>
      <c r="E461" s="54"/>
      <c r="F461" s="64"/>
      <c r="G461" s="69"/>
      <c r="H461" s="126"/>
      <c r="I461" s="127"/>
      <c r="J461" s="4"/>
      <c r="K461" s="38"/>
      <c r="L461" s="83"/>
      <c r="M461" s="158"/>
      <c r="N461" s="174"/>
      <c r="O461" s="38"/>
      <c r="P461" s="35"/>
      <c r="Q461" s="4"/>
      <c r="R461" s="54"/>
      <c r="S461" s="64"/>
      <c r="T461" s="69"/>
      <c r="U461" s="126"/>
      <c r="V461" s="127"/>
      <c r="W461" s="4"/>
      <c r="X461" s="38"/>
      <c r="Y461" s="83"/>
      <c r="Z461" s="158"/>
      <c r="AA461" s="174"/>
      <c r="AB461" s="38"/>
      <c r="AC461" s="35"/>
      <c r="AD461" s="4"/>
      <c r="AE461" s="54"/>
      <c r="AF461" s="64"/>
      <c r="AG461" s="69"/>
      <c r="AH461" s="126"/>
      <c r="AI461" s="127"/>
      <c r="AJ461" s="4"/>
      <c r="AK461" s="38"/>
      <c r="AL461" s="83"/>
      <c r="AM461" s="158"/>
      <c r="AN461" s="174"/>
      <c r="AO461" s="38"/>
      <c r="AP461" s="35"/>
      <c r="AQ461" s="4"/>
      <c r="AR461" s="54"/>
      <c r="AS461" s="64"/>
      <c r="AT461" s="69"/>
      <c r="AU461" s="126"/>
      <c r="AV461" s="127"/>
      <c r="AW461" s="4"/>
      <c r="AX461" s="38"/>
      <c r="AY461" s="83"/>
      <c r="AZ461" s="158"/>
      <c r="BA461" s="174"/>
    </row>
    <row r="462" spans="1:53" x14ac:dyDescent="0.15">
      <c r="A462" s="5" t="s">
        <v>199</v>
      </c>
      <c r="B462" s="38"/>
      <c r="C462" s="35"/>
      <c r="D462" s="4"/>
      <c r="E462" s="54"/>
      <c r="F462" s="64"/>
      <c r="G462" s="69"/>
      <c r="H462" s="126"/>
      <c r="I462" s="127"/>
      <c r="J462" s="4"/>
      <c r="K462" s="38"/>
      <c r="L462" s="83"/>
      <c r="M462" s="158"/>
      <c r="N462" s="174"/>
      <c r="O462" s="38"/>
      <c r="P462" s="35"/>
      <c r="Q462" s="4"/>
      <c r="R462" s="54"/>
      <c r="S462" s="64"/>
      <c r="T462" s="69"/>
      <c r="U462" s="126"/>
      <c r="V462" s="127"/>
      <c r="W462" s="4"/>
      <c r="X462" s="38"/>
      <c r="Y462" s="83"/>
      <c r="Z462" s="158"/>
      <c r="AA462" s="174"/>
      <c r="AB462" s="38"/>
      <c r="AC462" s="35"/>
      <c r="AD462" s="4"/>
      <c r="AE462" s="54"/>
      <c r="AF462" s="64"/>
      <c r="AG462" s="69"/>
      <c r="AH462" s="126"/>
      <c r="AI462" s="127"/>
      <c r="AJ462" s="4"/>
      <c r="AK462" s="38"/>
      <c r="AL462" s="83"/>
      <c r="AM462" s="158"/>
      <c r="AN462" s="174"/>
      <c r="AO462" s="38"/>
      <c r="AP462" s="35"/>
      <c r="AQ462" s="4"/>
      <c r="AR462" s="54"/>
      <c r="AS462" s="64"/>
      <c r="AT462" s="69"/>
      <c r="AU462" s="126"/>
      <c r="AV462" s="127"/>
      <c r="AW462" s="4"/>
      <c r="AX462" s="38"/>
      <c r="AY462" s="83"/>
      <c r="AZ462" s="158"/>
      <c r="BA462" s="174"/>
    </row>
    <row r="463" spans="1:53" x14ac:dyDescent="0.15">
      <c r="A463" s="5" t="s">
        <v>222</v>
      </c>
      <c r="B463" s="38"/>
      <c r="C463" s="35"/>
      <c r="D463" s="4"/>
      <c r="E463" s="54"/>
      <c r="F463" s="64"/>
      <c r="G463" s="69"/>
      <c r="H463" s="126"/>
      <c r="I463" s="127"/>
      <c r="J463" s="4"/>
      <c r="K463" s="38"/>
      <c r="L463" s="83"/>
      <c r="M463" s="158"/>
      <c r="N463" s="174"/>
      <c r="O463" s="38"/>
      <c r="P463" s="35"/>
      <c r="Q463" s="4"/>
      <c r="R463" s="54"/>
      <c r="S463" s="64"/>
      <c r="T463" s="69"/>
      <c r="U463" s="126"/>
      <c r="V463" s="127"/>
      <c r="W463" s="4"/>
      <c r="X463" s="38"/>
      <c r="Y463" s="83"/>
      <c r="Z463" s="158"/>
      <c r="AA463" s="174"/>
      <c r="AB463" s="38"/>
      <c r="AC463" s="35"/>
      <c r="AD463" s="4"/>
      <c r="AE463" s="54"/>
      <c r="AF463" s="64"/>
      <c r="AG463" s="69"/>
      <c r="AH463" s="126"/>
      <c r="AI463" s="127"/>
      <c r="AJ463" s="4"/>
      <c r="AK463" s="38"/>
      <c r="AL463" s="83"/>
      <c r="AM463" s="158"/>
      <c r="AN463" s="174"/>
      <c r="AO463" s="38"/>
      <c r="AP463" s="35"/>
      <c r="AQ463" s="4"/>
      <c r="AR463" s="54"/>
      <c r="AS463" s="64"/>
      <c r="AT463" s="69"/>
      <c r="AU463" s="126"/>
      <c r="AV463" s="127"/>
      <c r="AW463" s="4"/>
      <c r="AX463" s="38"/>
      <c r="AY463" s="83"/>
      <c r="AZ463" s="158"/>
      <c r="BA463" s="174"/>
    </row>
    <row r="464" spans="1:53" x14ac:dyDescent="0.15">
      <c r="A464" s="2" t="s">
        <v>62</v>
      </c>
      <c r="B464" s="38"/>
      <c r="C464" s="35"/>
      <c r="D464" s="4"/>
      <c r="E464" s="54"/>
      <c r="F464" s="64"/>
      <c r="G464" s="69"/>
      <c r="H464" s="126"/>
      <c r="I464" s="127"/>
      <c r="J464" s="4"/>
      <c r="K464" s="38"/>
      <c r="L464" s="83"/>
      <c r="M464" s="158"/>
      <c r="N464" s="174"/>
      <c r="O464" s="38"/>
      <c r="P464" s="35"/>
      <c r="Q464" s="4"/>
      <c r="R464" s="54"/>
      <c r="S464" s="64"/>
      <c r="T464" s="69"/>
      <c r="U464" s="126"/>
      <c r="V464" s="127"/>
      <c r="W464" s="4"/>
      <c r="X464" s="38"/>
      <c r="Y464" s="83"/>
      <c r="Z464" s="158"/>
      <c r="AA464" s="174"/>
      <c r="AB464" s="38"/>
      <c r="AC464" s="35"/>
      <c r="AD464" s="4"/>
      <c r="AE464" s="54"/>
      <c r="AF464" s="64"/>
      <c r="AG464" s="69"/>
      <c r="AH464" s="126"/>
      <c r="AI464" s="127"/>
      <c r="AJ464" s="4"/>
      <c r="AK464" s="38"/>
      <c r="AL464" s="83"/>
      <c r="AM464" s="158"/>
      <c r="AN464" s="174"/>
      <c r="AO464" s="38"/>
      <c r="AP464" s="35"/>
      <c r="AQ464" s="4"/>
      <c r="AR464" s="54"/>
      <c r="AS464" s="64"/>
      <c r="AT464" s="69"/>
      <c r="AU464" s="126"/>
      <c r="AV464" s="127"/>
      <c r="AW464" s="4"/>
      <c r="AX464" s="38"/>
      <c r="AY464" s="83"/>
      <c r="AZ464" s="158"/>
      <c r="BA464" s="174"/>
    </row>
    <row r="465" spans="1:53" x14ac:dyDescent="0.15">
      <c r="A465" s="2" t="s">
        <v>17</v>
      </c>
      <c r="B465" s="38"/>
      <c r="C465" s="35"/>
      <c r="D465" s="4"/>
      <c r="E465" s="54"/>
      <c r="F465" s="64"/>
      <c r="G465" s="69"/>
      <c r="H465" s="126"/>
      <c r="I465" s="127"/>
      <c r="J465" s="4"/>
      <c r="K465" s="38"/>
      <c r="L465" s="83"/>
      <c r="M465" s="158"/>
      <c r="N465" s="174"/>
      <c r="O465" s="38"/>
      <c r="P465" s="35"/>
      <c r="Q465" s="4"/>
      <c r="R465" s="54"/>
      <c r="S465" s="64"/>
      <c r="T465" s="69"/>
      <c r="U465" s="126"/>
      <c r="V465" s="127"/>
      <c r="W465" s="4"/>
      <c r="X465" s="38"/>
      <c r="Y465" s="83"/>
      <c r="Z465" s="158"/>
      <c r="AA465" s="174"/>
      <c r="AB465" s="38"/>
      <c r="AC465" s="35"/>
      <c r="AD465" s="4"/>
      <c r="AE465" s="54"/>
      <c r="AF465" s="64"/>
      <c r="AG465" s="69"/>
      <c r="AH465" s="126"/>
      <c r="AI465" s="127"/>
      <c r="AJ465" s="4"/>
      <c r="AK465" s="38"/>
      <c r="AL465" s="83"/>
      <c r="AM465" s="158"/>
      <c r="AN465" s="174"/>
      <c r="AO465" s="38"/>
      <c r="AP465" s="35"/>
      <c r="AQ465" s="4"/>
      <c r="AR465" s="54"/>
      <c r="AS465" s="64"/>
      <c r="AT465" s="69"/>
      <c r="AU465" s="126"/>
      <c r="AV465" s="127"/>
      <c r="AW465" s="4"/>
      <c r="AX465" s="38"/>
      <c r="AY465" s="83"/>
      <c r="AZ465" s="158"/>
      <c r="BA465" s="174"/>
    </row>
    <row r="466" spans="1:53" x14ac:dyDescent="0.15">
      <c r="A466" s="2" t="s">
        <v>49</v>
      </c>
      <c r="B466" s="38">
        <v>1</v>
      </c>
      <c r="C466" s="35">
        <v>3</v>
      </c>
      <c r="D466" s="4">
        <v>2</v>
      </c>
      <c r="E466" s="54">
        <v>2</v>
      </c>
      <c r="F466" s="64">
        <v>2</v>
      </c>
      <c r="G466" s="69">
        <v>3</v>
      </c>
      <c r="H466" s="126">
        <v>3</v>
      </c>
      <c r="I466" s="127">
        <v>2</v>
      </c>
      <c r="J466" s="4">
        <v>3</v>
      </c>
      <c r="K466" s="38">
        <v>3</v>
      </c>
      <c r="L466" s="83">
        <v>2</v>
      </c>
      <c r="M466" s="158">
        <v>2</v>
      </c>
      <c r="N466" s="174">
        <v>2</v>
      </c>
      <c r="O466" s="38">
        <v>1</v>
      </c>
      <c r="P466" s="35">
        <v>3</v>
      </c>
      <c r="Q466" s="4">
        <v>4</v>
      </c>
      <c r="R466" s="54">
        <v>2</v>
      </c>
      <c r="S466" s="64">
        <v>2</v>
      </c>
      <c r="T466" s="69">
        <v>3</v>
      </c>
      <c r="U466" s="126">
        <v>3</v>
      </c>
      <c r="V466" s="127">
        <v>3</v>
      </c>
      <c r="W466" s="4">
        <v>2</v>
      </c>
      <c r="X466" s="38">
        <v>2</v>
      </c>
      <c r="Y466" s="83">
        <v>1</v>
      </c>
      <c r="Z466" s="158">
        <v>1</v>
      </c>
      <c r="AA466" s="174">
        <v>2</v>
      </c>
      <c r="AB466" s="38"/>
      <c r="AC466" s="35"/>
      <c r="AD466" s="4"/>
      <c r="AE466" s="54"/>
      <c r="AF466" s="64"/>
      <c r="AG466" s="69">
        <v>1</v>
      </c>
      <c r="AH466" s="126">
        <v>1</v>
      </c>
      <c r="AI466" s="127">
        <v>1</v>
      </c>
      <c r="AJ466" s="4">
        <v>1</v>
      </c>
      <c r="AK466" s="38">
        <v>1</v>
      </c>
      <c r="AL466" s="83">
        <v>1</v>
      </c>
      <c r="AM466" s="158">
        <v>1</v>
      </c>
      <c r="AN466" s="174">
        <v>1</v>
      </c>
      <c r="AO466" s="38">
        <v>1</v>
      </c>
      <c r="AP466" s="35"/>
      <c r="AQ466" s="4"/>
      <c r="AR466" s="54"/>
      <c r="AS466" s="64"/>
      <c r="AT466" s="69"/>
      <c r="AU466" s="126"/>
      <c r="AV466" s="127"/>
      <c r="AW466" s="4"/>
      <c r="AX466" s="38"/>
      <c r="AY466" s="83"/>
      <c r="AZ466" s="158"/>
      <c r="BA466" s="174"/>
    </row>
    <row r="467" spans="1:53" x14ac:dyDescent="0.15">
      <c r="A467" s="2" t="s">
        <v>6</v>
      </c>
      <c r="B467" s="38"/>
      <c r="C467" s="35"/>
      <c r="D467" s="4"/>
      <c r="E467" s="54"/>
      <c r="F467" s="64"/>
      <c r="G467" s="69"/>
      <c r="H467" s="126"/>
      <c r="I467" s="127"/>
      <c r="J467" s="4"/>
      <c r="K467" s="38"/>
      <c r="L467" s="83"/>
      <c r="M467" s="158"/>
      <c r="N467" s="174"/>
      <c r="O467" s="38"/>
      <c r="P467" s="35"/>
      <c r="Q467" s="4"/>
      <c r="R467" s="54"/>
      <c r="S467" s="64"/>
      <c r="T467" s="69"/>
      <c r="U467" s="126"/>
      <c r="V467" s="127"/>
      <c r="W467" s="4"/>
      <c r="X467" s="38"/>
      <c r="Y467" s="83"/>
      <c r="Z467" s="158"/>
      <c r="AA467" s="174"/>
      <c r="AB467" s="38"/>
      <c r="AC467" s="35"/>
      <c r="AD467" s="4"/>
      <c r="AE467" s="54"/>
      <c r="AF467" s="64"/>
      <c r="AG467" s="69"/>
      <c r="AH467" s="126"/>
      <c r="AI467" s="127"/>
      <c r="AJ467" s="4"/>
      <c r="AK467" s="38"/>
      <c r="AL467" s="83"/>
      <c r="AM467" s="158"/>
      <c r="AN467" s="174"/>
      <c r="AO467" s="38"/>
      <c r="AP467" s="35"/>
      <c r="AQ467" s="4"/>
      <c r="AR467" s="54"/>
      <c r="AS467" s="64"/>
      <c r="AT467" s="69"/>
      <c r="AU467" s="126"/>
      <c r="AV467" s="127"/>
      <c r="AW467" s="4"/>
      <c r="AX467" s="38"/>
      <c r="AY467" s="83"/>
      <c r="AZ467" s="158"/>
      <c r="BA467" s="174"/>
    </row>
    <row r="468" spans="1:53" x14ac:dyDescent="0.15">
      <c r="A468" s="2" t="s">
        <v>19</v>
      </c>
      <c r="B468" s="38"/>
      <c r="C468" s="35"/>
      <c r="D468" s="4"/>
      <c r="E468" s="54"/>
      <c r="F468" s="64"/>
      <c r="G468" s="69"/>
      <c r="H468" s="126"/>
      <c r="I468" s="127">
        <v>1</v>
      </c>
      <c r="J468" s="4">
        <v>1</v>
      </c>
      <c r="K468" s="38">
        <v>1</v>
      </c>
      <c r="L468" s="83">
        <v>1</v>
      </c>
      <c r="M468" s="158">
        <v>1</v>
      </c>
      <c r="N468" s="174">
        <v>1</v>
      </c>
      <c r="O468" s="38"/>
      <c r="P468" s="35"/>
      <c r="Q468" s="4"/>
      <c r="R468" s="54">
        <v>2</v>
      </c>
      <c r="S468" s="64">
        <v>1</v>
      </c>
      <c r="T468" s="69">
        <v>1</v>
      </c>
      <c r="U468" s="126">
        <v>2</v>
      </c>
      <c r="V468" s="127"/>
      <c r="W468" s="4"/>
      <c r="X468" s="38"/>
      <c r="Y468" s="83"/>
      <c r="Z468" s="158"/>
      <c r="AA468" s="174"/>
      <c r="AB468" s="38"/>
      <c r="AC468" s="35"/>
      <c r="AD468" s="4"/>
      <c r="AE468" s="54"/>
      <c r="AF468" s="64"/>
      <c r="AG468" s="69"/>
      <c r="AH468" s="126"/>
      <c r="AI468" s="127"/>
      <c r="AJ468" s="4"/>
      <c r="AK468" s="38"/>
      <c r="AL468" s="83"/>
      <c r="AM468" s="158"/>
      <c r="AN468" s="174"/>
      <c r="AO468" s="38"/>
      <c r="AP468" s="35"/>
      <c r="AQ468" s="4"/>
      <c r="AR468" s="54"/>
      <c r="AS468" s="64"/>
      <c r="AT468" s="69"/>
      <c r="AU468" s="126"/>
      <c r="AV468" s="127"/>
      <c r="AW468" s="4"/>
      <c r="AX468" s="38"/>
      <c r="AY468" s="83"/>
      <c r="AZ468" s="158"/>
      <c r="BA468" s="174"/>
    </row>
    <row r="469" spans="1:53" x14ac:dyDescent="0.15">
      <c r="A469" s="2" t="s">
        <v>68</v>
      </c>
      <c r="B469" s="38"/>
      <c r="C469" s="35"/>
      <c r="D469" s="4"/>
      <c r="E469" s="54"/>
      <c r="F469" s="64"/>
      <c r="G469" s="69"/>
      <c r="H469" s="126"/>
      <c r="I469" s="127"/>
      <c r="J469" s="4"/>
      <c r="K469" s="38"/>
      <c r="L469" s="83"/>
      <c r="M469" s="158"/>
      <c r="N469" s="174"/>
      <c r="O469" s="38"/>
      <c r="P469" s="35"/>
      <c r="Q469" s="4"/>
      <c r="R469" s="54"/>
      <c r="S469" s="64"/>
      <c r="T469" s="69"/>
      <c r="U469" s="126"/>
      <c r="V469" s="127"/>
      <c r="W469" s="4"/>
      <c r="X469" s="38"/>
      <c r="Y469" s="83"/>
      <c r="Z469" s="158"/>
      <c r="AA469" s="174"/>
      <c r="AB469" s="38"/>
      <c r="AC469" s="35"/>
      <c r="AD469" s="4"/>
      <c r="AE469" s="54"/>
      <c r="AF469" s="64"/>
      <c r="AG469" s="69"/>
      <c r="AH469" s="126"/>
      <c r="AI469" s="127"/>
      <c r="AJ469" s="4"/>
      <c r="AK469" s="38"/>
      <c r="AL469" s="83"/>
      <c r="AM469" s="158"/>
      <c r="AN469" s="174"/>
      <c r="AO469" s="38"/>
      <c r="AP469" s="35"/>
      <c r="AQ469" s="4"/>
      <c r="AR469" s="54"/>
      <c r="AS469" s="64"/>
      <c r="AT469" s="69"/>
      <c r="AU469" s="126"/>
      <c r="AV469" s="127"/>
      <c r="AW469" s="4"/>
      <c r="AX469" s="38"/>
      <c r="AY469" s="83"/>
      <c r="AZ469" s="158"/>
      <c r="BA469" s="174"/>
    </row>
    <row r="470" spans="1:53" x14ac:dyDescent="0.15">
      <c r="A470" s="2" t="s">
        <v>37</v>
      </c>
      <c r="B470" s="38"/>
      <c r="C470" s="35"/>
      <c r="D470" s="4"/>
      <c r="E470" s="54"/>
      <c r="F470" s="64"/>
      <c r="G470" s="69"/>
      <c r="H470" s="126"/>
      <c r="I470" s="127"/>
      <c r="J470" s="4"/>
      <c r="K470" s="38"/>
      <c r="L470" s="83"/>
      <c r="M470" s="158"/>
      <c r="N470" s="174"/>
      <c r="O470" s="38"/>
      <c r="P470" s="35"/>
      <c r="Q470" s="4"/>
      <c r="R470" s="54"/>
      <c r="S470" s="64"/>
      <c r="T470" s="69"/>
      <c r="U470" s="126"/>
      <c r="V470" s="127"/>
      <c r="W470" s="4"/>
      <c r="X470" s="38"/>
      <c r="Y470" s="83"/>
      <c r="Z470" s="158"/>
      <c r="AA470" s="174"/>
      <c r="AB470" s="38"/>
      <c r="AC470" s="35"/>
      <c r="AD470" s="4"/>
      <c r="AE470" s="54"/>
      <c r="AF470" s="64"/>
      <c r="AG470" s="69"/>
      <c r="AH470" s="126"/>
      <c r="AI470" s="127"/>
      <c r="AJ470" s="4"/>
      <c r="AK470" s="38"/>
      <c r="AL470" s="83"/>
      <c r="AM470" s="158"/>
      <c r="AN470" s="174"/>
      <c r="AO470" s="38"/>
      <c r="AP470" s="35"/>
      <c r="AQ470" s="4"/>
      <c r="AR470" s="54"/>
      <c r="AS470" s="64"/>
      <c r="AT470" s="69"/>
      <c r="AU470" s="126"/>
      <c r="AV470" s="127"/>
      <c r="AW470" s="4"/>
      <c r="AX470" s="38"/>
      <c r="AY470" s="83"/>
      <c r="AZ470" s="158"/>
      <c r="BA470" s="174"/>
    </row>
    <row r="471" spans="1:53" x14ac:dyDescent="0.15">
      <c r="A471" s="2" t="s">
        <v>20</v>
      </c>
      <c r="B471" s="38"/>
      <c r="C471" s="35"/>
      <c r="D471" s="4">
        <v>1</v>
      </c>
      <c r="E471" s="54">
        <v>1</v>
      </c>
      <c r="F471" s="64">
        <v>1</v>
      </c>
      <c r="G471" s="69">
        <v>1</v>
      </c>
      <c r="H471" s="126">
        <v>1</v>
      </c>
      <c r="I471" s="127">
        <v>1</v>
      </c>
      <c r="J471" s="4">
        <v>1</v>
      </c>
      <c r="K471" s="38">
        <v>1</v>
      </c>
      <c r="L471" s="83">
        <v>1</v>
      </c>
      <c r="M471" s="158">
        <v>1</v>
      </c>
      <c r="N471" s="174">
        <v>1</v>
      </c>
      <c r="O471" s="38"/>
      <c r="P471" s="35"/>
      <c r="Q471" s="4"/>
      <c r="R471" s="54"/>
      <c r="S471" s="64"/>
      <c r="T471" s="69"/>
      <c r="U471" s="126"/>
      <c r="V471" s="127"/>
      <c r="W471" s="4"/>
      <c r="X471" s="38"/>
      <c r="Y471" s="83"/>
      <c r="Z471" s="158"/>
      <c r="AA471" s="174"/>
      <c r="AB471" s="38"/>
      <c r="AC471" s="35"/>
      <c r="AD471" s="4"/>
      <c r="AE471" s="54"/>
      <c r="AF471" s="64"/>
      <c r="AG471" s="69"/>
      <c r="AH471" s="126"/>
      <c r="AI471" s="127"/>
      <c r="AJ471" s="4"/>
      <c r="AK471" s="38"/>
      <c r="AL471" s="83"/>
      <c r="AM471" s="158"/>
      <c r="AN471" s="174"/>
      <c r="AO471" s="38"/>
      <c r="AP471" s="35"/>
      <c r="AQ471" s="4"/>
      <c r="AR471" s="54"/>
      <c r="AS471" s="64"/>
      <c r="AT471" s="69"/>
      <c r="AU471" s="126"/>
      <c r="AV471" s="127"/>
      <c r="AW471" s="4"/>
      <c r="AX471" s="38"/>
      <c r="AY471" s="83"/>
      <c r="AZ471" s="158"/>
      <c r="BA471" s="174"/>
    </row>
    <row r="472" spans="1:53" x14ac:dyDescent="0.15">
      <c r="A472" s="2" t="s">
        <v>11</v>
      </c>
      <c r="B472" s="38"/>
      <c r="C472" s="35"/>
      <c r="D472" s="4"/>
      <c r="E472" s="54"/>
      <c r="F472" s="64"/>
      <c r="G472" s="69"/>
      <c r="H472" s="126"/>
      <c r="I472" s="127"/>
      <c r="J472" s="4"/>
      <c r="K472" s="38"/>
      <c r="L472" s="83">
        <v>1</v>
      </c>
      <c r="M472" s="158">
        <v>1</v>
      </c>
      <c r="N472" s="174">
        <v>1</v>
      </c>
      <c r="O472" s="38"/>
      <c r="P472" s="35"/>
      <c r="Q472" s="4"/>
      <c r="R472" s="54"/>
      <c r="S472" s="64"/>
      <c r="T472" s="69">
        <v>1</v>
      </c>
      <c r="U472" s="126">
        <v>1</v>
      </c>
      <c r="V472" s="127">
        <v>1</v>
      </c>
      <c r="W472" s="4"/>
      <c r="X472" s="38">
        <v>1</v>
      </c>
      <c r="Y472" s="83"/>
      <c r="Z472" s="158"/>
      <c r="AA472" s="174"/>
      <c r="AB472" s="38"/>
      <c r="AC472" s="35"/>
      <c r="AD472" s="4"/>
      <c r="AE472" s="54"/>
      <c r="AF472" s="64"/>
      <c r="AG472" s="69"/>
      <c r="AH472" s="126"/>
      <c r="AI472" s="127"/>
      <c r="AJ472" s="4"/>
      <c r="AK472" s="38"/>
      <c r="AL472" s="83"/>
      <c r="AM472" s="158"/>
      <c r="AN472" s="174"/>
      <c r="AO472" s="38"/>
      <c r="AP472" s="35"/>
      <c r="AQ472" s="4"/>
      <c r="AR472" s="54"/>
      <c r="AS472" s="64"/>
      <c r="AT472" s="69"/>
      <c r="AU472" s="126"/>
      <c r="AV472" s="127"/>
      <c r="AW472" s="4"/>
      <c r="AX472" s="38"/>
      <c r="AY472" s="83"/>
      <c r="AZ472" s="158"/>
      <c r="BA472" s="174"/>
    </row>
    <row r="473" spans="1:53" x14ac:dyDescent="0.15">
      <c r="A473" s="2" t="s">
        <v>21</v>
      </c>
      <c r="B473" s="38"/>
      <c r="C473" s="35">
        <v>1</v>
      </c>
      <c r="D473" s="4">
        <v>1</v>
      </c>
      <c r="E473" s="54">
        <v>1</v>
      </c>
      <c r="F473" s="64">
        <v>1</v>
      </c>
      <c r="G473" s="69"/>
      <c r="H473" s="126">
        <v>1</v>
      </c>
      <c r="I473" s="127">
        <v>1</v>
      </c>
      <c r="J473" s="4">
        <v>1</v>
      </c>
      <c r="K473" s="38">
        <v>1</v>
      </c>
      <c r="L473" s="83">
        <v>1</v>
      </c>
      <c r="M473" s="158">
        <v>1</v>
      </c>
      <c r="N473" s="174">
        <v>1</v>
      </c>
      <c r="O473" s="38"/>
      <c r="P473" s="35">
        <v>1</v>
      </c>
      <c r="Q473" s="4">
        <v>1</v>
      </c>
      <c r="R473" s="54">
        <v>1</v>
      </c>
      <c r="S473" s="64">
        <v>1</v>
      </c>
      <c r="T473" s="69">
        <v>1</v>
      </c>
      <c r="U473" s="126">
        <v>1</v>
      </c>
      <c r="V473" s="127">
        <v>1</v>
      </c>
      <c r="W473" s="4">
        <v>1</v>
      </c>
      <c r="X473" s="38">
        <v>1</v>
      </c>
      <c r="Y473" s="83">
        <v>1</v>
      </c>
      <c r="Z473" s="158">
        <v>1</v>
      </c>
      <c r="AA473" s="174">
        <v>1</v>
      </c>
      <c r="AB473" s="38"/>
      <c r="AC473" s="35"/>
      <c r="AD473" s="4"/>
      <c r="AE473" s="54"/>
      <c r="AF473" s="64"/>
      <c r="AG473" s="69"/>
      <c r="AH473" s="126"/>
      <c r="AI473" s="127"/>
      <c r="AJ473" s="4"/>
      <c r="AK473" s="38"/>
      <c r="AL473" s="83"/>
      <c r="AM473" s="158"/>
      <c r="AN473" s="174"/>
      <c r="AO473" s="38"/>
      <c r="AP473" s="35"/>
      <c r="AQ473" s="4"/>
      <c r="AR473" s="54"/>
      <c r="AS473" s="64"/>
      <c r="AT473" s="69"/>
      <c r="AU473" s="126"/>
      <c r="AV473" s="127"/>
      <c r="AW473" s="4"/>
      <c r="AX473" s="38"/>
      <c r="AY473" s="83"/>
      <c r="AZ473" s="158"/>
      <c r="BA473" s="174"/>
    </row>
    <row r="474" spans="1:53" x14ac:dyDescent="0.15">
      <c r="A474" s="2" t="s">
        <v>197</v>
      </c>
      <c r="B474" s="38"/>
      <c r="C474" s="35"/>
      <c r="D474" s="4"/>
      <c r="E474" s="54"/>
      <c r="F474" s="64"/>
      <c r="G474" s="69"/>
      <c r="H474" s="126"/>
      <c r="I474" s="127"/>
      <c r="J474" s="4"/>
      <c r="K474" s="38"/>
      <c r="L474" s="83"/>
      <c r="M474" s="158"/>
      <c r="N474" s="174"/>
      <c r="O474" s="38"/>
      <c r="P474" s="35"/>
      <c r="Q474" s="4"/>
      <c r="R474" s="54"/>
      <c r="S474" s="64"/>
      <c r="T474" s="69"/>
      <c r="U474" s="126"/>
      <c r="V474" s="127"/>
      <c r="W474" s="4"/>
      <c r="X474" s="38"/>
      <c r="Y474" s="83"/>
      <c r="Z474" s="158"/>
      <c r="AA474" s="174"/>
      <c r="AB474" s="38"/>
      <c r="AC474" s="35"/>
      <c r="AD474" s="4"/>
      <c r="AE474" s="54"/>
      <c r="AF474" s="64"/>
      <c r="AG474" s="69"/>
      <c r="AH474" s="126"/>
      <c r="AI474" s="127"/>
      <c r="AJ474" s="4"/>
      <c r="AK474" s="38"/>
      <c r="AL474" s="83"/>
      <c r="AM474" s="158"/>
      <c r="AN474" s="174"/>
      <c r="AO474" s="38"/>
      <c r="AP474" s="35"/>
      <c r="AQ474" s="4"/>
      <c r="AR474" s="54"/>
      <c r="AS474" s="64"/>
      <c r="AT474" s="69"/>
      <c r="AU474" s="126"/>
      <c r="AV474" s="127"/>
      <c r="AW474" s="4"/>
      <c r="AX474" s="38"/>
      <c r="AY474" s="83"/>
      <c r="AZ474" s="158"/>
      <c r="BA474" s="174"/>
    </row>
    <row r="475" spans="1:53" x14ac:dyDescent="0.15">
      <c r="A475" s="2" t="s">
        <v>196</v>
      </c>
      <c r="B475" s="38"/>
      <c r="C475" s="35"/>
      <c r="D475" s="4"/>
      <c r="E475" s="54"/>
      <c r="F475" s="64"/>
      <c r="G475" s="69"/>
      <c r="H475" s="126"/>
      <c r="I475" s="127"/>
      <c r="J475" s="4">
        <v>1</v>
      </c>
      <c r="K475" s="38"/>
      <c r="L475" s="83"/>
      <c r="M475" s="158"/>
      <c r="N475" s="174">
        <v>1</v>
      </c>
      <c r="O475" s="38"/>
      <c r="P475" s="35"/>
      <c r="Q475" s="4"/>
      <c r="R475" s="54"/>
      <c r="S475" s="64"/>
      <c r="T475" s="69"/>
      <c r="U475" s="126"/>
      <c r="V475" s="127"/>
      <c r="W475" s="4"/>
      <c r="X475" s="38"/>
      <c r="Y475" s="83"/>
      <c r="Z475" s="158"/>
      <c r="AA475" s="174"/>
      <c r="AB475" s="38"/>
      <c r="AC475" s="35"/>
      <c r="AD475" s="4"/>
      <c r="AE475" s="54"/>
      <c r="AF475" s="64"/>
      <c r="AG475" s="69"/>
      <c r="AH475" s="126"/>
      <c r="AI475" s="127"/>
      <c r="AJ475" s="4"/>
      <c r="AK475" s="38"/>
      <c r="AL475" s="83"/>
      <c r="AM475" s="158"/>
      <c r="AN475" s="174"/>
      <c r="AO475" s="38"/>
      <c r="AP475" s="35"/>
      <c r="AQ475" s="4"/>
      <c r="AR475" s="54"/>
      <c r="AS475" s="64"/>
      <c r="AT475" s="69"/>
      <c r="AU475" s="126"/>
      <c r="AV475" s="127"/>
      <c r="AW475" s="4"/>
      <c r="AX475" s="38"/>
      <c r="AY475" s="83"/>
      <c r="AZ475" s="158"/>
      <c r="BA475" s="174"/>
    </row>
    <row r="476" spans="1:53" x14ac:dyDescent="0.15">
      <c r="A476" s="5" t="s">
        <v>198</v>
      </c>
      <c r="B476" s="38"/>
      <c r="C476" s="35"/>
      <c r="D476" s="4"/>
      <c r="E476" s="54"/>
      <c r="F476" s="64"/>
      <c r="G476" s="69"/>
      <c r="H476" s="126"/>
      <c r="I476" s="127"/>
      <c r="J476" s="4"/>
      <c r="K476" s="38"/>
      <c r="L476" s="83"/>
      <c r="M476" s="158"/>
      <c r="N476" s="174"/>
      <c r="O476" s="38"/>
      <c r="P476" s="35"/>
      <c r="Q476" s="4"/>
      <c r="R476" s="54"/>
      <c r="S476" s="64"/>
      <c r="T476" s="69"/>
      <c r="U476" s="126"/>
      <c r="V476" s="127"/>
      <c r="W476" s="4"/>
      <c r="X476" s="38"/>
      <c r="Y476" s="83"/>
      <c r="Z476" s="158"/>
      <c r="AA476" s="174"/>
      <c r="AB476" s="38"/>
      <c r="AC476" s="35"/>
      <c r="AD476" s="4"/>
      <c r="AE476" s="54"/>
      <c r="AF476" s="64"/>
      <c r="AG476" s="69"/>
      <c r="AH476" s="126"/>
      <c r="AI476" s="127"/>
      <c r="AJ476" s="4"/>
      <c r="AK476" s="38"/>
      <c r="AL476" s="83"/>
      <c r="AM476" s="158"/>
      <c r="AN476" s="174"/>
      <c r="AO476" s="38"/>
      <c r="AP476" s="35"/>
      <c r="AQ476" s="4"/>
      <c r="AR476" s="54"/>
      <c r="AS476" s="64"/>
      <c r="AT476" s="69"/>
      <c r="AU476" s="126"/>
      <c r="AV476" s="127"/>
      <c r="AW476" s="4"/>
      <c r="AX476" s="38"/>
      <c r="AY476" s="83"/>
      <c r="AZ476" s="158"/>
      <c r="BA476" s="174"/>
    </row>
    <row r="477" spans="1:53" x14ac:dyDescent="0.15">
      <c r="A477" s="2" t="s">
        <v>35</v>
      </c>
      <c r="B477" s="38"/>
      <c r="C477" s="35"/>
      <c r="D477" s="4"/>
      <c r="E477" s="54"/>
      <c r="F477" s="64"/>
      <c r="G477" s="69"/>
      <c r="H477" s="126"/>
      <c r="I477" s="127"/>
      <c r="J477" s="4"/>
      <c r="K477" s="38"/>
      <c r="L477" s="83"/>
      <c r="M477" s="158"/>
      <c r="N477" s="174"/>
      <c r="O477" s="38"/>
      <c r="P477" s="35"/>
      <c r="Q477" s="4"/>
      <c r="R477" s="54"/>
      <c r="S477" s="64"/>
      <c r="T477" s="69"/>
      <c r="U477" s="126"/>
      <c r="V477" s="127"/>
      <c r="W477" s="4"/>
      <c r="X477" s="38"/>
      <c r="Y477" s="83"/>
      <c r="Z477" s="158"/>
      <c r="AA477" s="174">
        <v>1</v>
      </c>
      <c r="AB477" s="38"/>
      <c r="AC477" s="35"/>
      <c r="AD477" s="4"/>
      <c r="AE477" s="54"/>
      <c r="AF477" s="64"/>
      <c r="AG477" s="69"/>
      <c r="AH477" s="126"/>
      <c r="AI477" s="127"/>
      <c r="AJ477" s="4"/>
      <c r="AK477" s="38"/>
      <c r="AL477" s="83"/>
      <c r="AM477" s="158"/>
      <c r="AN477" s="174"/>
      <c r="AO477" s="38"/>
      <c r="AP477" s="35"/>
      <c r="AQ477" s="4"/>
      <c r="AR477" s="54"/>
      <c r="AS477" s="64"/>
      <c r="AT477" s="69"/>
      <c r="AU477" s="126"/>
      <c r="AV477" s="127"/>
      <c r="AW477" s="4"/>
      <c r="AX477" s="38"/>
      <c r="AY477" s="83"/>
      <c r="AZ477" s="158"/>
      <c r="BA477" s="174"/>
    </row>
    <row r="478" spans="1:53" x14ac:dyDescent="0.15">
      <c r="A478" s="2" t="s">
        <v>110</v>
      </c>
      <c r="B478" s="38"/>
      <c r="C478" s="35">
        <v>4</v>
      </c>
      <c r="D478" s="4">
        <v>4</v>
      </c>
      <c r="E478" s="54">
        <v>3</v>
      </c>
      <c r="F478" s="64">
        <v>2</v>
      </c>
      <c r="G478" s="69">
        <v>2</v>
      </c>
      <c r="H478" s="126">
        <v>2</v>
      </c>
      <c r="I478" s="127">
        <v>1</v>
      </c>
      <c r="J478" s="4">
        <v>1</v>
      </c>
      <c r="K478" s="38"/>
      <c r="L478" s="83"/>
      <c r="M478" s="158"/>
      <c r="N478" s="174"/>
      <c r="O478" s="38"/>
      <c r="P478" s="35">
        <v>4</v>
      </c>
      <c r="Q478" s="4">
        <v>4</v>
      </c>
      <c r="R478" s="54">
        <v>3</v>
      </c>
      <c r="S478" s="64">
        <v>3</v>
      </c>
      <c r="T478" s="69">
        <v>2</v>
      </c>
      <c r="U478" s="126">
        <v>2</v>
      </c>
      <c r="V478" s="127">
        <v>1</v>
      </c>
      <c r="W478" s="4">
        <v>1</v>
      </c>
      <c r="X478" s="38">
        <v>1</v>
      </c>
      <c r="Y478" s="83">
        <v>1</v>
      </c>
      <c r="Z478" s="158">
        <v>1</v>
      </c>
      <c r="AA478" s="174">
        <v>1</v>
      </c>
      <c r="AB478" s="38"/>
      <c r="AC478" s="35"/>
      <c r="AD478" s="4"/>
      <c r="AE478" s="54"/>
      <c r="AF478" s="64"/>
      <c r="AG478" s="69"/>
      <c r="AH478" s="126"/>
      <c r="AI478" s="127"/>
      <c r="AJ478" s="4"/>
      <c r="AK478" s="38"/>
      <c r="AL478" s="83"/>
      <c r="AM478" s="158"/>
      <c r="AN478" s="174"/>
      <c r="AO478" s="38"/>
      <c r="AP478" s="35"/>
      <c r="AQ478" s="4"/>
      <c r="AR478" s="54"/>
      <c r="AS478" s="64"/>
      <c r="AT478" s="69"/>
      <c r="AU478" s="126"/>
      <c r="AV478" s="127"/>
      <c r="AW478" s="4"/>
      <c r="AX478" s="38"/>
      <c r="AY478" s="83"/>
      <c r="AZ478" s="158"/>
      <c r="BA478" s="174"/>
    </row>
    <row r="479" spans="1:53" x14ac:dyDescent="0.15">
      <c r="A479" s="2" t="s">
        <v>25</v>
      </c>
      <c r="B479" s="38"/>
      <c r="C479" s="35"/>
      <c r="D479" s="4"/>
      <c r="E479" s="54"/>
      <c r="F479" s="64"/>
      <c r="G479" s="69"/>
      <c r="H479" s="126"/>
      <c r="I479" s="127"/>
      <c r="J479" s="4"/>
      <c r="K479" s="38"/>
      <c r="L479" s="83"/>
      <c r="M479" s="158"/>
      <c r="N479" s="174"/>
      <c r="O479" s="38"/>
      <c r="P479" s="35"/>
      <c r="Q479" s="4"/>
      <c r="R479" s="54"/>
      <c r="S479" s="64"/>
      <c r="T479" s="69"/>
      <c r="U479" s="126"/>
      <c r="V479" s="127"/>
      <c r="W479" s="4"/>
      <c r="X479" s="38"/>
      <c r="Y479" s="83"/>
      <c r="Z479" s="158"/>
      <c r="AA479" s="174"/>
      <c r="AB479" s="38"/>
      <c r="AC479" s="35"/>
      <c r="AD479" s="4"/>
      <c r="AE479" s="54"/>
      <c r="AF479" s="64"/>
      <c r="AG479" s="69"/>
      <c r="AH479" s="126"/>
      <c r="AI479" s="127"/>
      <c r="AJ479" s="4"/>
      <c r="AK479" s="38"/>
      <c r="AL479" s="83"/>
      <c r="AM479" s="158"/>
      <c r="AN479" s="174"/>
      <c r="AO479" s="38"/>
      <c r="AP479" s="35"/>
      <c r="AQ479" s="4"/>
      <c r="AR479" s="54"/>
      <c r="AS479" s="64"/>
      <c r="AT479" s="69"/>
      <c r="AU479" s="126"/>
      <c r="AV479" s="127"/>
      <c r="AW479" s="4"/>
      <c r="AX479" s="38"/>
      <c r="AY479" s="83"/>
      <c r="AZ479" s="158"/>
      <c r="BA479" s="174"/>
    </row>
    <row r="480" spans="1:53" x14ac:dyDescent="0.15">
      <c r="A480" s="2" t="s">
        <v>38</v>
      </c>
      <c r="B480" s="38"/>
      <c r="C480" s="35"/>
      <c r="D480" s="4"/>
      <c r="E480" s="54"/>
      <c r="F480" s="64"/>
      <c r="G480" s="69"/>
      <c r="H480" s="126"/>
      <c r="I480" s="127">
        <v>1</v>
      </c>
      <c r="J480" s="4">
        <v>1</v>
      </c>
      <c r="K480" s="38">
        <v>1</v>
      </c>
      <c r="L480" s="83">
        <v>1</v>
      </c>
      <c r="M480" s="158">
        <v>1</v>
      </c>
      <c r="N480" s="174">
        <v>1</v>
      </c>
      <c r="O480" s="38"/>
      <c r="P480" s="35"/>
      <c r="Q480" s="4"/>
      <c r="R480" s="54"/>
      <c r="S480" s="64"/>
      <c r="T480" s="69"/>
      <c r="U480" s="126"/>
      <c r="V480" s="127"/>
      <c r="W480" s="4"/>
      <c r="X480" s="38"/>
      <c r="Y480" s="83"/>
      <c r="Z480" s="158"/>
      <c r="AA480" s="174"/>
      <c r="AB480" s="38"/>
      <c r="AC480" s="35"/>
      <c r="AD480" s="4"/>
      <c r="AE480" s="54"/>
      <c r="AF480" s="64"/>
      <c r="AG480" s="69"/>
      <c r="AH480" s="126"/>
      <c r="AI480" s="127"/>
      <c r="AJ480" s="4"/>
      <c r="AK480" s="38"/>
      <c r="AL480" s="83"/>
      <c r="AM480" s="158"/>
      <c r="AN480" s="174"/>
      <c r="AO480" s="38"/>
      <c r="AP480" s="35"/>
      <c r="AQ480" s="4"/>
      <c r="AR480" s="54"/>
      <c r="AS480" s="64"/>
      <c r="AT480" s="69"/>
      <c r="AU480" s="126"/>
      <c r="AV480" s="127"/>
      <c r="AW480" s="4"/>
      <c r="AX480" s="38"/>
      <c r="AY480" s="83"/>
      <c r="AZ480" s="158"/>
      <c r="BA480" s="174"/>
    </row>
    <row r="481" spans="1:53" x14ac:dyDescent="0.15">
      <c r="A481" s="2" t="s">
        <v>27</v>
      </c>
      <c r="B481" s="38"/>
      <c r="C481" s="35"/>
      <c r="D481" s="4"/>
      <c r="E481" s="54"/>
      <c r="F481" s="64"/>
      <c r="G481" s="69"/>
      <c r="H481" s="126"/>
      <c r="I481" s="127"/>
      <c r="J481" s="4"/>
      <c r="K481" s="38"/>
      <c r="L481" s="83"/>
      <c r="M481" s="158"/>
      <c r="N481" s="174"/>
      <c r="O481" s="38"/>
      <c r="P481" s="35"/>
      <c r="Q481" s="4"/>
      <c r="R481" s="54"/>
      <c r="S481" s="64"/>
      <c r="T481" s="69"/>
      <c r="U481" s="126"/>
      <c r="V481" s="127"/>
      <c r="W481" s="4"/>
      <c r="X481" s="38"/>
      <c r="Y481" s="83"/>
      <c r="Z481" s="158"/>
      <c r="AA481" s="174"/>
      <c r="AB481" s="38"/>
      <c r="AC481" s="35"/>
      <c r="AD481" s="4"/>
      <c r="AE481" s="54"/>
      <c r="AF481" s="64"/>
      <c r="AG481" s="69"/>
      <c r="AH481" s="126"/>
      <c r="AI481" s="127"/>
      <c r="AJ481" s="4"/>
      <c r="AK481" s="38"/>
      <c r="AL481" s="83"/>
      <c r="AM481" s="158"/>
      <c r="AN481" s="174"/>
      <c r="AO481" s="38"/>
      <c r="AP481" s="35"/>
      <c r="AQ481" s="4"/>
      <c r="AR481" s="54"/>
      <c r="AS481" s="64"/>
      <c r="AT481" s="69"/>
      <c r="AU481" s="126"/>
      <c r="AV481" s="127"/>
      <c r="AW481" s="4"/>
      <c r="AX481" s="38"/>
      <c r="AY481" s="83"/>
      <c r="AZ481" s="158"/>
      <c r="BA481" s="174"/>
    </row>
    <row r="482" spans="1:53" x14ac:dyDescent="0.15">
      <c r="A482" s="2" t="s">
        <v>229</v>
      </c>
      <c r="B482" s="38"/>
      <c r="C482" s="35"/>
      <c r="D482" s="4"/>
      <c r="E482" s="54"/>
      <c r="F482" s="64"/>
      <c r="G482" s="69"/>
      <c r="H482" s="126"/>
      <c r="I482" s="127"/>
      <c r="J482" s="4"/>
      <c r="K482" s="38">
        <v>1</v>
      </c>
      <c r="L482" s="83">
        <v>1</v>
      </c>
      <c r="M482" s="158">
        <v>1</v>
      </c>
      <c r="N482" s="174">
        <v>1</v>
      </c>
      <c r="O482" s="38"/>
      <c r="P482" s="35"/>
      <c r="Q482" s="4"/>
      <c r="R482" s="54"/>
      <c r="S482" s="64"/>
      <c r="T482" s="69"/>
      <c r="U482" s="126"/>
      <c r="V482" s="127"/>
      <c r="W482" s="4"/>
      <c r="X482" s="38"/>
      <c r="Y482" s="83"/>
      <c r="Z482" s="158"/>
      <c r="AA482" s="174"/>
      <c r="AB482" s="38"/>
      <c r="AC482" s="35"/>
      <c r="AD482" s="4"/>
      <c r="AE482" s="54"/>
      <c r="AF482" s="64"/>
      <c r="AG482" s="69"/>
      <c r="AH482" s="126"/>
      <c r="AI482" s="127"/>
      <c r="AJ482" s="4"/>
      <c r="AK482" s="38"/>
      <c r="AL482" s="83"/>
      <c r="AM482" s="158"/>
      <c r="AN482" s="174"/>
      <c r="AO482" s="38"/>
      <c r="AP482" s="35"/>
      <c r="AQ482" s="4"/>
      <c r="AR482" s="54"/>
      <c r="AS482" s="64"/>
      <c r="AT482" s="69"/>
      <c r="AU482" s="126"/>
      <c r="AV482" s="127"/>
      <c r="AW482" s="4"/>
      <c r="AX482" s="38"/>
      <c r="AY482" s="83"/>
      <c r="AZ482" s="158"/>
      <c r="BA482" s="174"/>
    </row>
    <row r="483" spans="1:53" x14ac:dyDescent="0.15">
      <c r="A483" s="2" t="s">
        <v>36</v>
      </c>
      <c r="B483" s="38"/>
      <c r="C483" s="35"/>
      <c r="D483" s="4"/>
      <c r="E483" s="54"/>
      <c r="F483" s="64"/>
      <c r="G483" s="69"/>
      <c r="H483" s="126"/>
      <c r="I483" s="127"/>
      <c r="J483" s="4"/>
      <c r="K483" s="38"/>
      <c r="L483" s="83"/>
      <c r="M483" s="158"/>
      <c r="N483" s="174"/>
      <c r="O483" s="38"/>
      <c r="P483" s="35"/>
      <c r="Q483" s="4"/>
      <c r="R483" s="54"/>
      <c r="S483" s="64"/>
      <c r="T483" s="69"/>
      <c r="U483" s="126"/>
      <c r="V483" s="127"/>
      <c r="W483" s="4"/>
      <c r="X483" s="38"/>
      <c r="Y483" s="83"/>
      <c r="Z483" s="158"/>
      <c r="AA483" s="174"/>
      <c r="AB483" s="38"/>
      <c r="AC483" s="35"/>
      <c r="AD483" s="4"/>
      <c r="AE483" s="54"/>
      <c r="AF483" s="64"/>
      <c r="AG483" s="69"/>
      <c r="AH483" s="126"/>
      <c r="AI483" s="127"/>
      <c r="AJ483" s="4"/>
      <c r="AK483" s="38"/>
      <c r="AL483" s="83"/>
      <c r="AM483" s="158"/>
      <c r="AN483" s="174"/>
      <c r="AO483" s="38"/>
      <c r="AP483" s="35"/>
      <c r="AQ483" s="4"/>
      <c r="AR483" s="54"/>
      <c r="AS483" s="64"/>
      <c r="AT483" s="69"/>
      <c r="AU483" s="126"/>
      <c r="AV483" s="127"/>
      <c r="AW483" s="4"/>
      <c r="AX483" s="38"/>
      <c r="AY483" s="83"/>
      <c r="AZ483" s="158"/>
      <c r="BA483" s="174"/>
    </row>
    <row r="484" spans="1:53" x14ac:dyDescent="0.15">
      <c r="A484" s="2" t="s">
        <v>50</v>
      </c>
      <c r="B484" s="38"/>
      <c r="C484" s="35">
        <v>1</v>
      </c>
      <c r="D484" s="4"/>
      <c r="E484" s="54"/>
      <c r="F484" s="64"/>
      <c r="G484" s="69"/>
      <c r="H484" s="126">
        <v>2</v>
      </c>
      <c r="I484" s="127">
        <v>2</v>
      </c>
      <c r="J484" s="4">
        <v>1</v>
      </c>
      <c r="K484" s="38">
        <v>1</v>
      </c>
      <c r="L484" s="83">
        <v>1</v>
      </c>
      <c r="M484" s="158">
        <v>1</v>
      </c>
      <c r="N484" s="174">
        <v>1</v>
      </c>
      <c r="O484" s="38"/>
      <c r="P484" s="35"/>
      <c r="Q484" s="4"/>
      <c r="R484" s="54"/>
      <c r="S484" s="64">
        <v>1</v>
      </c>
      <c r="T484" s="69">
        <v>1</v>
      </c>
      <c r="U484" s="126">
        <v>1</v>
      </c>
      <c r="V484" s="127">
        <v>1</v>
      </c>
      <c r="W484" s="4"/>
      <c r="X484" s="38"/>
      <c r="Y484" s="83"/>
      <c r="Z484" s="158"/>
      <c r="AA484" s="174"/>
      <c r="AB484" s="38"/>
      <c r="AC484" s="35"/>
      <c r="AD484" s="4"/>
      <c r="AE484" s="54"/>
      <c r="AF484" s="64"/>
      <c r="AG484" s="69"/>
      <c r="AH484" s="126"/>
      <c r="AI484" s="127"/>
      <c r="AJ484" s="4"/>
      <c r="AK484" s="38"/>
      <c r="AL484" s="83"/>
      <c r="AM484" s="158"/>
      <c r="AN484" s="174"/>
      <c r="AO484" s="38"/>
      <c r="AP484" s="35"/>
      <c r="AQ484" s="4"/>
      <c r="AR484" s="54"/>
      <c r="AS484" s="64"/>
      <c r="AT484" s="69"/>
      <c r="AU484" s="126"/>
      <c r="AV484" s="127"/>
      <c r="AW484" s="4"/>
      <c r="AX484" s="38"/>
      <c r="AY484" s="83"/>
      <c r="AZ484" s="158"/>
      <c r="BA484" s="174"/>
    </row>
    <row r="485" spans="1:53" x14ac:dyDescent="0.15">
      <c r="A485" s="2" t="s">
        <v>231</v>
      </c>
      <c r="B485" s="38"/>
      <c r="C485" s="35"/>
      <c r="D485" s="4"/>
      <c r="E485" s="54"/>
      <c r="F485" s="64"/>
      <c r="G485" s="69"/>
      <c r="H485" s="126"/>
      <c r="I485" s="127"/>
      <c r="J485" s="4"/>
      <c r="K485" s="38"/>
      <c r="L485" s="83"/>
      <c r="M485" s="158"/>
      <c r="N485" s="174"/>
      <c r="O485" s="38"/>
      <c r="P485" s="35"/>
      <c r="Q485" s="4"/>
      <c r="R485" s="54"/>
      <c r="S485" s="64"/>
      <c r="T485" s="69"/>
      <c r="U485" s="126"/>
      <c r="V485" s="127"/>
      <c r="W485" s="4"/>
      <c r="X485" s="38"/>
      <c r="Y485" s="83"/>
      <c r="Z485" s="158"/>
      <c r="AA485" s="174"/>
      <c r="AB485" s="38"/>
      <c r="AC485" s="35"/>
      <c r="AD485" s="4"/>
      <c r="AE485" s="54"/>
      <c r="AF485" s="64"/>
      <c r="AG485" s="69"/>
      <c r="AH485" s="126"/>
      <c r="AI485" s="127"/>
      <c r="AJ485" s="4"/>
      <c r="AK485" s="38"/>
      <c r="AL485" s="83"/>
      <c r="AM485" s="158"/>
      <c r="AN485" s="174"/>
      <c r="AO485" s="38"/>
      <c r="AP485" s="35"/>
      <c r="AQ485" s="4"/>
      <c r="AR485" s="54"/>
      <c r="AS485" s="64"/>
      <c r="AT485" s="69"/>
      <c r="AU485" s="126"/>
      <c r="AV485" s="127"/>
      <c r="AW485" s="4"/>
      <c r="AX485" s="38"/>
      <c r="AY485" s="83"/>
      <c r="AZ485" s="158"/>
      <c r="BA485" s="174"/>
    </row>
    <row r="486" spans="1:53" x14ac:dyDescent="0.15">
      <c r="A486" s="2" t="s">
        <v>58</v>
      </c>
      <c r="B486" s="38"/>
      <c r="C486" s="35"/>
      <c r="D486" s="4"/>
      <c r="E486" s="54"/>
      <c r="F486" s="64"/>
      <c r="G486" s="69"/>
      <c r="H486" s="126"/>
      <c r="I486" s="127"/>
      <c r="J486" s="4"/>
      <c r="K486" s="38">
        <v>1</v>
      </c>
      <c r="L486" s="83">
        <v>1</v>
      </c>
      <c r="M486" s="158">
        <v>1</v>
      </c>
      <c r="N486" s="174"/>
      <c r="O486" s="38"/>
      <c r="P486" s="35"/>
      <c r="Q486" s="4"/>
      <c r="R486" s="54"/>
      <c r="S486" s="64"/>
      <c r="T486" s="69"/>
      <c r="U486" s="126">
        <v>1</v>
      </c>
      <c r="V486" s="127">
        <v>1</v>
      </c>
      <c r="W486" s="4"/>
      <c r="X486" s="38">
        <v>1</v>
      </c>
      <c r="Y486" s="83">
        <v>1</v>
      </c>
      <c r="Z486" s="158">
        <v>1</v>
      </c>
      <c r="AA486" s="174">
        <v>1</v>
      </c>
      <c r="AB486" s="38"/>
      <c r="AC486" s="35"/>
      <c r="AD486" s="4"/>
      <c r="AE486" s="54"/>
      <c r="AF486" s="64"/>
      <c r="AG486" s="69"/>
      <c r="AH486" s="126"/>
      <c r="AI486" s="127"/>
      <c r="AJ486" s="4"/>
      <c r="AK486" s="38"/>
      <c r="AL486" s="83"/>
      <c r="AM486" s="158"/>
      <c r="AN486" s="174"/>
      <c r="AO486" s="38"/>
      <c r="AP486" s="35"/>
      <c r="AQ486" s="4"/>
      <c r="AR486" s="54"/>
      <c r="AS486" s="64"/>
      <c r="AT486" s="69"/>
      <c r="AU486" s="126"/>
      <c r="AV486" s="127"/>
      <c r="AW486" s="4"/>
      <c r="AX486" s="38"/>
      <c r="AY486" s="83"/>
      <c r="AZ486" s="158"/>
      <c r="BA486" s="174"/>
    </row>
    <row r="487" spans="1:53" x14ac:dyDescent="0.15">
      <c r="A487" s="2" t="s">
        <v>57</v>
      </c>
      <c r="B487" s="38"/>
      <c r="C487" s="35"/>
      <c r="D487" s="4"/>
      <c r="E487" s="54"/>
      <c r="F487" s="64"/>
      <c r="G487" s="69"/>
      <c r="H487" s="126"/>
      <c r="I487" s="127"/>
      <c r="J487" s="4"/>
      <c r="K487" s="38"/>
      <c r="L487" s="83"/>
      <c r="M487" s="158"/>
      <c r="N487" s="174"/>
      <c r="O487" s="38"/>
      <c r="P487" s="35"/>
      <c r="Q487" s="4"/>
      <c r="R487" s="54"/>
      <c r="S487" s="64"/>
      <c r="T487" s="69"/>
      <c r="U487" s="126"/>
      <c r="V487" s="127"/>
      <c r="W487" s="4"/>
      <c r="X487" s="38"/>
      <c r="Y487" s="83"/>
      <c r="Z487" s="158"/>
      <c r="AA487" s="174"/>
      <c r="AB487" s="38"/>
      <c r="AC487" s="35"/>
      <c r="AD487" s="4"/>
      <c r="AE487" s="54"/>
      <c r="AF487" s="64"/>
      <c r="AG487" s="69"/>
      <c r="AH487" s="126"/>
      <c r="AI487" s="127"/>
      <c r="AJ487" s="4"/>
      <c r="AK487" s="38"/>
      <c r="AL487" s="83"/>
      <c r="AM487" s="158"/>
      <c r="AN487" s="174"/>
      <c r="AO487" s="38"/>
      <c r="AP487" s="35"/>
      <c r="AQ487" s="4"/>
      <c r="AR487" s="54"/>
      <c r="AS487" s="64"/>
      <c r="AT487" s="69"/>
      <c r="AU487" s="126"/>
      <c r="AV487" s="127"/>
      <c r="AW487" s="4"/>
      <c r="AX487" s="38"/>
      <c r="AY487" s="83"/>
      <c r="AZ487" s="158"/>
      <c r="BA487" s="174"/>
    </row>
    <row r="488" spans="1:53" x14ac:dyDescent="0.15">
      <c r="A488" s="2" t="s">
        <v>28</v>
      </c>
      <c r="B488" s="38"/>
      <c r="C488" s="35"/>
      <c r="D488" s="4"/>
      <c r="E488" s="54"/>
      <c r="F488" s="64"/>
      <c r="G488" s="69"/>
      <c r="H488" s="126"/>
      <c r="I488" s="127"/>
      <c r="J488" s="4"/>
      <c r="K488" s="38"/>
      <c r="L488" s="83"/>
      <c r="M488" s="158"/>
      <c r="N488" s="174"/>
      <c r="O488" s="38"/>
      <c r="P488" s="35"/>
      <c r="Q488" s="4"/>
      <c r="R488" s="54"/>
      <c r="S488" s="64"/>
      <c r="T488" s="69"/>
      <c r="U488" s="126"/>
      <c r="V488" s="127"/>
      <c r="W488" s="4"/>
      <c r="X488" s="38"/>
      <c r="Y488" s="83"/>
      <c r="Z488" s="158"/>
      <c r="AA488" s="174"/>
      <c r="AB488" s="38"/>
      <c r="AC488" s="35"/>
      <c r="AD488" s="4"/>
      <c r="AE488" s="54"/>
      <c r="AF488" s="64"/>
      <c r="AG488" s="69"/>
      <c r="AH488" s="126"/>
      <c r="AI488" s="127"/>
      <c r="AJ488" s="4"/>
      <c r="AK488" s="38"/>
      <c r="AL488" s="83"/>
      <c r="AM488" s="158"/>
      <c r="AN488" s="174"/>
      <c r="AO488" s="38"/>
      <c r="AP488" s="35"/>
      <c r="AQ488" s="4"/>
      <c r="AR488" s="54"/>
      <c r="AS488" s="64"/>
      <c r="AT488" s="69"/>
      <c r="AU488" s="126"/>
      <c r="AV488" s="127"/>
      <c r="AW488" s="4"/>
      <c r="AX488" s="38"/>
      <c r="AY488" s="83"/>
      <c r="AZ488" s="158"/>
      <c r="BA488" s="174"/>
    </row>
    <row r="489" spans="1:53" x14ac:dyDescent="0.15">
      <c r="A489" s="2" t="s">
        <v>194</v>
      </c>
      <c r="B489" s="38"/>
      <c r="C489" s="35"/>
      <c r="D489" s="4"/>
      <c r="E489" s="54"/>
      <c r="F489" s="64"/>
      <c r="G489" s="69"/>
      <c r="H489" s="126"/>
      <c r="I489" s="127"/>
      <c r="J489" s="4"/>
      <c r="K489" s="38"/>
      <c r="L489" s="83"/>
      <c r="M489" s="158"/>
      <c r="N489" s="174"/>
      <c r="O489" s="38"/>
      <c r="P489" s="35"/>
      <c r="Q489" s="4"/>
      <c r="R489" s="54"/>
      <c r="S489" s="64"/>
      <c r="T489" s="69"/>
      <c r="U489" s="126"/>
      <c r="V489" s="127"/>
      <c r="W489" s="4"/>
      <c r="X489" s="38"/>
      <c r="Y489" s="83"/>
      <c r="Z489" s="158"/>
      <c r="AA489" s="174"/>
      <c r="AB489" s="38"/>
      <c r="AC489" s="35"/>
      <c r="AD489" s="4"/>
      <c r="AE489" s="54"/>
      <c r="AF489" s="64"/>
      <c r="AG489" s="69"/>
      <c r="AH489" s="126"/>
      <c r="AI489" s="127"/>
      <c r="AJ489" s="4"/>
      <c r="AK489" s="38"/>
      <c r="AL489" s="83"/>
      <c r="AM489" s="158"/>
      <c r="AN489" s="174"/>
      <c r="AO489" s="38"/>
      <c r="AP489" s="35"/>
      <c r="AQ489" s="4"/>
      <c r="AR489" s="54"/>
      <c r="AS489" s="64"/>
      <c r="AT489" s="69"/>
      <c r="AU489" s="126"/>
      <c r="AV489" s="127"/>
      <c r="AW489" s="4"/>
      <c r="AX489" s="38"/>
      <c r="AY489" s="83"/>
      <c r="AZ489" s="158"/>
      <c r="BA489" s="174"/>
    </row>
    <row r="490" spans="1:53" x14ac:dyDescent="0.15">
      <c r="A490" s="2" t="s">
        <v>10</v>
      </c>
      <c r="B490" s="38"/>
      <c r="C490" s="35"/>
      <c r="D490" s="4"/>
      <c r="E490" s="54"/>
      <c r="F490" s="64"/>
      <c r="G490" s="69"/>
      <c r="H490" s="126"/>
      <c r="I490" s="127"/>
      <c r="J490" s="4"/>
      <c r="K490" s="38"/>
      <c r="L490" s="83"/>
      <c r="M490" s="158"/>
      <c r="N490" s="174"/>
      <c r="O490" s="38"/>
      <c r="P490" s="35"/>
      <c r="Q490" s="4"/>
      <c r="R490" s="54"/>
      <c r="S490" s="64"/>
      <c r="T490" s="69"/>
      <c r="U490" s="126"/>
      <c r="V490" s="127"/>
      <c r="W490" s="4"/>
      <c r="X490" s="38"/>
      <c r="Y490" s="83"/>
      <c r="Z490" s="158"/>
      <c r="AA490" s="174"/>
      <c r="AB490" s="38"/>
      <c r="AC490" s="35"/>
      <c r="AD490" s="4"/>
      <c r="AE490" s="54"/>
      <c r="AF490" s="64"/>
      <c r="AG490" s="69"/>
      <c r="AH490" s="126"/>
      <c r="AI490" s="127"/>
      <c r="AJ490" s="4"/>
      <c r="AK490" s="38"/>
      <c r="AL490" s="83"/>
      <c r="AM490" s="158"/>
      <c r="AN490" s="174"/>
      <c r="AO490" s="38"/>
      <c r="AP490" s="35"/>
      <c r="AQ490" s="4"/>
      <c r="AR490" s="54"/>
      <c r="AS490" s="64"/>
      <c r="AT490" s="69"/>
      <c r="AU490" s="126"/>
      <c r="AV490" s="127"/>
      <c r="AW490" s="4"/>
      <c r="AX490" s="38"/>
      <c r="AY490" s="83"/>
      <c r="AZ490" s="158"/>
      <c r="BA490" s="174"/>
    </row>
    <row r="491" spans="1:53" x14ac:dyDescent="0.15">
      <c r="A491" s="5" t="s">
        <v>174</v>
      </c>
      <c r="B491" s="38"/>
      <c r="C491" s="35"/>
      <c r="D491" s="4"/>
      <c r="E491" s="54"/>
      <c r="F491" s="64"/>
      <c r="G491" s="69"/>
      <c r="H491" s="126"/>
      <c r="I491" s="127"/>
      <c r="J491" s="4"/>
      <c r="K491" s="38"/>
      <c r="L491" s="83"/>
      <c r="M491" s="158"/>
      <c r="N491" s="174"/>
      <c r="O491" s="38"/>
      <c r="P491" s="35"/>
      <c r="Q491" s="4"/>
      <c r="R491" s="54"/>
      <c r="S491" s="64"/>
      <c r="T491" s="69"/>
      <c r="U491" s="126"/>
      <c r="V491" s="127"/>
      <c r="W491" s="4"/>
      <c r="X491" s="38"/>
      <c r="Y491" s="83"/>
      <c r="Z491" s="158"/>
      <c r="AA491" s="174"/>
      <c r="AB491" s="38"/>
      <c r="AC491" s="35"/>
      <c r="AD491" s="4"/>
      <c r="AE491" s="54"/>
      <c r="AF491" s="64"/>
      <c r="AG491" s="69"/>
      <c r="AH491" s="126"/>
      <c r="AI491" s="127"/>
      <c r="AJ491" s="4"/>
      <c r="AK491" s="38"/>
      <c r="AL491" s="83"/>
      <c r="AM491" s="158"/>
      <c r="AN491" s="174"/>
      <c r="AO491" s="38"/>
      <c r="AP491" s="35"/>
      <c r="AQ491" s="4"/>
      <c r="AR491" s="54"/>
      <c r="AS491" s="64"/>
      <c r="AT491" s="69"/>
      <c r="AU491" s="126"/>
      <c r="AV491" s="127"/>
      <c r="AW491" s="4"/>
      <c r="AX491" s="38"/>
      <c r="AY491" s="83"/>
      <c r="AZ491" s="158"/>
      <c r="BA491" s="174"/>
    </row>
    <row r="492" spans="1:53" x14ac:dyDescent="0.15">
      <c r="A492" s="2" t="s">
        <v>22</v>
      </c>
      <c r="B492" s="38"/>
      <c r="C492" s="35"/>
      <c r="D492" s="4"/>
      <c r="E492" s="54"/>
      <c r="F492" s="64"/>
      <c r="G492" s="69"/>
      <c r="H492" s="126"/>
      <c r="I492" s="127"/>
      <c r="J492" s="4"/>
      <c r="K492" s="38"/>
      <c r="L492" s="83"/>
      <c r="M492" s="158"/>
      <c r="N492" s="174"/>
      <c r="O492" s="38"/>
      <c r="P492" s="35"/>
      <c r="Q492" s="4"/>
      <c r="R492" s="54"/>
      <c r="S492" s="64"/>
      <c r="T492" s="69"/>
      <c r="U492" s="126"/>
      <c r="V492" s="127"/>
      <c r="W492" s="4"/>
      <c r="X492" s="38"/>
      <c r="Y492" s="83"/>
      <c r="Z492" s="158"/>
      <c r="AA492" s="174"/>
      <c r="AB492" s="38"/>
      <c r="AC492" s="35"/>
      <c r="AD492" s="4"/>
      <c r="AE492" s="54"/>
      <c r="AF492" s="64"/>
      <c r="AG492" s="69"/>
      <c r="AH492" s="126"/>
      <c r="AI492" s="127"/>
      <c r="AJ492" s="4"/>
      <c r="AK492" s="38"/>
      <c r="AL492" s="83"/>
      <c r="AM492" s="158"/>
      <c r="AN492" s="174"/>
      <c r="AO492" s="38"/>
      <c r="AP492" s="35"/>
      <c r="AQ492" s="4"/>
      <c r="AR492" s="54"/>
      <c r="AS492" s="64"/>
      <c r="AT492" s="69"/>
      <c r="AU492" s="126"/>
      <c r="AV492" s="127"/>
      <c r="AW492" s="4"/>
      <c r="AX492" s="38"/>
      <c r="AY492" s="83"/>
      <c r="AZ492" s="158"/>
      <c r="BA492" s="174"/>
    </row>
    <row r="493" spans="1:53" x14ac:dyDescent="0.15">
      <c r="A493" s="5" t="s">
        <v>132</v>
      </c>
      <c r="B493" s="38"/>
      <c r="C493" s="35"/>
      <c r="D493" s="4"/>
      <c r="E493" s="54"/>
      <c r="F493" s="64"/>
      <c r="G493" s="69"/>
      <c r="H493" s="126"/>
      <c r="I493" s="127"/>
      <c r="J493" s="4"/>
      <c r="K493" s="38"/>
      <c r="L493" s="83"/>
      <c r="M493" s="158"/>
      <c r="N493" s="174"/>
      <c r="O493" s="38"/>
      <c r="P493" s="35"/>
      <c r="Q493" s="4"/>
      <c r="R493" s="54"/>
      <c r="S493" s="64"/>
      <c r="T493" s="69"/>
      <c r="U493" s="126"/>
      <c r="V493" s="127"/>
      <c r="W493" s="4"/>
      <c r="X493" s="38"/>
      <c r="Y493" s="83"/>
      <c r="Z493" s="158"/>
      <c r="AA493" s="174"/>
      <c r="AB493" s="38"/>
      <c r="AC493" s="35"/>
      <c r="AD493" s="4"/>
      <c r="AE493" s="54"/>
      <c r="AF493" s="64"/>
      <c r="AG493" s="69"/>
      <c r="AH493" s="126"/>
      <c r="AI493" s="127"/>
      <c r="AJ493" s="4"/>
      <c r="AK493" s="38"/>
      <c r="AL493" s="83"/>
      <c r="AM493" s="158"/>
      <c r="AN493" s="174"/>
      <c r="AO493" s="38"/>
      <c r="AP493" s="35"/>
      <c r="AQ493" s="4"/>
      <c r="AR493" s="54"/>
      <c r="AS493" s="64"/>
      <c r="AT493" s="69"/>
      <c r="AU493" s="126"/>
      <c r="AV493" s="127"/>
      <c r="AW493" s="4"/>
      <c r="AX493" s="38"/>
      <c r="AY493" s="83"/>
      <c r="AZ493" s="158"/>
      <c r="BA493" s="174"/>
    </row>
    <row r="494" spans="1:53" x14ac:dyDescent="0.15">
      <c r="A494" s="5" t="s">
        <v>191</v>
      </c>
      <c r="B494" s="38"/>
      <c r="C494" s="35"/>
      <c r="D494" s="4"/>
      <c r="E494" s="54"/>
      <c r="F494" s="64"/>
      <c r="G494" s="69"/>
      <c r="H494" s="126"/>
      <c r="I494" s="127"/>
      <c r="J494" s="4"/>
      <c r="K494" s="38"/>
      <c r="L494" s="83"/>
      <c r="M494" s="158"/>
      <c r="N494" s="174"/>
      <c r="O494" s="38"/>
      <c r="P494" s="35"/>
      <c r="Q494" s="4"/>
      <c r="R494" s="54"/>
      <c r="S494" s="64"/>
      <c r="T494" s="69"/>
      <c r="U494" s="126"/>
      <c r="V494" s="127"/>
      <c r="W494" s="4"/>
      <c r="X494" s="38"/>
      <c r="Y494" s="83"/>
      <c r="Z494" s="158"/>
      <c r="AA494" s="174"/>
      <c r="AB494" s="38"/>
      <c r="AC494" s="35"/>
      <c r="AD494" s="4"/>
      <c r="AE494" s="54"/>
      <c r="AF494" s="64"/>
      <c r="AG494" s="69"/>
      <c r="AH494" s="126"/>
      <c r="AI494" s="127"/>
      <c r="AJ494" s="4"/>
      <c r="AK494" s="38"/>
      <c r="AL494" s="83"/>
      <c r="AM494" s="158"/>
      <c r="AN494" s="174"/>
      <c r="AO494" s="38"/>
      <c r="AP494" s="35"/>
      <c r="AQ494" s="4"/>
      <c r="AR494" s="54"/>
      <c r="AS494" s="64"/>
      <c r="AT494" s="69"/>
      <c r="AU494" s="126"/>
      <c r="AV494" s="127"/>
      <c r="AW494" s="4"/>
      <c r="AX494" s="38"/>
      <c r="AY494" s="83"/>
      <c r="AZ494" s="158"/>
      <c r="BA494" s="174"/>
    </row>
    <row r="495" spans="1:53" x14ac:dyDescent="0.15">
      <c r="A495" s="5" t="s">
        <v>218</v>
      </c>
      <c r="B495" s="38"/>
      <c r="C495" s="35"/>
      <c r="D495" s="4"/>
      <c r="E495" s="54"/>
      <c r="F495" s="64"/>
      <c r="G495" s="69"/>
      <c r="H495" s="126"/>
      <c r="I495" s="127"/>
      <c r="J495" s="4"/>
      <c r="K495" s="38"/>
      <c r="L495" s="83"/>
      <c r="M495" s="158"/>
      <c r="N495" s="174"/>
      <c r="O495" s="38"/>
      <c r="P495" s="35"/>
      <c r="Q495" s="4"/>
      <c r="R495" s="54"/>
      <c r="S495" s="64"/>
      <c r="T495" s="69"/>
      <c r="U495" s="126">
        <v>1</v>
      </c>
      <c r="V495" s="127">
        <v>1</v>
      </c>
      <c r="W495" s="4"/>
      <c r="X495" s="38"/>
      <c r="Y495" s="83"/>
      <c r="Z495" s="158"/>
      <c r="AA495" s="174"/>
      <c r="AB495" s="38"/>
      <c r="AC495" s="35"/>
      <c r="AD495" s="4"/>
      <c r="AE495" s="54"/>
      <c r="AF495" s="64"/>
      <c r="AG495" s="69"/>
      <c r="AH495" s="126"/>
      <c r="AI495" s="127"/>
      <c r="AJ495" s="4"/>
      <c r="AK495" s="38"/>
      <c r="AL495" s="83"/>
      <c r="AM495" s="158"/>
      <c r="AN495" s="174"/>
      <c r="AO495" s="38"/>
      <c r="AP495" s="35"/>
      <c r="AQ495" s="4"/>
      <c r="AR495" s="54"/>
      <c r="AS495" s="64"/>
      <c r="AT495" s="69"/>
      <c r="AU495" s="126"/>
      <c r="AV495" s="127"/>
      <c r="AW495" s="4"/>
      <c r="AX495" s="38"/>
      <c r="AY495" s="83"/>
      <c r="AZ495" s="158"/>
      <c r="BA495" s="174"/>
    </row>
    <row r="496" spans="1:53" x14ac:dyDescent="0.15">
      <c r="A496" s="5" t="s">
        <v>203</v>
      </c>
      <c r="B496" s="38"/>
      <c r="C496" s="35"/>
      <c r="D496" s="4"/>
      <c r="E496" s="54"/>
      <c r="F496" s="64"/>
      <c r="G496" s="69">
        <v>1</v>
      </c>
      <c r="H496" s="126">
        <v>2</v>
      </c>
      <c r="I496" s="127">
        <v>2</v>
      </c>
      <c r="J496" s="4">
        <v>1</v>
      </c>
      <c r="K496" s="38">
        <v>1</v>
      </c>
      <c r="L496" s="83">
        <v>1</v>
      </c>
      <c r="M496" s="158"/>
      <c r="N496" s="174">
        <v>1</v>
      </c>
      <c r="O496" s="38"/>
      <c r="P496" s="35"/>
      <c r="Q496" s="4"/>
      <c r="R496" s="54"/>
      <c r="S496" s="64"/>
      <c r="T496" s="69"/>
      <c r="U496" s="126">
        <v>2</v>
      </c>
      <c r="V496" s="127">
        <v>2</v>
      </c>
      <c r="W496" s="4">
        <v>1</v>
      </c>
      <c r="X496" s="38">
        <v>1</v>
      </c>
      <c r="Y496" s="83">
        <v>1</v>
      </c>
      <c r="Z496" s="158">
        <v>1</v>
      </c>
      <c r="AA496" s="174">
        <v>1</v>
      </c>
      <c r="AB496" s="38"/>
      <c r="AC496" s="35"/>
      <c r="AD496" s="4"/>
      <c r="AE496" s="54"/>
      <c r="AF496" s="64"/>
      <c r="AG496" s="69"/>
      <c r="AH496" s="126"/>
      <c r="AI496" s="127"/>
      <c r="AJ496" s="4"/>
      <c r="AK496" s="38"/>
      <c r="AL496" s="83"/>
      <c r="AM496" s="158"/>
      <c r="AN496" s="174"/>
      <c r="AO496" s="38"/>
      <c r="AP496" s="35"/>
      <c r="AQ496" s="4"/>
      <c r="AR496" s="54"/>
      <c r="AS496" s="64"/>
      <c r="AT496" s="69"/>
      <c r="AU496" s="126"/>
      <c r="AV496" s="127"/>
      <c r="AW496" s="4"/>
      <c r="AX496" s="38"/>
      <c r="AY496" s="83"/>
      <c r="AZ496" s="158"/>
      <c r="BA496" s="174"/>
    </row>
    <row r="497" spans="1:53" x14ac:dyDescent="0.15">
      <c r="A497" s="2" t="s">
        <v>23</v>
      </c>
      <c r="B497" s="38"/>
      <c r="C497" s="35"/>
      <c r="D497" s="4"/>
      <c r="E497" s="54"/>
      <c r="F497" s="64"/>
      <c r="G497" s="69"/>
      <c r="H497" s="126"/>
      <c r="I497" s="127"/>
      <c r="J497" s="4"/>
      <c r="K497" s="38"/>
      <c r="L497" s="83"/>
      <c r="M497" s="158"/>
      <c r="N497" s="174"/>
      <c r="O497" s="38"/>
      <c r="P497" s="35"/>
      <c r="Q497" s="4"/>
      <c r="R497" s="54"/>
      <c r="S497" s="64"/>
      <c r="T497" s="69"/>
      <c r="U497" s="126"/>
      <c r="V497" s="127">
        <v>1</v>
      </c>
      <c r="W497" s="4">
        <v>1</v>
      </c>
      <c r="X497" s="38">
        <v>1</v>
      </c>
      <c r="Y497" s="83"/>
      <c r="Z497" s="158"/>
      <c r="AA497" s="174"/>
      <c r="AB497" s="38"/>
      <c r="AC497" s="35"/>
      <c r="AD497" s="4"/>
      <c r="AE497" s="54"/>
      <c r="AF497" s="64"/>
      <c r="AG497" s="69"/>
      <c r="AH497" s="126"/>
      <c r="AI497" s="127"/>
      <c r="AJ497" s="4"/>
      <c r="AK497" s="38"/>
      <c r="AL497" s="83"/>
      <c r="AM497" s="158"/>
      <c r="AN497" s="174"/>
      <c r="AO497" s="38"/>
      <c r="AP497" s="35"/>
      <c r="AQ497" s="4"/>
      <c r="AR497" s="54"/>
      <c r="AS497" s="64"/>
      <c r="AT497" s="69"/>
      <c r="AU497" s="126"/>
      <c r="AV497" s="127"/>
      <c r="AW497" s="4"/>
      <c r="AX497" s="38"/>
      <c r="AY497" s="83"/>
      <c r="AZ497" s="158"/>
      <c r="BA497" s="174"/>
    </row>
    <row r="498" spans="1:53" x14ac:dyDescent="0.15">
      <c r="A498" s="2" t="s">
        <v>208</v>
      </c>
      <c r="B498" s="38"/>
      <c r="C498" s="35"/>
      <c r="D498" s="4"/>
      <c r="E498" s="54"/>
      <c r="F498" s="64"/>
      <c r="G498" s="69"/>
      <c r="H498" s="126"/>
      <c r="I498" s="127"/>
      <c r="J498" s="4"/>
      <c r="K498" s="38"/>
      <c r="L498" s="83"/>
      <c r="M498" s="158"/>
      <c r="N498" s="174"/>
      <c r="O498" s="38"/>
      <c r="P498" s="35"/>
      <c r="Q498" s="4"/>
      <c r="R498" s="54"/>
      <c r="S498" s="64"/>
      <c r="T498" s="69"/>
      <c r="U498" s="126"/>
      <c r="V498" s="127"/>
      <c r="W498" s="4"/>
      <c r="X498" s="38"/>
      <c r="Y498" s="83"/>
      <c r="Z498" s="158"/>
      <c r="AA498" s="174"/>
      <c r="AB498" s="38"/>
      <c r="AC498" s="35"/>
      <c r="AD498" s="4"/>
      <c r="AE498" s="54"/>
      <c r="AF498" s="64"/>
      <c r="AG498" s="69"/>
      <c r="AH498" s="126"/>
      <c r="AI498" s="127"/>
      <c r="AJ498" s="4"/>
      <c r="AK498" s="38"/>
      <c r="AL498" s="83"/>
      <c r="AM498" s="158"/>
      <c r="AN498" s="174"/>
      <c r="AO498" s="38"/>
      <c r="AP498" s="35"/>
      <c r="AQ498" s="4"/>
      <c r="AR498" s="54"/>
      <c r="AS498" s="64"/>
      <c r="AT498" s="69"/>
      <c r="AU498" s="126"/>
      <c r="AV498" s="127"/>
      <c r="AW498" s="4"/>
      <c r="AX498" s="38"/>
      <c r="AY498" s="83"/>
      <c r="AZ498" s="158"/>
      <c r="BA498" s="174"/>
    </row>
    <row r="499" spans="1:53" x14ac:dyDescent="0.15">
      <c r="A499" s="2" t="s">
        <v>41</v>
      </c>
      <c r="B499" s="38"/>
      <c r="C499" s="35"/>
      <c r="D499" s="4"/>
      <c r="E499" s="54"/>
      <c r="F499" s="64"/>
      <c r="G499" s="69"/>
      <c r="H499" s="126"/>
      <c r="I499" s="127"/>
      <c r="J499" s="4"/>
      <c r="K499" s="38"/>
      <c r="L499" s="83"/>
      <c r="M499" s="158"/>
      <c r="N499" s="174"/>
      <c r="O499" s="38"/>
      <c r="P499" s="35"/>
      <c r="Q499" s="4"/>
      <c r="R499" s="54"/>
      <c r="S499" s="64"/>
      <c r="T499" s="69"/>
      <c r="U499" s="126"/>
      <c r="V499" s="127"/>
      <c r="W499" s="4"/>
      <c r="X499" s="38"/>
      <c r="Y499" s="83"/>
      <c r="Z499" s="158"/>
      <c r="AA499" s="174">
        <v>1</v>
      </c>
      <c r="AB499" s="38"/>
      <c r="AC499" s="35"/>
      <c r="AD499" s="4"/>
      <c r="AE499" s="54"/>
      <c r="AF499" s="64"/>
      <c r="AG499" s="69"/>
      <c r="AH499" s="126"/>
      <c r="AI499" s="127"/>
      <c r="AJ499" s="4"/>
      <c r="AK499" s="38"/>
      <c r="AL499" s="83"/>
      <c r="AM499" s="158"/>
      <c r="AN499" s="174"/>
      <c r="AO499" s="38"/>
      <c r="AP499" s="35"/>
      <c r="AQ499" s="4"/>
      <c r="AR499" s="54"/>
      <c r="AS499" s="64"/>
      <c r="AT499" s="69"/>
      <c r="AU499" s="126"/>
      <c r="AV499" s="127"/>
      <c r="AW499" s="4"/>
      <c r="AX499" s="38"/>
      <c r="AY499" s="83"/>
      <c r="AZ499" s="158"/>
      <c r="BA499" s="174"/>
    </row>
    <row r="500" spans="1:53" x14ac:dyDescent="0.15">
      <c r="A500" s="5" t="s">
        <v>95</v>
      </c>
      <c r="B500" s="38"/>
      <c r="C500" s="35"/>
      <c r="D500" s="4"/>
      <c r="E500" s="54"/>
      <c r="F500" s="64"/>
      <c r="G500" s="69"/>
      <c r="H500" s="126"/>
      <c r="I500" s="127"/>
      <c r="J500" s="4"/>
      <c r="K500" s="38"/>
      <c r="L500" s="83"/>
      <c r="M500" s="158"/>
      <c r="N500" s="174"/>
      <c r="O500" s="38"/>
      <c r="P500" s="35">
        <v>1</v>
      </c>
      <c r="Q500" s="4"/>
      <c r="R500" s="54"/>
      <c r="S500" s="64"/>
      <c r="T500" s="69"/>
      <c r="U500" s="126"/>
      <c r="V500" s="127"/>
      <c r="W500" s="4"/>
      <c r="X500" s="38"/>
      <c r="Y500" s="83"/>
      <c r="Z500" s="158"/>
      <c r="AA500" s="174"/>
      <c r="AB500" s="38"/>
      <c r="AC500" s="35"/>
      <c r="AD500" s="4"/>
      <c r="AE500" s="54"/>
      <c r="AF500" s="64"/>
      <c r="AG500" s="69"/>
      <c r="AH500" s="126"/>
      <c r="AI500" s="127"/>
      <c r="AJ500" s="4"/>
      <c r="AK500" s="38"/>
      <c r="AL500" s="83"/>
      <c r="AM500" s="158"/>
      <c r="AN500" s="174"/>
      <c r="AO500" s="38"/>
      <c r="AP500" s="35"/>
      <c r="AQ500" s="4"/>
      <c r="AR500" s="54"/>
      <c r="AS500" s="64"/>
      <c r="AT500" s="69"/>
      <c r="AU500" s="126"/>
      <c r="AV500" s="127"/>
      <c r="AW500" s="4"/>
      <c r="AX500" s="38"/>
      <c r="AY500" s="83"/>
      <c r="AZ500" s="158"/>
      <c r="BA500" s="174"/>
    </row>
    <row r="501" spans="1:53" x14ac:dyDescent="0.15">
      <c r="A501" s="5" t="s">
        <v>111</v>
      </c>
      <c r="B501" s="38"/>
      <c r="C501" s="35"/>
      <c r="D501" s="4">
        <v>2</v>
      </c>
      <c r="E501" s="54">
        <v>2</v>
      </c>
      <c r="F501" s="64">
        <v>2</v>
      </c>
      <c r="G501" s="69">
        <v>2</v>
      </c>
      <c r="H501" s="126">
        <v>3</v>
      </c>
      <c r="I501" s="127">
        <v>2</v>
      </c>
      <c r="J501" s="4">
        <v>1</v>
      </c>
      <c r="K501" s="38">
        <v>1</v>
      </c>
      <c r="L501" s="83">
        <v>2</v>
      </c>
      <c r="M501" s="158">
        <v>1</v>
      </c>
      <c r="N501" s="174">
        <v>1</v>
      </c>
      <c r="O501" s="38"/>
      <c r="P501" s="35"/>
      <c r="Q501" s="4">
        <v>3</v>
      </c>
      <c r="R501" s="54">
        <v>2</v>
      </c>
      <c r="S501" s="64">
        <v>1</v>
      </c>
      <c r="T501" s="69">
        <v>1</v>
      </c>
      <c r="U501" s="126">
        <v>2</v>
      </c>
      <c r="V501" s="127">
        <v>1</v>
      </c>
      <c r="W501" s="4">
        <v>1</v>
      </c>
      <c r="X501" s="38">
        <v>1</v>
      </c>
      <c r="Y501" s="83">
        <v>2</v>
      </c>
      <c r="Z501" s="158">
        <v>1</v>
      </c>
      <c r="AA501" s="174">
        <v>1</v>
      </c>
      <c r="AB501" s="38"/>
      <c r="AC501" s="35"/>
      <c r="AD501" s="4"/>
      <c r="AE501" s="54"/>
      <c r="AF501" s="64"/>
      <c r="AG501" s="69"/>
      <c r="AH501" s="126"/>
      <c r="AI501" s="127"/>
      <c r="AJ501" s="4"/>
      <c r="AK501" s="38"/>
      <c r="AL501" s="83"/>
      <c r="AM501" s="158"/>
      <c r="AN501" s="174"/>
      <c r="AO501" s="38"/>
      <c r="AP501" s="35"/>
      <c r="AQ501" s="4"/>
      <c r="AR501" s="54"/>
      <c r="AS501" s="64"/>
      <c r="AT501" s="69"/>
      <c r="AU501" s="126"/>
      <c r="AV501" s="127"/>
      <c r="AW501" s="4"/>
      <c r="AX501" s="38"/>
      <c r="AY501" s="83"/>
      <c r="AZ501" s="158"/>
      <c r="BA501" s="174"/>
    </row>
    <row r="502" spans="1:53" x14ac:dyDescent="0.15">
      <c r="A502" s="2" t="s">
        <v>7</v>
      </c>
      <c r="B502" s="38"/>
      <c r="C502" s="35"/>
      <c r="D502" s="4"/>
      <c r="E502" s="54"/>
      <c r="F502" s="64"/>
      <c r="G502" s="69"/>
      <c r="H502" s="126"/>
      <c r="I502" s="127"/>
      <c r="J502" s="4"/>
      <c r="K502" s="38"/>
      <c r="L502" s="83"/>
      <c r="M502" s="158"/>
      <c r="N502" s="174"/>
      <c r="O502" s="38"/>
      <c r="P502" s="35"/>
      <c r="Q502" s="4"/>
      <c r="R502" s="54"/>
      <c r="S502" s="64"/>
      <c r="T502" s="69"/>
      <c r="U502" s="126"/>
      <c r="V502" s="127"/>
      <c r="W502" s="4"/>
      <c r="X502" s="38"/>
      <c r="Y502" s="83"/>
      <c r="Z502" s="158"/>
      <c r="AA502" s="174"/>
      <c r="AB502" s="38"/>
      <c r="AC502" s="35"/>
      <c r="AD502" s="4"/>
      <c r="AE502" s="54"/>
      <c r="AF502" s="64"/>
      <c r="AG502" s="69"/>
      <c r="AH502" s="126"/>
      <c r="AI502" s="127"/>
      <c r="AJ502" s="4"/>
      <c r="AK502" s="38"/>
      <c r="AL502" s="83"/>
      <c r="AM502" s="158"/>
      <c r="AN502" s="174"/>
      <c r="AO502" s="38"/>
      <c r="AP502" s="35"/>
      <c r="AQ502" s="4"/>
      <c r="AR502" s="54"/>
      <c r="AS502" s="64"/>
      <c r="AT502" s="69"/>
      <c r="AU502" s="126"/>
      <c r="AV502" s="127"/>
      <c r="AW502" s="4"/>
      <c r="AX502" s="38"/>
      <c r="AY502" s="83"/>
      <c r="AZ502" s="158"/>
      <c r="BA502" s="174"/>
    </row>
    <row r="503" spans="1:53" x14ac:dyDescent="0.15">
      <c r="A503" s="2" t="s">
        <v>32</v>
      </c>
      <c r="B503" s="38"/>
      <c r="C503" s="35"/>
      <c r="D503" s="4"/>
      <c r="E503" s="54"/>
      <c r="F503" s="64"/>
      <c r="G503" s="69"/>
      <c r="H503" s="126"/>
      <c r="I503" s="127"/>
      <c r="J503" s="4"/>
      <c r="K503" s="38"/>
      <c r="L503" s="83"/>
      <c r="M503" s="158"/>
      <c r="N503" s="174"/>
      <c r="O503" s="38"/>
      <c r="P503" s="35"/>
      <c r="Q503" s="4"/>
      <c r="R503" s="54"/>
      <c r="S503" s="64"/>
      <c r="T503" s="69"/>
      <c r="U503" s="126"/>
      <c r="V503" s="127"/>
      <c r="W503" s="4"/>
      <c r="X503" s="38"/>
      <c r="Y503" s="83"/>
      <c r="Z503" s="158"/>
      <c r="AA503" s="174"/>
      <c r="AB503" s="38"/>
      <c r="AC503" s="35"/>
      <c r="AD503" s="4"/>
      <c r="AE503" s="54"/>
      <c r="AF503" s="64"/>
      <c r="AG503" s="69"/>
      <c r="AH503" s="126"/>
      <c r="AI503" s="127"/>
      <c r="AJ503" s="4"/>
      <c r="AK503" s="38"/>
      <c r="AL503" s="83"/>
      <c r="AM503" s="158"/>
      <c r="AN503" s="174"/>
      <c r="AO503" s="38"/>
      <c r="AP503" s="35"/>
      <c r="AQ503" s="4"/>
      <c r="AR503" s="54"/>
      <c r="AS503" s="64"/>
      <c r="AT503" s="69"/>
      <c r="AU503" s="126"/>
      <c r="AV503" s="127"/>
      <c r="AW503" s="4"/>
      <c r="AX503" s="38"/>
      <c r="AY503" s="83"/>
      <c r="AZ503" s="158"/>
      <c r="BA503" s="174"/>
    </row>
    <row r="504" spans="1:53" x14ac:dyDescent="0.15">
      <c r="A504" s="5" t="s">
        <v>72</v>
      </c>
      <c r="B504" s="38"/>
      <c r="C504" s="35"/>
      <c r="D504" s="4"/>
      <c r="E504" s="54"/>
      <c r="F504" s="64"/>
      <c r="G504" s="69"/>
      <c r="H504" s="126"/>
      <c r="I504" s="127"/>
      <c r="J504" s="4"/>
      <c r="K504" s="38"/>
      <c r="L504" s="83"/>
      <c r="M504" s="158"/>
      <c r="N504" s="174"/>
      <c r="O504" s="38"/>
      <c r="P504" s="35"/>
      <c r="Q504" s="4"/>
      <c r="R504" s="54"/>
      <c r="S504" s="64"/>
      <c r="T504" s="69"/>
      <c r="U504" s="126"/>
      <c r="V504" s="127"/>
      <c r="W504" s="4"/>
      <c r="X504" s="38"/>
      <c r="Y504" s="83"/>
      <c r="Z504" s="158"/>
      <c r="AA504" s="174"/>
      <c r="AB504" s="38"/>
      <c r="AC504" s="35"/>
      <c r="AD504" s="4"/>
      <c r="AE504" s="54"/>
      <c r="AF504" s="64"/>
      <c r="AG504" s="69"/>
      <c r="AH504" s="126"/>
      <c r="AI504" s="127"/>
      <c r="AJ504" s="4"/>
      <c r="AK504" s="38"/>
      <c r="AL504" s="83"/>
      <c r="AM504" s="158"/>
      <c r="AN504" s="174"/>
      <c r="AO504" s="38"/>
      <c r="AP504" s="35"/>
      <c r="AQ504" s="4"/>
      <c r="AR504" s="54">
        <v>1</v>
      </c>
      <c r="AS504" s="64"/>
      <c r="AT504" s="69"/>
      <c r="AU504" s="126"/>
      <c r="AV504" s="127"/>
      <c r="AW504" s="4"/>
      <c r="AX504" s="38"/>
      <c r="AY504" s="83"/>
      <c r="AZ504" s="158"/>
      <c r="BA504" s="174"/>
    </row>
    <row r="505" spans="1:53" x14ac:dyDescent="0.15">
      <c r="A505" s="5" t="s">
        <v>61</v>
      </c>
      <c r="B505" s="38"/>
      <c r="C505" s="35"/>
      <c r="D505" s="4"/>
      <c r="E505" s="54"/>
      <c r="F505" s="64"/>
      <c r="G505" s="69"/>
      <c r="H505" s="126"/>
      <c r="I505" s="127"/>
      <c r="J505" s="4"/>
      <c r="K505" s="38"/>
      <c r="L505" s="83"/>
      <c r="M505" s="158"/>
      <c r="N505" s="174"/>
      <c r="O505" s="38"/>
      <c r="P505" s="35"/>
      <c r="Q505" s="4"/>
      <c r="R505" s="54"/>
      <c r="S505" s="64"/>
      <c r="T505" s="69"/>
      <c r="U505" s="126"/>
      <c r="V505" s="127"/>
      <c r="W505" s="4"/>
      <c r="X505" s="38"/>
      <c r="Y505" s="83"/>
      <c r="Z505" s="158"/>
      <c r="AA505" s="174"/>
      <c r="AB505" s="38"/>
      <c r="AC505" s="35"/>
      <c r="AD505" s="4"/>
      <c r="AE505" s="54"/>
      <c r="AF505" s="64"/>
      <c r="AG505" s="69"/>
      <c r="AH505" s="126"/>
      <c r="AI505" s="127"/>
      <c r="AJ505" s="4"/>
      <c r="AK505" s="38"/>
      <c r="AL505" s="83"/>
      <c r="AM505" s="158"/>
      <c r="AN505" s="174"/>
      <c r="AO505" s="38"/>
      <c r="AP505" s="35"/>
      <c r="AQ505" s="4"/>
      <c r="AR505" s="54"/>
      <c r="AS505" s="64"/>
      <c r="AT505" s="69"/>
      <c r="AU505" s="126"/>
      <c r="AV505" s="127"/>
      <c r="AW505" s="4"/>
      <c r="AX505" s="38"/>
      <c r="AY505" s="83"/>
      <c r="AZ505" s="158"/>
      <c r="BA505" s="174"/>
    </row>
    <row r="506" spans="1:53" x14ac:dyDescent="0.15">
      <c r="A506" s="5" t="s">
        <v>42</v>
      </c>
      <c r="B506" s="38"/>
      <c r="C506" s="35"/>
      <c r="D506" s="4"/>
      <c r="E506" s="54"/>
      <c r="F506" s="64"/>
      <c r="G506" s="69"/>
      <c r="H506" s="126"/>
      <c r="I506" s="127"/>
      <c r="J506" s="4"/>
      <c r="K506" s="38"/>
      <c r="L506" s="83"/>
      <c r="M506" s="158"/>
      <c r="N506" s="174"/>
      <c r="O506" s="38"/>
      <c r="P506" s="35"/>
      <c r="Q506" s="4"/>
      <c r="R506" s="54"/>
      <c r="S506" s="64"/>
      <c r="T506" s="69"/>
      <c r="U506" s="126"/>
      <c r="V506" s="127"/>
      <c r="W506" s="4"/>
      <c r="X506" s="38"/>
      <c r="Y506" s="83"/>
      <c r="Z506" s="158"/>
      <c r="AA506" s="174"/>
      <c r="AB506" s="38"/>
      <c r="AC506" s="35"/>
      <c r="AD506" s="4"/>
      <c r="AE506" s="54"/>
      <c r="AF506" s="64"/>
      <c r="AG506" s="69"/>
      <c r="AH506" s="126"/>
      <c r="AI506" s="127"/>
      <c r="AJ506" s="4"/>
      <c r="AK506" s="38"/>
      <c r="AL506" s="83"/>
      <c r="AM506" s="158"/>
      <c r="AN506" s="174"/>
      <c r="AO506" s="38"/>
      <c r="AP506" s="35"/>
      <c r="AQ506" s="4"/>
      <c r="AR506" s="54"/>
      <c r="AS506" s="64"/>
      <c r="AT506" s="69"/>
      <c r="AU506" s="126"/>
      <c r="AV506" s="127"/>
      <c r="AW506" s="4"/>
      <c r="AX506" s="38"/>
      <c r="AY506" s="83"/>
      <c r="AZ506" s="158"/>
      <c r="BA506" s="174"/>
    </row>
    <row r="507" spans="1:53" x14ac:dyDescent="0.15">
      <c r="A507" s="5" t="s">
        <v>205</v>
      </c>
      <c r="B507" s="38"/>
      <c r="C507" s="35"/>
      <c r="D507" s="4"/>
      <c r="E507" s="54"/>
      <c r="F507" s="64"/>
      <c r="G507" s="69"/>
      <c r="H507" s="126"/>
      <c r="I507" s="127"/>
      <c r="J507" s="4"/>
      <c r="K507" s="38"/>
      <c r="L507" s="83"/>
      <c r="M507" s="158"/>
      <c r="N507" s="174"/>
      <c r="O507" s="38"/>
      <c r="P507" s="35"/>
      <c r="Q507" s="4"/>
      <c r="R507" s="54"/>
      <c r="S507" s="64"/>
      <c r="T507" s="69"/>
      <c r="U507" s="126"/>
      <c r="V507" s="127"/>
      <c r="W507" s="4"/>
      <c r="X507" s="38"/>
      <c r="Y507" s="83"/>
      <c r="Z507" s="158"/>
      <c r="AA507" s="174"/>
      <c r="AB507" s="38"/>
      <c r="AC507" s="35"/>
      <c r="AD507" s="4"/>
      <c r="AE507" s="54"/>
      <c r="AF507" s="64"/>
      <c r="AG507" s="69"/>
      <c r="AH507" s="126"/>
      <c r="AI507" s="127"/>
      <c r="AJ507" s="4"/>
      <c r="AK507" s="38"/>
      <c r="AL507" s="83"/>
      <c r="AM507" s="158"/>
      <c r="AN507" s="174"/>
      <c r="AO507" s="38"/>
      <c r="AP507" s="35"/>
      <c r="AQ507" s="4"/>
      <c r="AR507" s="54"/>
      <c r="AS507" s="64"/>
      <c r="AT507" s="69"/>
      <c r="AU507" s="126"/>
      <c r="AV507" s="127"/>
      <c r="AW507" s="4"/>
      <c r="AX507" s="38"/>
      <c r="AY507" s="83"/>
      <c r="AZ507" s="158"/>
      <c r="BA507" s="174"/>
    </row>
    <row r="508" spans="1:53" x14ac:dyDescent="0.15">
      <c r="A508" s="2" t="s">
        <v>213</v>
      </c>
      <c r="B508" s="38"/>
      <c r="C508" s="35"/>
      <c r="D508" s="4"/>
      <c r="E508" s="54"/>
      <c r="F508" s="64"/>
      <c r="G508" s="69"/>
      <c r="H508" s="126"/>
      <c r="I508" s="127"/>
      <c r="J508" s="4"/>
      <c r="K508" s="38"/>
      <c r="L508" s="83"/>
      <c r="M508" s="158"/>
      <c r="N508" s="174"/>
      <c r="O508" s="38"/>
      <c r="P508" s="35"/>
      <c r="Q508" s="4"/>
      <c r="R508" s="54"/>
      <c r="S508" s="64"/>
      <c r="T508" s="69"/>
      <c r="U508" s="126"/>
      <c r="V508" s="127"/>
      <c r="W508" s="4"/>
      <c r="X508" s="38"/>
      <c r="Y508" s="83"/>
      <c r="Z508" s="158"/>
      <c r="AA508" s="174"/>
      <c r="AB508" s="38"/>
      <c r="AC508" s="35"/>
      <c r="AD508" s="4"/>
      <c r="AE508" s="54"/>
      <c r="AF508" s="64"/>
      <c r="AG508" s="69"/>
      <c r="AH508" s="126"/>
      <c r="AI508" s="127"/>
      <c r="AJ508" s="4"/>
      <c r="AK508" s="38"/>
      <c r="AL508" s="83"/>
      <c r="AM508" s="158"/>
      <c r="AN508" s="174"/>
      <c r="AO508" s="38"/>
      <c r="AP508" s="35"/>
      <c r="AQ508" s="4"/>
      <c r="AR508" s="54"/>
      <c r="AS508" s="64"/>
      <c r="AT508" s="69"/>
      <c r="AU508" s="126"/>
      <c r="AV508" s="127"/>
      <c r="AW508" s="4"/>
      <c r="AX508" s="38"/>
      <c r="AY508" s="83"/>
      <c r="AZ508" s="158"/>
      <c r="BA508" s="174"/>
    </row>
    <row r="509" spans="1:53" x14ac:dyDescent="0.15">
      <c r="A509" s="5" t="s">
        <v>96</v>
      </c>
      <c r="B509" s="38"/>
      <c r="C509" s="35"/>
      <c r="D509" s="4"/>
      <c r="E509" s="54"/>
      <c r="F509" s="64"/>
      <c r="G509" s="69"/>
      <c r="H509" s="126"/>
      <c r="I509" s="127"/>
      <c r="J509" s="4"/>
      <c r="K509" s="38"/>
      <c r="L509" s="83"/>
      <c r="M509" s="158"/>
      <c r="N509" s="174"/>
      <c r="O509" s="38"/>
      <c r="P509" s="35"/>
      <c r="Q509" s="4"/>
      <c r="R509" s="54"/>
      <c r="S509" s="64"/>
      <c r="T509" s="69"/>
      <c r="U509" s="126"/>
      <c r="V509" s="127"/>
      <c r="W509" s="4"/>
      <c r="X509" s="38"/>
      <c r="Y509" s="83"/>
      <c r="Z509" s="158"/>
      <c r="AA509" s="174"/>
      <c r="AB509" s="38"/>
      <c r="AC509" s="35"/>
      <c r="AD509" s="4"/>
      <c r="AE509" s="54"/>
      <c r="AF509" s="64"/>
      <c r="AG509" s="69"/>
      <c r="AH509" s="126"/>
      <c r="AI509" s="127"/>
      <c r="AJ509" s="4"/>
      <c r="AK509" s="38"/>
      <c r="AL509" s="83"/>
      <c r="AM509" s="158"/>
      <c r="AN509" s="174"/>
      <c r="AO509" s="38"/>
      <c r="AP509" s="35"/>
      <c r="AQ509" s="4"/>
      <c r="AR509" s="54"/>
      <c r="AS509" s="64"/>
      <c r="AT509" s="69"/>
      <c r="AU509" s="126"/>
      <c r="AV509" s="127"/>
      <c r="AW509" s="4"/>
      <c r="AX509" s="38"/>
      <c r="AY509" s="83"/>
      <c r="AZ509" s="158"/>
      <c r="BA509" s="174"/>
    </row>
    <row r="510" spans="1:53" x14ac:dyDescent="0.15">
      <c r="A510" s="2" t="s">
        <v>175</v>
      </c>
      <c r="B510" s="38"/>
      <c r="C510" s="35"/>
      <c r="D510" s="4"/>
      <c r="E510" s="54"/>
      <c r="F510" s="64"/>
      <c r="G510" s="69"/>
      <c r="H510" s="126"/>
      <c r="I510" s="127"/>
      <c r="J510" s="4"/>
      <c r="K510" s="38"/>
      <c r="L510" s="83"/>
      <c r="M510" s="158"/>
      <c r="N510" s="174"/>
      <c r="O510" s="38"/>
      <c r="P510" s="35"/>
      <c r="Q510" s="4"/>
      <c r="R510" s="54"/>
      <c r="S510" s="64"/>
      <c r="T510" s="69"/>
      <c r="U510" s="126"/>
      <c r="V510" s="127"/>
      <c r="W510" s="4"/>
      <c r="X510" s="38"/>
      <c r="Y510" s="83"/>
      <c r="Z510" s="158"/>
      <c r="AA510" s="174"/>
      <c r="AB510" s="38"/>
      <c r="AC510" s="35"/>
      <c r="AD510" s="4"/>
      <c r="AE510" s="54"/>
      <c r="AF510" s="64"/>
      <c r="AG510" s="69"/>
      <c r="AH510" s="126"/>
      <c r="AI510" s="127"/>
      <c r="AJ510" s="4"/>
      <c r="AK510" s="38"/>
      <c r="AL510" s="83"/>
      <c r="AM510" s="158"/>
      <c r="AN510" s="174"/>
      <c r="AO510" s="38"/>
      <c r="AP510" s="35"/>
      <c r="AQ510" s="4"/>
      <c r="AR510" s="54"/>
      <c r="AS510" s="64"/>
      <c r="AT510" s="69"/>
      <c r="AU510" s="126"/>
      <c r="AV510" s="127"/>
      <c r="AW510" s="4"/>
      <c r="AX510" s="38"/>
      <c r="AY510" s="83"/>
      <c r="AZ510" s="158"/>
      <c r="BA510" s="174"/>
    </row>
    <row r="511" spans="1:53" x14ac:dyDescent="0.15">
      <c r="A511" s="2" t="s">
        <v>24</v>
      </c>
      <c r="B511" s="38"/>
      <c r="C511" s="35"/>
      <c r="D511" s="4"/>
      <c r="E511" s="54"/>
      <c r="F511" s="64"/>
      <c r="G511" s="69"/>
      <c r="H511" s="126"/>
      <c r="I511" s="127"/>
      <c r="J511" s="4"/>
      <c r="K511" s="38">
        <v>1</v>
      </c>
      <c r="L511" s="83"/>
      <c r="M511" s="158"/>
      <c r="N511" s="174"/>
      <c r="O511" s="38"/>
      <c r="P511" s="35"/>
      <c r="Q511" s="4"/>
      <c r="R511" s="54"/>
      <c r="S511" s="64"/>
      <c r="T511" s="69"/>
      <c r="U511" s="126"/>
      <c r="V511" s="127"/>
      <c r="W511" s="4"/>
      <c r="X511" s="38"/>
      <c r="Y511" s="83"/>
      <c r="Z511" s="158"/>
      <c r="AA511" s="174"/>
      <c r="AB511" s="38"/>
      <c r="AC511" s="35"/>
      <c r="AD511" s="4"/>
      <c r="AE511" s="54"/>
      <c r="AF511" s="64"/>
      <c r="AG511" s="69"/>
      <c r="AH511" s="126"/>
      <c r="AI511" s="127"/>
      <c r="AJ511" s="4"/>
      <c r="AK511" s="38"/>
      <c r="AL511" s="83"/>
      <c r="AM511" s="158"/>
      <c r="AN511" s="174"/>
      <c r="AO511" s="38"/>
      <c r="AP511" s="35"/>
      <c r="AQ511" s="4"/>
      <c r="AR511" s="54"/>
      <c r="AS511" s="64"/>
      <c r="AT511" s="69"/>
      <c r="AU511" s="126"/>
      <c r="AV511" s="127"/>
      <c r="AW511" s="4"/>
      <c r="AX511" s="38"/>
      <c r="AY511" s="83"/>
      <c r="AZ511" s="158"/>
      <c r="BA511" s="174"/>
    </row>
    <row r="512" spans="1:53" x14ac:dyDescent="0.15">
      <c r="A512" s="2" t="s">
        <v>189</v>
      </c>
      <c r="B512" s="38"/>
      <c r="C512" s="35">
        <v>1</v>
      </c>
      <c r="D512" s="4"/>
      <c r="E512" s="54">
        <v>1</v>
      </c>
      <c r="F512" s="64">
        <v>1</v>
      </c>
      <c r="G512" s="69">
        <v>1</v>
      </c>
      <c r="H512" s="126">
        <v>1</v>
      </c>
      <c r="I512" s="127">
        <v>2</v>
      </c>
      <c r="J512" s="4">
        <v>2</v>
      </c>
      <c r="K512" s="38">
        <v>1</v>
      </c>
      <c r="L512" s="83">
        <v>1</v>
      </c>
      <c r="M512" s="158">
        <v>1</v>
      </c>
      <c r="N512" s="174">
        <v>1</v>
      </c>
      <c r="O512" s="38"/>
      <c r="P512" s="35">
        <v>1</v>
      </c>
      <c r="Q512" s="4"/>
      <c r="R512" s="54">
        <v>1</v>
      </c>
      <c r="S512" s="64">
        <v>1</v>
      </c>
      <c r="T512" s="69">
        <v>1</v>
      </c>
      <c r="U512" s="126">
        <v>1</v>
      </c>
      <c r="V512" s="127">
        <v>1</v>
      </c>
      <c r="W512" s="4">
        <v>1</v>
      </c>
      <c r="X512" s="38">
        <v>1</v>
      </c>
      <c r="Y512" s="83">
        <v>1</v>
      </c>
      <c r="Z512" s="158">
        <v>1</v>
      </c>
      <c r="AA512" s="174">
        <v>1</v>
      </c>
      <c r="AB512" s="38"/>
      <c r="AC512" s="35"/>
      <c r="AD512" s="4"/>
      <c r="AE512" s="54"/>
      <c r="AF512" s="64"/>
      <c r="AG512" s="69"/>
      <c r="AH512" s="126"/>
      <c r="AI512" s="127"/>
      <c r="AJ512" s="4"/>
      <c r="AK512" s="38"/>
      <c r="AL512" s="83"/>
      <c r="AM512" s="158"/>
      <c r="AN512" s="174"/>
      <c r="AO512" s="38"/>
      <c r="AP512" s="35"/>
      <c r="AQ512" s="4"/>
      <c r="AR512" s="54"/>
      <c r="AS512" s="64"/>
      <c r="AT512" s="69"/>
      <c r="AU512" s="126"/>
      <c r="AV512" s="127"/>
      <c r="AW512" s="4"/>
      <c r="AX512" s="38"/>
      <c r="AY512" s="83"/>
      <c r="AZ512" s="158"/>
      <c r="BA512" s="174"/>
    </row>
    <row r="513" spans="1:53" x14ac:dyDescent="0.15">
      <c r="A513" s="196" t="s">
        <v>202</v>
      </c>
      <c r="B513" s="205"/>
      <c r="C513" s="206"/>
      <c r="D513" s="26"/>
      <c r="E513" s="199"/>
      <c r="F513" s="200"/>
      <c r="G513" s="201"/>
      <c r="H513" s="207"/>
      <c r="I513" s="202"/>
      <c r="J513" s="26"/>
      <c r="K513" s="205"/>
      <c r="L513" s="208"/>
      <c r="M513" s="209"/>
      <c r="N513" s="210"/>
      <c r="O513" s="205"/>
      <c r="P513" s="206"/>
      <c r="Q513" s="26"/>
      <c r="R513" s="199"/>
      <c r="S513" s="200"/>
      <c r="T513" s="201"/>
      <c r="U513" s="207"/>
      <c r="V513" s="202"/>
      <c r="W513" s="26"/>
      <c r="X513" s="205"/>
      <c r="Y513" s="208"/>
      <c r="Z513" s="209"/>
      <c r="AA513" s="210"/>
      <c r="AB513" s="205"/>
      <c r="AC513" s="206"/>
      <c r="AD513" s="26"/>
      <c r="AE513" s="199"/>
      <c r="AF513" s="200"/>
      <c r="AG513" s="201"/>
      <c r="AH513" s="207"/>
      <c r="AI513" s="202"/>
      <c r="AJ513" s="26"/>
      <c r="AK513" s="205"/>
      <c r="AL513" s="208"/>
      <c r="AM513" s="209"/>
      <c r="AN513" s="210"/>
      <c r="AO513" s="205"/>
      <c r="AP513" s="206"/>
      <c r="AQ513" s="26"/>
      <c r="AR513" s="199"/>
      <c r="AS513" s="200"/>
      <c r="AT513" s="201"/>
      <c r="AU513" s="207"/>
      <c r="AV513" s="202"/>
      <c r="AW513" s="26"/>
      <c r="AX513" s="205"/>
      <c r="AY513" s="208"/>
      <c r="AZ513" s="209"/>
      <c r="BA513" s="210"/>
    </row>
    <row r="517" spans="1:53" ht="13.5" customHeight="1" x14ac:dyDescent="0.15"/>
  </sheetData>
  <mergeCells count="104">
    <mergeCell ref="AO432:BA432"/>
    <mergeCell ref="B433:N433"/>
    <mergeCell ref="O433:AA433"/>
    <mergeCell ref="AB433:AN433"/>
    <mergeCell ref="AO433:BA433"/>
    <mergeCell ref="AL260:AQ260"/>
    <mergeCell ref="AR260:AS260"/>
    <mergeCell ref="AT260:AY260"/>
    <mergeCell ref="AZ260:BE260"/>
    <mergeCell ref="AM346:AY346"/>
    <mergeCell ref="B347:G347"/>
    <mergeCell ref="H347:M347"/>
    <mergeCell ref="N347:S347"/>
    <mergeCell ref="T347:Y347"/>
    <mergeCell ref="Z347:AE347"/>
    <mergeCell ref="AF347:AK347"/>
    <mergeCell ref="AM347:AY347"/>
    <mergeCell ref="BG89:BL89"/>
    <mergeCell ref="B175:G175"/>
    <mergeCell ref="H175:M175"/>
    <mergeCell ref="N175:S175"/>
    <mergeCell ref="T175:Y175"/>
    <mergeCell ref="Z175:AE175"/>
    <mergeCell ref="AF175:AK175"/>
    <mergeCell ref="AL175:AO175"/>
    <mergeCell ref="AP175:AU175"/>
    <mergeCell ref="AV175:BA175"/>
    <mergeCell ref="BB175:BG175"/>
    <mergeCell ref="BH175:BM175"/>
    <mergeCell ref="B89:H89"/>
    <mergeCell ref="I89:O89"/>
    <mergeCell ref="P89:V89"/>
    <mergeCell ref="W89:AB89"/>
    <mergeCell ref="AC89:AH89"/>
    <mergeCell ref="AI89:AN89"/>
    <mergeCell ref="AO89:AT89"/>
    <mergeCell ref="AU89:AZ89"/>
    <mergeCell ref="BA89:BF89"/>
    <mergeCell ref="AR2:AX2"/>
    <mergeCell ref="AY2:BE2"/>
    <mergeCell ref="BF2:BL2"/>
    <mergeCell ref="BM2:BS2"/>
    <mergeCell ref="B3:H3"/>
    <mergeCell ref="I3:O3"/>
    <mergeCell ref="P3:V3"/>
    <mergeCell ref="W3:AC3"/>
    <mergeCell ref="AD3:AJ3"/>
    <mergeCell ref="AK3:AQ3"/>
    <mergeCell ref="B2:H2"/>
    <mergeCell ref="I2:O2"/>
    <mergeCell ref="P2:V2"/>
    <mergeCell ref="W2:AC2"/>
    <mergeCell ref="AD2:AJ2"/>
    <mergeCell ref="AK2:AQ2"/>
    <mergeCell ref="AR3:AX3"/>
    <mergeCell ref="AY3:BE3"/>
    <mergeCell ref="BF3:BL3"/>
    <mergeCell ref="BM3:BS3"/>
    <mergeCell ref="B88:H88"/>
    <mergeCell ref="I88:O88"/>
    <mergeCell ref="P88:V88"/>
    <mergeCell ref="W88:AB88"/>
    <mergeCell ref="AC88:AH88"/>
    <mergeCell ref="AI88:AN88"/>
    <mergeCell ref="B174:G174"/>
    <mergeCell ref="H174:M174"/>
    <mergeCell ref="N174:S174"/>
    <mergeCell ref="T174:Y174"/>
    <mergeCell ref="Z174:AE174"/>
    <mergeCell ref="AO88:AT88"/>
    <mergeCell ref="AU88:AZ88"/>
    <mergeCell ref="BA88:BF88"/>
    <mergeCell ref="BG88:BL88"/>
    <mergeCell ref="AF174:AK174"/>
    <mergeCell ref="AL174:AO174"/>
    <mergeCell ref="AP174:AU174"/>
    <mergeCell ref="AV174:BA174"/>
    <mergeCell ref="BB174:BG174"/>
    <mergeCell ref="BH174:BM174"/>
    <mergeCell ref="AZ259:BE259"/>
    <mergeCell ref="B346:G346"/>
    <mergeCell ref="H346:M346"/>
    <mergeCell ref="N346:S346"/>
    <mergeCell ref="T346:Y346"/>
    <mergeCell ref="Z346:AE346"/>
    <mergeCell ref="AF346:AK346"/>
    <mergeCell ref="B259:G259"/>
    <mergeCell ref="H259:M259"/>
    <mergeCell ref="N259:S259"/>
    <mergeCell ref="T259:Y259"/>
    <mergeCell ref="Z259:AE259"/>
    <mergeCell ref="AF259:AK259"/>
    <mergeCell ref="AL259:AQ259"/>
    <mergeCell ref="AR259:AS259"/>
    <mergeCell ref="AT259:AY259"/>
    <mergeCell ref="B432:N432"/>
    <mergeCell ref="O432:AA432"/>
    <mergeCell ref="AB432:AN432"/>
    <mergeCell ref="B260:G260"/>
    <mergeCell ref="H260:M260"/>
    <mergeCell ref="N260:S260"/>
    <mergeCell ref="T260:Y260"/>
    <mergeCell ref="Z260:AE260"/>
    <mergeCell ref="AF260:AK260"/>
  </mergeCells>
  <phoneticPr fontId="1"/>
  <conditionalFormatting sqref="AQ427:AT42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13:I5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13:V5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513:AI51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504:AQ512 AP436:AX438 AS504:AX512 AR505:AR510 AP439:AR439 AP440:AX50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513:AV5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Y436:BA438 AY440:BA51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Z513:BA5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EA32-F178-4BE5-A79B-417C9BE4006E}">
  <dimension ref="A1:K107"/>
  <sheetViews>
    <sheetView zoomScale="90" zoomScaleNormal="90" workbookViewId="0">
      <selection activeCell="H4" sqref="H4"/>
    </sheetView>
  </sheetViews>
  <sheetFormatPr defaultRowHeight="13.5" x14ac:dyDescent="0.15"/>
  <cols>
    <col min="1" max="1" width="26.375" customWidth="1"/>
    <col min="2" max="2" width="10.5" customWidth="1"/>
    <col min="3" max="3" width="13.25" customWidth="1"/>
    <col min="4" max="10" width="10.5" customWidth="1"/>
    <col min="11" max="11" width="9" style="8"/>
  </cols>
  <sheetData>
    <row r="1" spans="1:10" x14ac:dyDescent="0.15">
      <c r="A1" t="s">
        <v>250</v>
      </c>
    </row>
    <row r="2" spans="1:10" x14ac:dyDescent="0.1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15">
      <c r="A3" t="s">
        <v>1</v>
      </c>
      <c r="B3" s="192" t="s">
        <v>241</v>
      </c>
      <c r="C3" s="192" t="s">
        <v>201</v>
      </c>
      <c r="D3" s="192" t="s">
        <v>242</v>
      </c>
      <c r="E3" s="192" t="s">
        <v>243</v>
      </c>
      <c r="F3" s="192" t="s">
        <v>244</v>
      </c>
      <c r="G3" s="192" t="s">
        <v>245</v>
      </c>
      <c r="H3" s="192" t="s">
        <v>246</v>
      </c>
      <c r="I3" s="192" t="s">
        <v>247</v>
      </c>
      <c r="J3" s="192" t="s">
        <v>248</v>
      </c>
    </row>
    <row r="4" spans="1:10" x14ac:dyDescent="0.15">
      <c r="A4" s="6" t="s">
        <v>249</v>
      </c>
      <c r="B4" s="193">
        <v>5</v>
      </c>
      <c r="C4" s="193">
        <v>5</v>
      </c>
      <c r="D4" s="193">
        <v>4</v>
      </c>
      <c r="E4" s="193">
        <v>4</v>
      </c>
      <c r="F4" s="193">
        <v>3</v>
      </c>
      <c r="G4" s="193">
        <v>7</v>
      </c>
      <c r="H4" s="193">
        <v>5</v>
      </c>
      <c r="I4" s="193">
        <v>9</v>
      </c>
      <c r="J4" s="193">
        <v>8</v>
      </c>
    </row>
    <row r="5" spans="1:10" x14ac:dyDescent="0.15">
      <c r="A5" s="27" t="s">
        <v>60</v>
      </c>
      <c r="B5">
        <v>5</v>
      </c>
      <c r="C5">
        <v>0</v>
      </c>
      <c r="D5">
        <v>4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</row>
    <row r="6" spans="1:10" x14ac:dyDescent="0.15">
      <c r="A6" s="27" t="s">
        <v>105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5</v>
      </c>
      <c r="J6">
        <v>0</v>
      </c>
    </row>
    <row r="7" spans="1:10" x14ac:dyDescent="0.15">
      <c r="A7" s="2" t="s">
        <v>43</v>
      </c>
      <c r="B7">
        <v>0</v>
      </c>
      <c r="C7">
        <v>0</v>
      </c>
      <c r="D7">
        <v>2</v>
      </c>
      <c r="E7">
        <v>3</v>
      </c>
      <c r="F7">
        <v>5</v>
      </c>
      <c r="G7">
        <v>5</v>
      </c>
      <c r="H7">
        <v>7</v>
      </c>
      <c r="I7">
        <v>4</v>
      </c>
      <c r="J7">
        <v>2</v>
      </c>
    </row>
    <row r="8" spans="1:10" x14ac:dyDescent="0.15">
      <c r="A8" s="27" t="s">
        <v>53</v>
      </c>
      <c r="B8">
        <v>7</v>
      </c>
      <c r="C8">
        <v>9</v>
      </c>
      <c r="D8">
        <v>10</v>
      </c>
      <c r="E8">
        <v>7</v>
      </c>
      <c r="F8">
        <v>3</v>
      </c>
      <c r="G8">
        <v>2</v>
      </c>
      <c r="H8">
        <v>0</v>
      </c>
      <c r="I8">
        <v>0</v>
      </c>
      <c r="J8">
        <v>0</v>
      </c>
    </row>
    <row r="9" spans="1:10" x14ac:dyDescent="0.15">
      <c r="A9" s="2" t="s">
        <v>12</v>
      </c>
      <c r="B9">
        <v>31</v>
      </c>
      <c r="C9">
        <v>33</v>
      </c>
      <c r="D9">
        <v>17</v>
      </c>
      <c r="E9">
        <v>24</v>
      </c>
      <c r="F9">
        <v>18</v>
      </c>
      <c r="G9">
        <v>38</v>
      </c>
      <c r="H9">
        <v>28</v>
      </c>
      <c r="I9">
        <v>44</v>
      </c>
      <c r="J9">
        <v>29</v>
      </c>
    </row>
    <row r="10" spans="1:10" x14ac:dyDescent="0.15">
      <c r="A10" s="2" t="s">
        <v>93</v>
      </c>
      <c r="B10">
        <v>11</v>
      </c>
      <c r="C10">
        <v>12</v>
      </c>
      <c r="D10">
        <v>11</v>
      </c>
      <c r="E10">
        <v>9</v>
      </c>
      <c r="F10">
        <v>2</v>
      </c>
      <c r="G10">
        <v>4</v>
      </c>
      <c r="H10">
        <v>3</v>
      </c>
      <c r="I10">
        <v>6</v>
      </c>
      <c r="J10">
        <v>0</v>
      </c>
    </row>
    <row r="11" spans="1:10" x14ac:dyDescent="0.15">
      <c r="A11" s="2" t="s">
        <v>33</v>
      </c>
      <c r="B11">
        <v>1</v>
      </c>
      <c r="C11">
        <v>0</v>
      </c>
      <c r="D11">
        <v>5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15">
      <c r="A12" s="2" t="s">
        <v>13</v>
      </c>
      <c r="B12">
        <v>20</v>
      </c>
      <c r="C12">
        <v>0</v>
      </c>
      <c r="D12">
        <v>3</v>
      </c>
      <c r="E12">
        <v>0</v>
      </c>
      <c r="F12">
        <v>5</v>
      </c>
      <c r="G12">
        <v>1</v>
      </c>
      <c r="H12">
        <v>0</v>
      </c>
      <c r="I12">
        <v>0</v>
      </c>
      <c r="J12">
        <v>0</v>
      </c>
    </row>
    <row r="13" spans="1:10" x14ac:dyDescent="0.15">
      <c r="A13" s="2" t="s">
        <v>190</v>
      </c>
      <c r="B13">
        <v>2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15">
      <c r="A14" s="2" t="s">
        <v>14</v>
      </c>
      <c r="B14">
        <v>11</v>
      </c>
      <c r="C14">
        <v>12</v>
      </c>
      <c r="D14">
        <v>22</v>
      </c>
      <c r="E14">
        <v>22</v>
      </c>
      <c r="F14">
        <v>1</v>
      </c>
      <c r="G14">
        <v>9</v>
      </c>
      <c r="H14">
        <v>4</v>
      </c>
      <c r="I14">
        <v>9</v>
      </c>
      <c r="J14">
        <v>6</v>
      </c>
    </row>
    <row r="15" spans="1:10" x14ac:dyDescent="0.15">
      <c r="A15" s="2" t="s">
        <v>26</v>
      </c>
      <c r="B15">
        <v>0</v>
      </c>
      <c r="C15">
        <v>0</v>
      </c>
      <c r="D15">
        <v>8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 x14ac:dyDescent="0.15">
      <c r="A16" s="2" t="s">
        <v>51</v>
      </c>
      <c r="B16">
        <v>15</v>
      </c>
      <c r="C16">
        <v>6</v>
      </c>
      <c r="D16">
        <v>15</v>
      </c>
      <c r="E16">
        <v>7</v>
      </c>
      <c r="F16">
        <v>11</v>
      </c>
      <c r="G16">
        <v>10</v>
      </c>
      <c r="H16">
        <v>3</v>
      </c>
      <c r="I16">
        <v>8</v>
      </c>
      <c r="J16">
        <v>4</v>
      </c>
    </row>
    <row r="17" spans="1:10" x14ac:dyDescent="0.15">
      <c r="A17" s="2" t="s">
        <v>44</v>
      </c>
      <c r="B17">
        <v>2</v>
      </c>
      <c r="C17">
        <v>0</v>
      </c>
      <c r="D17">
        <v>4</v>
      </c>
      <c r="E17">
        <v>2</v>
      </c>
      <c r="F17">
        <v>0</v>
      </c>
      <c r="G17">
        <v>13</v>
      </c>
      <c r="H17">
        <v>14</v>
      </c>
      <c r="I17">
        <v>22</v>
      </c>
      <c r="J17">
        <v>18</v>
      </c>
    </row>
    <row r="18" spans="1:10" x14ac:dyDescent="0.15">
      <c r="A18" s="2" t="s">
        <v>4</v>
      </c>
      <c r="B18">
        <v>35</v>
      </c>
      <c r="C18">
        <v>25</v>
      </c>
      <c r="D18">
        <v>23</v>
      </c>
      <c r="E18">
        <v>25</v>
      </c>
      <c r="F18">
        <v>16</v>
      </c>
      <c r="G18">
        <v>21</v>
      </c>
      <c r="H18">
        <v>1</v>
      </c>
      <c r="I18">
        <v>20</v>
      </c>
      <c r="J18">
        <v>7</v>
      </c>
    </row>
    <row r="19" spans="1:10" x14ac:dyDescent="0.15">
      <c r="A19" s="2" t="s">
        <v>232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15">
      <c r="A20" s="2" t="s">
        <v>15</v>
      </c>
      <c r="B20">
        <v>17</v>
      </c>
      <c r="C20">
        <v>0</v>
      </c>
      <c r="D20">
        <v>3</v>
      </c>
      <c r="E20">
        <v>4</v>
      </c>
      <c r="F20">
        <v>1</v>
      </c>
      <c r="G20">
        <v>0</v>
      </c>
      <c r="H20">
        <v>0</v>
      </c>
      <c r="I20">
        <v>1</v>
      </c>
      <c r="J20">
        <v>0</v>
      </c>
    </row>
    <row r="21" spans="1:10" x14ac:dyDescent="0.15">
      <c r="A21" s="2" t="s">
        <v>5</v>
      </c>
      <c r="B21">
        <v>28</v>
      </c>
      <c r="C21">
        <v>15</v>
      </c>
      <c r="D21">
        <v>26</v>
      </c>
      <c r="E21">
        <v>20</v>
      </c>
      <c r="F21">
        <v>16</v>
      </c>
      <c r="G21">
        <v>26</v>
      </c>
      <c r="H21">
        <v>10</v>
      </c>
      <c r="I21">
        <v>13</v>
      </c>
      <c r="J21">
        <v>17</v>
      </c>
    </row>
    <row r="22" spans="1:10" x14ac:dyDescent="0.15">
      <c r="A22" s="2" t="s">
        <v>46</v>
      </c>
      <c r="B22">
        <v>11</v>
      </c>
      <c r="C22">
        <v>14</v>
      </c>
      <c r="D22">
        <v>17</v>
      </c>
      <c r="E22">
        <v>14</v>
      </c>
      <c r="F22">
        <v>0</v>
      </c>
      <c r="G22">
        <v>11</v>
      </c>
      <c r="H22">
        <v>0</v>
      </c>
      <c r="I22">
        <v>12</v>
      </c>
      <c r="J22">
        <v>10</v>
      </c>
    </row>
    <row r="23" spans="1:10" x14ac:dyDescent="0.15">
      <c r="A23" s="2" t="s">
        <v>228</v>
      </c>
      <c r="B23">
        <v>1</v>
      </c>
      <c r="C23">
        <v>0</v>
      </c>
      <c r="D23">
        <v>1</v>
      </c>
      <c r="E23">
        <v>2</v>
      </c>
      <c r="F23">
        <v>0</v>
      </c>
      <c r="G23">
        <v>0</v>
      </c>
      <c r="H23">
        <v>1</v>
      </c>
      <c r="I23">
        <v>0</v>
      </c>
      <c r="J23">
        <v>4</v>
      </c>
    </row>
    <row r="24" spans="1:10" x14ac:dyDescent="0.15">
      <c r="A24" s="5" t="s">
        <v>133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15">
      <c r="A25" s="5" t="s">
        <v>212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</row>
    <row r="26" spans="1:10" x14ac:dyDescent="0.15">
      <c r="A26" s="2" t="s">
        <v>45</v>
      </c>
      <c r="B26">
        <v>3</v>
      </c>
      <c r="C26">
        <v>6</v>
      </c>
      <c r="D26">
        <v>5</v>
      </c>
      <c r="E26">
        <v>1</v>
      </c>
      <c r="F26">
        <v>4</v>
      </c>
      <c r="G26">
        <v>0</v>
      </c>
      <c r="H26">
        <v>2</v>
      </c>
      <c r="I26">
        <v>2</v>
      </c>
      <c r="J26">
        <v>0</v>
      </c>
    </row>
    <row r="27" spans="1:10" x14ac:dyDescent="0.15">
      <c r="A27" s="2" t="s">
        <v>16</v>
      </c>
      <c r="B27">
        <v>24</v>
      </c>
      <c r="C27">
        <v>3</v>
      </c>
      <c r="D27">
        <v>10</v>
      </c>
      <c r="E27">
        <v>15</v>
      </c>
      <c r="F27">
        <v>9</v>
      </c>
      <c r="G27">
        <v>13</v>
      </c>
      <c r="H27">
        <v>5</v>
      </c>
      <c r="I27">
        <v>1</v>
      </c>
      <c r="J27">
        <v>1</v>
      </c>
    </row>
    <row r="28" spans="1:10" x14ac:dyDescent="0.15">
      <c r="A28" s="2" t="s">
        <v>219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>
        <v>0</v>
      </c>
    </row>
    <row r="29" spans="1:10" x14ac:dyDescent="0.15">
      <c r="A29" s="5" t="s">
        <v>70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15">
      <c r="A30" s="5" t="s">
        <v>221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15">
      <c r="A31" s="5" t="s">
        <v>199</v>
      </c>
      <c r="B31">
        <v>0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15">
      <c r="A32" s="5" t="s">
        <v>222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15">
      <c r="A33" s="2" t="s">
        <v>62</v>
      </c>
      <c r="B33">
        <v>0</v>
      </c>
      <c r="C33">
        <v>0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15">
      <c r="A34" s="2" t="s">
        <v>17</v>
      </c>
      <c r="B34">
        <v>14</v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15">
      <c r="A35" s="2" t="s">
        <v>49</v>
      </c>
      <c r="B35">
        <v>25</v>
      </c>
      <c r="C35">
        <v>48</v>
      </c>
      <c r="D35">
        <v>20</v>
      </c>
      <c r="E35">
        <v>19</v>
      </c>
      <c r="F35">
        <v>15</v>
      </c>
      <c r="G35">
        <v>33</v>
      </c>
      <c r="H35">
        <v>22</v>
      </c>
      <c r="I35">
        <v>39</v>
      </c>
      <c r="J35">
        <v>24</v>
      </c>
    </row>
    <row r="36" spans="1:10" x14ac:dyDescent="0.15">
      <c r="A36" s="2" t="s">
        <v>6</v>
      </c>
      <c r="B36">
        <v>12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15">
      <c r="A37" s="2" t="s">
        <v>19</v>
      </c>
      <c r="B37">
        <v>28</v>
      </c>
      <c r="C37">
        <v>10</v>
      </c>
      <c r="D37">
        <v>27</v>
      </c>
      <c r="E37">
        <v>20</v>
      </c>
      <c r="F37">
        <v>16</v>
      </c>
      <c r="G37">
        <v>32</v>
      </c>
      <c r="H37">
        <v>11</v>
      </c>
      <c r="I37">
        <v>11</v>
      </c>
      <c r="J37">
        <v>0</v>
      </c>
    </row>
    <row r="38" spans="1:10" x14ac:dyDescent="0.15">
      <c r="A38" s="2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7</v>
      </c>
      <c r="J38">
        <v>4</v>
      </c>
    </row>
    <row r="39" spans="1:10" x14ac:dyDescent="0.15">
      <c r="A39" s="2" t="s">
        <v>37</v>
      </c>
      <c r="B39">
        <v>0</v>
      </c>
      <c r="C39">
        <v>0</v>
      </c>
      <c r="D39">
        <v>0</v>
      </c>
      <c r="E39">
        <v>4</v>
      </c>
      <c r="F39">
        <v>0</v>
      </c>
      <c r="G39">
        <v>0</v>
      </c>
      <c r="H39">
        <v>0</v>
      </c>
      <c r="I39">
        <v>1</v>
      </c>
      <c r="J39">
        <v>0</v>
      </c>
    </row>
    <row r="40" spans="1:10" x14ac:dyDescent="0.15">
      <c r="A40" s="2" t="s">
        <v>20</v>
      </c>
      <c r="B40">
        <v>26</v>
      </c>
      <c r="C40">
        <v>11</v>
      </c>
      <c r="D40">
        <v>21</v>
      </c>
      <c r="E40">
        <v>21</v>
      </c>
      <c r="F40">
        <v>8</v>
      </c>
      <c r="G40">
        <v>17</v>
      </c>
      <c r="H40">
        <v>7</v>
      </c>
      <c r="I40">
        <v>16</v>
      </c>
      <c r="J40">
        <v>5</v>
      </c>
    </row>
    <row r="41" spans="1:10" x14ac:dyDescent="0.15">
      <c r="A41" s="2" t="s">
        <v>11</v>
      </c>
      <c r="B41">
        <v>28</v>
      </c>
      <c r="C41">
        <v>7</v>
      </c>
      <c r="D41">
        <v>12</v>
      </c>
      <c r="E41">
        <v>0</v>
      </c>
      <c r="F41">
        <v>5</v>
      </c>
      <c r="G41">
        <v>0</v>
      </c>
      <c r="H41">
        <v>0</v>
      </c>
      <c r="I41">
        <v>0</v>
      </c>
      <c r="J41">
        <v>0</v>
      </c>
    </row>
    <row r="42" spans="1:10" x14ac:dyDescent="0.15">
      <c r="A42" s="2" t="s">
        <v>21</v>
      </c>
      <c r="B42">
        <v>27</v>
      </c>
      <c r="C42">
        <v>23</v>
      </c>
      <c r="D42">
        <v>24</v>
      </c>
      <c r="E42">
        <v>24</v>
      </c>
      <c r="F42">
        <v>17</v>
      </c>
      <c r="G42">
        <v>31</v>
      </c>
      <c r="H42">
        <v>13</v>
      </c>
      <c r="I42">
        <v>51</v>
      </c>
      <c r="J42">
        <v>45</v>
      </c>
    </row>
    <row r="43" spans="1:10" x14ac:dyDescent="0.15">
      <c r="A43" s="2" t="s">
        <v>197</v>
      </c>
      <c r="B43">
        <v>0</v>
      </c>
      <c r="C43">
        <v>0</v>
      </c>
      <c r="D43">
        <v>3</v>
      </c>
      <c r="E43">
        <v>9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15">
      <c r="A44" s="2" t="s">
        <v>196</v>
      </c>
      <c r="B44">
        <v>3</v>
      </c>
      <c r="C44">
        <v>2</v>
      </c>
      <c r="D44">
        <v>11</v>
      </c>
      <c r="E44">
        <v>7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15">
      <c r="A45" s="5" t="s">
        <v>198</v>
      </c>
      <c r="B45">
        <v>1</v>
      </c>
      <c r="C45">
        <v>0</v>
      </c>
      <c r="D45">
        <v>13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15">
      <c r="A46" s="2" t="s">
        <v>35</v>
      </c>
      <c r="B46">
        <v>6</v>
      </c>
      <c r="C46">
        <v>1</v>
      </c>
      <c r="D46">
        <v>17</v>
      </c>
      <c r="E46">
        <v>19</v>
      </c>
      <c r="F46">
        <v>5</v>
      </c>
      <c r="G46">
        <v>32</v>
      </c>
      <c r="H46">
        <v>15</v>
      </c>
      <c r="I46">
        <v>52</v>
      </c>
      <c r="J46">
        <v>18</v>
      </c>
    </row>
    <row r="47" spans="1:10" x14ac:dyDescent="0.15">
      <c r="A47" s="2" t="s">
        <v>110</v>
      </c>
      <c r="B47">
        <v>0</v>
      </c>
      <c r="C47">
        <v>20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15">
      <c r="A48" s="2" t="s">
        <v>25</v>
      </c>
      <c r="B48">
        <v>0</v>
      </c>
      <c r="C48">
        <v>0</v>
      </c>
      <c r="D48">
        <v>12</v>
      </c>
      <c r="E48">
        <v>3</v>
      </c>
      <c r="F48">
        <v>0</v>
      </c>
      <c r="G48">
        <v>0</v>
      </c>
      <c r="H48">
        <v>0</v>
      </c>
      <c r="I48">
        <v>3</v>
      </c>
      <c r="J48">
        <v>0</v>
      </c>
    </row>
    <row r="49" spans="1:10" x14ac:dyDescent="0.15">
      <c r="A49" s="2" t="s">
        <v>38</v>
      </c>
      <c r="B49">
        <v>19</v>
      </c>
      <c r="C49">
        <v>16</v>
      </c>
      <c r="D49">
        <v>4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15">
      <c r="A50" s="2" t="s">
        <v>27</v>
      </c>
      <c r="B50">
        <v>0</v>
      </c>
      <c r="C50">
        <v>0</v>
      </c>
      <c r="D50">
        <v>12</v>
      </c>
      <c r="E50">
        <v>13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15">
      <c r="A51" s="2" t="s">
        <v>229</v>
      </c>
      <c r="B51">
        <v>0</v>
      </c>
      <c r="C51">
        <v>4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15">
      <c r="A52" s="2" t="s">
        <v>36</v>
      </c>
      <c r="B52">
        <v>1</v>
      </c>
      <c r="C52">
        <v>0</v>
      </c>
      <c r="D52">
        <v>2</v>
      </c>
      <c r="E52">
        <v>2</v>
      </c>
      <c r="F52">
        <v>0</v>
      </c>
      <c r="G52">
        <v>0</v>
      </c>
      <c r="H52">
        <v>0</v>
      </c>
      <c r="I52">
        <v>2</v>
      </c>
      <c r="J52">
        <v>0</v>
      </c>
    </row>
    <row r="53" spans="1:10" x14ac:dyDescent="0.15">
      <c r="A53" s="2" t="s">
        <v>50</v>
      </c>
      <c r="B53">
        <v>9</v>
      </c>
      <c r="C53">
        <v>12</v>
      </c>
      <c r="D53">
        <v>6</v>
      </c>
      <c r="E53">
        <v>7</v>
      </c>
      <c r="F53">
        <v>5</v>
      </c>
      <c r="G53">
        <v>0</v>
      </c>
      <c r="H53">
        <v>0</v>
      </c>
      <c r="I53">
        <v>0</v>
      </c>
      <c r="J53">
        <v>0</v>
      </c>
    </row>
    <row r="54" spans="1:10" x14ac:dyDescent="0.15">
      <c r="A54" s="2" t="s">
        <v>231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15">
      <c r="A55" s="2" t="s">
        <v>190</v>
      </c>
      <c r="B55">
        <v>5</v>
      </c>
      <c r="C55">
        <v>0</v>
      </c>
      <c r="D55">
        <v>2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15">
      <c r="A56" s="2" t="s">
        <v>58</v>
      </c>
      <c r="B56">
        <v>18</v>
      </c>
      <c r="C56">
        <v>9</v>
      </c>
      <c r="D56">
        <v>4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</row>
    <row r="57" spans="1:10" x14ac:dyDescent="0.15">
      <c r="A57" s="2" t="s">
        <v>57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15">
      <c r="A58" s="2" t="s">
        <v>28</v>
      </c>
      <c r="B58">
        <v>0</v>
      </c>
      <c r="C58">
        <v>0</v>
      </c>
      <c r="D58">
        <v>3</v>
      </c>
      <c r="E58">
        <v>6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15">
      <c r="A59" s="2" t="s">
        <v>194</v>
      </c>
      <c r="B59">
        <v>0</v>
      </c>
      <c r="C59">
        <v>0</v>
      </c>
      <c r="D59">
        <v>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15">
      <c r="A60" s="2" t="s">
        <v>10</v>
      </c>
      <c r="B60">
        <v>14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15">
      <c r="A61" s="5" t="s">
        <v>174</v>
      </c>
      <c r="B61">
        <v>15</v>
      </c>
      <c r="C61">
        <v>0</v>
      </c>
      <c r="D61">
        <v>15</v>
      </c>
      <c r="E61">
        <v>8</v>
      </c>
      <c r="F61">
        <v>2</v>
      </c>
      <c r="G61">
        <v>0</v>
      </c>
      <c r="H61">
        <v>4</v>
      </c>
      <c r="I61">
        <v>0</v>
      </c>
      <c r="J61">
        <v>10</v>
      </c>
    </row>
    <row r="62" spans="1:10" x14ac:dyDescent="0.15">
      <c r="A62" s="2" t="s">
        <v>22</v>
      </c>
      <c r="B62">
        <v>31</v>
      </c>
      <c r="C62">
        <v>0</v>
      </c>
      <c r="D62">
        <v>7</v>
      </c>
      <c r="E62">
        <v>1</v>
      </c>
      <c r="F62">
        <v>2</v>
      </c>
      <c r="G62">
        <v>0</v>
      </c>
      <c r="H62">
        <v>2</v>
      </c>
      <c r="I62">
        <v>1</v>
      </c>
      <c r="J62">
        <v>0</v>
      </c>
    </row>
    <row r="63" spans="1:10" x14ac:dyDescent="0.15">
      <c r="A63" s="5" t="s">
        <v>132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15">
      <c r="A64" s="5" t="s">
        <v>191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15">
      <c r="A65" s="5" t="s">
        <v>218</v>
      </c>
      <c r="B65">
        <v>7</v>
      </c>
      <c r="C65">
        <v>5</v>
      </c>
      <c r="D65">
        <v>3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</row>
    <row r="66" spans="1:10" x14ac:dyDescent="0.15">
      <c r="A66" s="5" t="s">
        <v>203</v>
      </c>
      <c r="B66">
        <v>0</v>
      </c>
      <c r="C66">
        <v>14</v>
      </c>
      <c r="D66">
        <v>0</v>
      </c>
      <c r="E66">
        <v>0</v>
      </c>
      <c r="F66">
        <v>0</v>
      </c>
      <c r="G66">
        <v>0</v>
      </c>
      <c r="H66">
        <v>0</v>
      </c>
      <c r="I66">
        <v>5</v>
      </c>
      <c r="J66">
        <v>8</v>
      </c>
    </row>
    <row r="67" spans="1:10" x14ac:dyDescent="0.15">
      <c r="A67" s="2" t="s">
        <v>23</v>
      </c>
      <c r="B67">
        <v>4</v>
      </c>
      <c r="C67">
        <v>3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15">
      <c r="A68" s="2" t="s">
        <v>208</v>
      </c>
      <c r="B68">
        <v>0</v>
      </c>
      <c r="C68">
        <v>0</v>
      </c>
      <c r="D68">
        <v>1</v>
      </c>
      <c r="E68">
        <v>2</v>
      </c>
      <c r="F68">
        <v>0</v>
      </c>
      <c r="G68">
        <v>0</v>
      </c>
      <c r="H68">
        <v>5</v>
      </c>
      <c r="I68">
        <v>1</v>
      </c>
      <c r="J68">
        <v>5</v>
      </c>
    </row>
    <row r="69" spans="1:10" x14ac:dyDescent="0.15">
      <c r="A69" s="2" t="s">
        <v>41</v>
      </c>
      <c r="B69">
        <v>22</v>
      </c>
      <c r="C69">
        <v>1</v>
      </c>
      <c r="D69">
        <v>2</v>
      </c>
      <c r="E69">
        <v>1</v>
      </c>
      <c r="F69">
        <v>0</v>
      </c>
      <c r="G69">
        <v>1</v>
      </c>
      <c r="H69">
        <v>0</v>
      </c>
      <c r="I69">
        <v>1</v>
      </c>
      <c r="J69">
        <v>0</v>
      </c>
    </row>
    <row r="70" spans="1:10" x14ac:dyDescent="0.15">
      <c r="A70" s="5" t="s">
        <v>95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15">
      <c r="A71" s="5" t="s">
        <v>111</v>
      </c>
      <c r="B71">
        <v>0</v>
      </c>
      <c r="C71">
        <v>22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15">
      <c r="A72" s="2" t="s">
        <v>7</v>
      </c>
      <c r="B72">
        <v>24</v>
      </c>
      <c r="C72">
        <v>0</v>
      </c>
      <c r="D72">
        <v>24</v>
      </c>
      <c r="E72">
        <v>17</v>
      </c>
      <c r="F72">
        <v>12</v>
      </c>
      <c r="G72">
        <v>28</v>
      </c>
      <c r="H72">
        <v>24</v>
      </c>
      <c r="I72">
        <v>17</v>
      </c>
      <c r="J72">
        <v>12</v>
      </c>
    </row>
    <row r="73" spans="1:10" x14ac:dyDescent="0.15">
      <c r="A73" s="2" t="s">
        <v>32</v>
      </c>
      <c r="B73">
        <v>2</v>
      </c>
      <c r="C73">
        <v>0</v>
      </c>
      <c r="D73">
        <v>2</v>
      </c>
      <c r="E73">
        <v>4</v>
      </c>
      <c r="F73">
        <v>0</v>
      </c>
      <c r="G73">
        <v>1</v>
      </c>
      <c r="H73">
        <v>0</v>
      </c>
      <c r="I73">
        <v>2</v>
      </c>
      <c r="J73">
        <v>0</v>
      </c>
    </row>
    <row r="74" spans="1:10" x14ac:dyDescent="0.15">
      <c r="A74" s="5" t="s">
        <v>72</v>
      </c>
      <c r="B74">
        <v>3</v>
      </c>
      <c r="C74">
        <v>1</v>
      </c>
      <c r="D74">
        <v>4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15">
      <c r="A75" s="5" t="s">
        <v>61</v>
      </c>
      <c r="B75">
        <v>8</v>
      </c>
      <c r="C75">
        <v>0</v>
      </c>
      <c r="D75">
        <v>0</v>
      </c>
      <c r="E75">
        <v>0</v>
      </c>
      <c r="F75">
        <v>7</v>
      </c>
      <c r="G75">
        <v>0</v>
      </c>
      <c r="H75">
        <v>0</v>
      </c>
      <c r="I75">
        <v>0</v>
      </c>
      <c r="J75">
        <v>0</v>
      </c>
    </row>
    <row r="76" spans="1:10" x14ac:dyDescent="0.15">
      <c r="A76" s="5" t="s">
        <v>42</v>
      </c>
      <c r="B76">
        <v>3</v>
      </c>
      <c r="C76">
        <v>0</v>
      </c>
      <c r="D76">
        <v>1</v>
      </c>
      <c r="E76">
        <v>4</v>
      </c>
      <c r="F76">
        <v>0</v>
      </c>
      <c r="G76">
        <v>12</v>
      </c>
      <c r="H76">
        <v>2</v>
      </c>
      <c r="I76">
        <v>19</v>
      </c>
      <c r="J76">
        <v>1</v>
      </c>
    </row>
    <row r="77" spans="1:10" x14ac:dyDescent="0.15">
      <c r="A77" s="5" t="s">
        <v>205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</row>
    <row r="78" spans="1:10" x14ac:dyDescent="0.15">
      <c r="A78" s="2" t="s">
        <v>213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</v>
      </c>
    </row>
    <row r="79" spans="1:10" x14ac:dyDescent="0.15">
      <c r="A79" s="5" t="s">
        <v>96</v>
      </c>
      <c r="B79">
        <v>0</v>
      </c>
      <c r="C79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5</v>
      </c>
      <c r="J79">
        <v>0</v>
      </c>
    </row>
    <row r="80" spans="1:10" x14ac:dyDescent="0.15">
      <c r="A80" s="2" t="s">
        <v>175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</row>
    <row r="81" spans="1:10" x14ac:dyDescent="0.15">
      <c r="A81" s="2" t="s">
        <v>24</v>
      </c>
      <c r="B81">
        <v>27</v>
      </c>
      <c r="C81">
        <v>1</v>
      </c>
      <c r="D81">
        <v>15</v>
      </c>
      <c r="E81">
        <v>12</v>
      </c>
      <c r="F81">
        <v>10</v>
      </c>
      <c r="G81">
        <v>15</v>
      </c>
      <c r="H81">
        <v>10</v>
      </c>
      <c r="I81">
        <v>12</v>
      </c>
      <c r="J81">
        <v>6</v>
      </c>
    </row>
    <row r="82" spans="1:10" x14ac:dyDescent="0.15">
      <c r="A82" s="2" t="s">
        <v>189</v>
      </c>
      <c r="B82">
        <v>18</v>
      </c>
      <c r="C82">
        <v>22</v>
      </c>
      <c r="D82">
        <v>15</v>
      </c>
      <c r="E82">
        <v>16</v>
      </c>
      <c r="F82">
        <v>8</v>
      </c>
      <c r="G82">
        <v>12</v>
      </c>
      <c r="H82">
        <v>10</v>
      </c>
      <c r="I82">
        <v>23</v>
      </c>
      <c r="J82">
        <v>10</v>
      </c>
    </row>
    <row r="83" spans="1:10" x14ac:dyDescent="0.15">
      <c r="A83" s="5" t="s">
        <v>202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 x14ac:dyDescent="0.15">
      <c r="A84" t="s">
        <v>8</v>
      </c>
    </row>
    <row r="86" spans="1:10" x14ac:dyDescent="0.15">
      <c r="A86">
        <f>COUNTA(A5:A82)</f>
        <v>78</v>
      </c>
    </row>
    <row r="95" spans="1:10" x14ac:dyDescent="0.15">
      <c r="A95" s="3" t="s">
        <v>56</v>
      </c>
    </row>
    <row r="96" spans="1:10" x14ac:dyDescent="0.15">
      <c r="A96" s="5" t="s">
        <v>185</v>
      </c>
    </row>
    <row r="97" spans="1:1" x14ac:dyDescent="0.15">
      <c r="A97" s="7" t="s">
        <v>47</v>
      </c>
    </row>
    <row r="98" spans="1:1" x14ac:dyDescent="0.15">
      <c r="A98" s="39" t="s">
        <v>29</v>
      </c>
    </row>
    <row r="99" spans="1:1" x14ac:dyDescent="0.15">
      <c r="A99" s="5" t="s">
        <v>48</v>
      </c>
    </row>
    <row r="100" spans="1:1" x14ac:dyDescent="0.15">
      <c r="A100" s="5" t="s">
        <v>106</v>
      </c>
    </row>
    <row r="101" spans="1:1" x14ac:dyDescent="0.15">
      <c r="A101" s="7" t="s">
        <v>186</v>
      </c>
    </row>
    <row r="102" spans="1:1" x14ac:dyDescent="0.15">
      <c r="A102" s="36" t="s">
        <v>94</v>
      </c>
    </row>
    <row r="103" spans="1:1" x14ac:dyDescent="0.15">
      <c r="A103" s="40" t="s">
        <v>91</v>
      </c>
    </row>
    <row r="104" spans="1:1" x14ac:dyDescent="0.15">
      <c r="A104" s="39" t="s">
        <v>69</v>
      </c>
    </row>
    <row r="105" spans="1:1" x14ac:dyDescent="0.15">
      <c r="A105" s="39" t="s">
        <v>67</v>
      </c>
    </row>
    <row r="106" spans="1:1" x14ac:dyDescent="0.15">
      <c r="A106" s="41" t="s">
        <v>66</v>
      </c>
    </row>
    <row r="107" spans="1:1" x14ac:dyDescent="0.15">
      <c r="A107" s="58" t="s">
        <v>104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CF2D-A276-45D0-AAE6-583A881B6FDD}">
  <dimension ref="A1:K88"/>
  <sheetViews>
    <sheetView workbookViewId="0">
      <selection activeCell="O8" sqref="O8"/>
    </sheetView>
  </sheetViews>
  <sheetFormatPr defaultRowHeight="13.5" x14ac:dyDescent="0.15"/>
  <cols>
    <col min="1" max="1" width="23.375" customWidth="1"/>
    <col min="2" max="10" width="8.125" customWidth="1"/>
    <col min="11" max="11" width="6.5" style="192" customWidth="1"/>
  </cols>
  <sheetData>
    <row r="1" spans="1:11" x14ac:dyDescent="0.15">
      <c r="A1" t="s">
        <v>250</v>
      </c>
    </row>
    <row r="2" spans="1:11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193"/>
    </row>
    <row r="3" spans="1:11" ht="24" x14ac:dyDescent="0.15">
      <c r="A3" s="211" t="s">
        <v>1</v>
      </c>
      <c r="B3" s="212" t="s">
        <v>241</v>
      </c>
      <c r="C3" s="212" t="s">
        <v>201</v>
      </c>
      <c r="D3" s="212" t="s">
        <v>242</v>
      </c>
      <c r="E3" s="212" t="s">
        <v>243</v>
      </c>
      <c r="F3" s="212" t="s">
        <v>244</v>
      </c>
      <c r="G3" s="212" t="s">
        <v>245</v>
      </c>
      <c r="H3" s="212" t="s">
        <v>246</v>
      </c>
      <c r="I3" s="212" t="s">
        <v>252</v>
      </c>
      <c r="J3" s="212" t="s">
        <v>248</v>
      </c>
      <c r="K3" s="213" t="s">
        <v>239</v>
      </c>
    </row>
    <row r="4" spans="1:11" x14ac:dyDescent="0.15">
      <c r="A4" s="214" t="s">
        <v>249</v>
      </c>
      <c r="B4" s="215">
        <v>5</v>
      </c>
      <c r="C4" s="215">
        <v>5</v>
      </c>
      <c r="D4" s="215">
        <v>4</v>
      </c>
      <c r="E4" s="215">
        <v>4</v>
      </c>
      <c r="F4" s="215">
        <v>3</v>
      </c>
      <c r="G4" s="215">
        <v>7</v>
      </c>
      <c r="H4" s="215">
        <v>5</v>
      </c>
      <c r="I4" s="215">
        <v>9</v>
      </c>
      <c r="J4" s="215">
        <v>8</v>
      </c>
      <c r="K4" s="215"/>
    </row>
    <row r="5" spans="1:11" x14ac:dyDescent="0.15">
      <c r="A5" s="216" t="s">
        <v>12</v>
      </c>
      <c r="B5" s="213" t="s">
        <v>251</v>
      </c>
      <c r="C5" s="213" t="s">
        <v>251</v>
      </c>
      <c r="D5" s="213" t="s">
        <v>251</v>
      </c>
      <c r="E5" s="213" t="s">
        <v>251</v>
      </c>
      <c r="F5" s="213" t="s">
        <v>251</v>
      </c>
      <c r="G5" s="213" t="s">
        <v>251</v>
      </c>
      <c r="H5" s="213" t="s">
        <v>251</v>
      </c>
      <c r="I5" s="213" t="s">
        <v>251</v>
      </c>
      <c r="J5" s="213" t="s">
        <v>251</v>
      </c>
      <c r="K5" s="213">
        <f t="shared" ref="K5:K36" si="0">COUNTA(B5:J5)</f>
        <v>9</v>
      </c>
    </row>
    <row r="6" spans="1:11" x14ac:dyDescent="0.15">
      <c r="A6" s="216" t="s">
        <v>14</v>
      </c>
      <c r="B6" s="213" t="s">
        <v>251</v>
      </c>
      <c r="C6" s="213" t="s">
        <v>251</v>
      </c>
      <c r="D6" s="213" t="s">
        <v>251</v>
      </c>
      <c r="E6" s="213" t="s">
        <v>251</v>
      </c>
      <c r="F6" s="213" t="s">
        <v>251</v>
      </c>
      <c r="G6" s="213" t="s">
        <v>251</v>
      </c>
      <c r="H6" s="213" t="s">
        <v>251</v>
      </c>
      <c r="I6" s="213" t="s">
        <v>251</v>
      </c>
      <c r="J6" s="213" t="s">
        <v>251</v>
      </c>
      <c r="K6" s="213">
        <f t="shared" si="0"/>
        <v>9</v>
      </c>
    </row>
    <row r="7" spans="1:11" x14ac:dyDescent="0.15">
      <c r="A7" s="216" t="s">
        <v>51</v>
      </c>
      <c r="B7" s="213" t="s">
        <v>251</v>
      </c>
      <c r="C7" s="213" t="s">
        <v>251</v>
      </c>
      <c r="D7" s="213" t="s">
        <v>251</v>
      </c>
      <c r="E7" s="213" t="s">
        <v>251</v>
      </c>
      <c r="F7" s="213" t="s">
        <v>251</v>
      </c>
      <c r="G7" s="213" t="s">
        <v>251</v>
      </c>
      <c r="H7" s="213" t="s">
        <v>251</v>
      </c>
      <c r="I7" s="213" t="s">
        <v>251</v>
      </c>
      <c r="J7" s="213" t="s">
        <v>251</v>
      </c>
      <c r="K7" s="213">
        <f t="shared" si="0"/>
        <v>9</v>
      </c>
    </row>
    <row r="8" spans="1:11" x14ac:dyDescent="0.15">
      <c r="A8" s="216" t="s">
        <v>4</v>
      </c>
      <c r="B8" s="213" t="s">
        <v>251</v>
      </c>
      <c r="C8" s="213" t="s">
        <v>251</v>
      </c>
      <c r="D8" s="213" t="s">
        <v>251</v>
      </c>
      <c r="E8" s="213" t="s">
        <v>251</v>
      </c>
      <c r="F8" s="213" t="s">
        <v>251</v>
      </c>
      <c r="G8" s="213" t="s">
        <v>251</v>
      </c>
      <c r="H8" s="213" t="s">
        <v>251</v>
      </c>
      <c r="I8" s="213" t="s">
        <v>251</v>
      </c>
      <c r="J8" s="213" t="s">
        <v>251</v>
      </c>
      <c r="K8" s="213">
        <f t="shared" si="0"/>
        <v>9</v>
      </c>
    </row>
    <row r="9" spans="1:11" x14ac:dyDescent="0.15">
      <c r="A9" s="216" t="s">
        <v>5</v>
      </c>
      <c r="B9" s="213" t="s">
        <v>251</v>
      </c>
      <c r="C9" s="213" t="s">
        <v>251</v>
      </c>
      <c r="D9" s="213" t="s">
        <v>251</v>
      </c>
      <c r="E9" s="213" t="s">
        <v>251</v>
      </c>
      <c r="F9" s="213" t="s">
        <v>251</v>
      </c>
      <c r="G9" s="213" t="s">
        <v>251</v>
      </c>
      <c r="H9" s="213" t="s">
        <v>251</v>
      </c>
      <c r="I9" s="213" t="s">
        <v>251</v>
      </c>
      <c r="J9" s="213" t="s">
        <v>251</v>
      </c>
      <c r="K9" s="213">
        <f t="shared" si="0"/>
        <v>9</v>
      </c>
    </row>
    <row r="10" spans="1:11" x14ac:dyDescent="0.15">
      <c r="A10" s="216" t="s">
        <v>16</v>
      </c>
      <c r="B10" s="213" t="s">
        <v>251</v>
      </c>
      <c r="C10" s="213" t="s">
        <v>251</v>
      </c>
      <c r="D10" s="213" t="s">
        <v>251</v>
      </c>
      <c r="E10" s="213" t="s">
        <v>251</v>
      </c>
      <c r="F10" s="213" t="s">
        <v>251</v>
      </c>
      <c r="G10" s="213" t="s">
        <v>251</v>
      </c>
      <c r="H10" s="213" t="s">
        <v>251</v>
      </c>
      <c r="I10" s="213" t="s">
        <v>251</v>
      </c>
      <c r="J10" s="213" t="s">
        <v>251</v>
      </c>
      <c r="K10" s="213">
        <f t="shared" si="0"/>
        <v>9</v>
      </c>
    </row>
    <row r="11" spans="1:11" x14ac:dyDescent="0.15">
      <c r="A11" s="216" t="s">
        <v>49</v>
      </c>
      <c r="B11" s="213" t="s">
        <v>251</v>
      </c>
      <c r="C11" s="213" t="s">
        <v>251</v>
      </c>
      <c r="D11" s="213" t="s">
        <v>251</v>
      </c>
      <c r="E11" s="213" t="s">
        <v>251</v>
      </c>
      <c r="F11" s="213" t="s">
        <v>251</v>
      </c>
      <c r="G11" s="213" t="s">
        <v>251</v>
      </c>
      <c r="H11" s="213" t="s">
        <v>251</v>
      </c>
      <c r="I11" s="213" t="s">
        <v>251</v>
      </c>
      <c r="J11" s="213" t="s">
        <v>251</v>
      </c>
      <c r="K11" s="213">
        <f t="shared" si="0"/>
        <v>9</v>
      </c>
    </row>
    <row r="12" spans="1:11" x14ac:dyDescent="0.15">
      <c r="A12" s="216" t="s">
        <v>20</v>
      </c>
      <c r="B12" s="213" t="s">
        <v>251</v>
      </c>
      <c r="C12" s="213" t="s">
        <v>251</v>
      </c>
      <c r="D12" s="213" t="s">
        <v>251</v>
      </c>
      <c r="E12" s="213" t="s">
        <v>251</v>
      </c>
      <c r="F12" s="213" t="s">
        <v>251</v>
      </c>
      <c r="G12" s="213" t="s">
        <v>251</v>
      </c>
      <c r="H12" s="213" t="s">
        <v>251</v>
      </c>
      <c r="I12" s="213" t="s">
        <v>251</v>
      </c>
      <c r="J12" s="213" t="s">
        <v>251</v>
      </c>
      <c r="K12" s="213">
        <f t="shared" si="0"/>
        <v>9</v>
      </c>
    </row>
    <row r="13" spans="1:11" x14ac:dyDescent="0.15">
      <c r="A13" s="216" t="s">
        <v>21</v>
      </c>
      <c r="B13" s="213" t="s">
        <v>251</v>
      </c>
      <c r="C13" s="213" t="s">
        <v>251</v>
      </c>
      <c r="D13" s="213" t="s">
        <v>251</v>
      </c>
      <c r="E13" s="213" t="s">
        <v>251</v>
      </c>
      <c r="F13" s="213" t="s">
        <v>251</v>
      </c>
      <c r="G13" s="213" t="s">
        <v>251</v>
      </c>
      <c r="H13" s="213" t="s">
        <v>251</v>
      </c>
      <c r="I13" s="213" t="s">
        <v>251</v>
      </c>
      <c r="J13" s="213" t="s">
        <v>251</v>
      </c>
      <c r="K13" s="213">
        <f t="shared" si="0"/>
        <v>9</v>
      </c>
    </row>
    <row r="14" spans="1:11" x14ac:dyDescent="0.15">
      <c r="A14" s="216" t="s">
        <v>35</v>
      </c>
      <c r="B14" s="213" t="s">
        <v>251</v>
      </c>
      <c r="C14" s="213" t="s">
        <v>251</v>
      </c>
      <c r="D14" s="213" t="s">
        <v>251</v>
      </c>
      <c r="E14" s="213" t="s">
        <v>251</v>
      </c>
      <c r="F14" s="213" t="s">
        <v>251</v>
      </c>
      <c r="G14" s="213" t="s">
        <v>251</v>
      </c>
      <c r="H14" s="213" t="s">
        <v>251</v>
      </c>
      <c r="I14" s="213" t="s">
        <v>251</v>
      </c>
      <c r="J14" s="213" t="s">
        <v>251</v>
      </c>
      <c r="K14" s="213">
        <f t="shared" si="0"/>
        <v>9</v>
      </c>
    </row>
    <row r="15" spans="1:11" x14ac:dyDescent="0.15">
      <c r="A15" s="216" t="s">
        <v>24</v>
      </c>
      <c r="B15" s="213" t="s">
        <v>251</v>
      </c>
      <c r="C15" s="213" t="s">
        <v>251</v>
      </c>
      <c r="D15" s="213" t="s">
        <v>251</v>
      </c>
      <c r="E15" s="213" t="s">
        <v>251</v>
      </c>
      <c r="F15" s="213" t="s">
        <v>251</v>
      </c>
      <c r="G15" s="213" t="s">
        <v>251</v>
      </c>
      <c r="H15" s="213" t="s">
        <v>251</v>
      </c>
      <c r="I15" s="213" t="s">
        <v>251</v>
      </c>
      <c r="J15" s="213" t="s">
        <v>251</v>
      </c>
      <c r="K15" s="213">
        <f t="shared" si="0"/>
        <v>9</v>
      </c>
    </row>
    <row r="16" spans="1:11" x14ac:dyDescent="0.15">
      <c r="A16" s="216" t="s">
        <v>189</v>
      </c>
      <c r="B16" s="213" t="s">
        <v>251</v>
      </c>
      <c r="C16" s="213" t="s">
        <v>251</v>
      </c>
      <c r="D16" s="213" t="s">
        <v>251</v>
      </c>
      <c r="E16" s="213" t="s">
        <v>251</v>
      </c>
      <c r="F16" s="213" t="s">
        <v>251</v>
      </c>
      <c r="G16" s="213" t="s">
        <v>251</v>
      </c>
      <c r="H16" s="213" t="s">
        <v>251</v>
      </c>
      <c r="I16" s="213" t="s">
        <v>251</v>
      </c>
      <c r="J16" s="213" t="s">
        <v>251</v>
      </c>
      <c r="K16" s="213">
        <f t="shared" si="0"/>
        <v>9</v>
      </c>
    </row>
    <row r="17" spans="1:11" x14ac:dyDescent="0.15">
      <c r="A17" s="216" t="s">
        <v>93</v>
      </c>
      <c r="B17" s="213" t="s">
        <v>251</v>
      </c>
      <c r="C17" s="213" t="s">
        <v>251</v>
      </c>
      <c r="D17" s="213" t="s">
        <v>251</v>
      </c>
      <c r="E17" s="213" t="s">
        <v>251</v>
      </c>
      <c r="F17" s="213" t="s">
        <v>251</v>
      </c>
      <c r="G17" s="213" t="s">
        <v>251</v>
      </c>
      <c r="H17" s="213" t="s">
        <v>251</v>
      </c>
      <c r="I17" s="213" t="s">
        <v>251</v>
      </c>
      <c r="J17" s="217"/>
      <c r="K17" s="213">
        <f t="shared" si="0"/>
        <v>8</v>
      </c>
    </row>
    <row r="18" spans="1:11" x14ac:dyDescent="0.15">
      <c r="A18" s="216" t="s">
        <v>19</v>
      </c>
      <c r="B18" s="213" t="s">
        <v>251</v>
      </c>
      <c r="C18" s="213" t="s">
        <v>251</v>
      </c>
      <c r="D18" s="213" t="s">
        <v>251</v>
      </c>
      <c r="E18" s="213" t="s">
        <v>251</v>
      </c>
      <c r="F18" s="213" t="s">
        <v>251</v>
      </c>
      <c r="G18" s="213" t="s">
        <v>251</v>
      </c>
      <c r="H18" s="213" t="s">
        <v>251</v>
      </c>
      <c r="I18" s="213" t="s">
        <v>251</v>
      </c>
      <c r="J18" s="217"/>
      <c r="K18" s="213">
        <f t="shared" si="0"/>
        <v>8</v>
      </c>
    </row>
    <row r="19" spans="1:11" x14ac:dyDescent="0.15">
      <c r="A19" s="216" t="s">
        <v>7</v>
      </c>
      <c r="B19" s="213" t="s">
        <v>251</v>
      </c>
      <c r="C19" s="211"/>
      <c r="D19" s="213" t="s">
        <v>251</v>
      </c>
      <c r="E19" s="213" t="s">
        <v>251</v>
      </c>
      <c r="F19" s="213" t="s">
        <v>251</v>
      </c>
      <c r="G19" s="213" t="s">
        <v>251</v>
      </c>
      <c r="H19" s="213" t="s">
        <v>251</v>
      </c>
      <c r="I19" s="213" t="s">
        <v>251</v>
      </c>
      <c r="J19" s="213" t="s">
        <v>251</v>
      </c>
      <c r="K19" s="213">
        <f t="shared" si="0"/>
        <v>8</v>
      </c>
    </row>
    <row r="20" spans="1:11" x14ac:dyDescent="0.15">
      <c r="A20" s="216" t="s">
        <v>45</v>
      </c>
      <c r="B20" s="213" t="s">
        <v>251</v>
      </c>
      <c r="C20" s="213" t="s">
        <v>251</v>
      </c>
      <c r="D20" s="213" t="s">
        <v>251</v>
      </c>
      <c r="E20" s="213" t="s">
        <v>251</v>
      </c>
      <c r="F20" s="213" t="s">
        <v>251</v>
      </c>
      <c r="G20" s="211"/>
      <c r="H20" s="213" t="s">
        <v>251</v>
      </c>
      <c r="I20" s="213" t="s">
        <v>251</v>
      </c>
      <c r="J20" s="211"/>
      <c r="K20" s="213">
        <f t="shared" si="0"/>
        <v>7</v>
      </c>
    </row>
    <row r="21" spans="1:11" x14ac:dyDescent="0.15">
      <c r="A21" s="216" t="s">
        <v>46</v>
      </c>
      <c r="B21" s="213" t="s">
        <v>251</v>
      </c>
      <c r="C21" s="213" t="s">
        <v>251</v>
      </c>
      <c r="D21" s="213" t="s">
        <v>251</v>
      </c>
      <c r="E21" s="213" t="s">
        <v>251</v>
      </c>
      <c r="F21" s="211"/>
      <c r="G21" s="213" t="s">
        <v>251</v>
      </c>
      <c r="H21" s="211"/>
      <c r="I21" s="213" t="s">
        <v>251</v>
      </c>
      <c r="J21" s="213" t="s">
        <v>251</v>
      </c>
      <c r="K21" s="213">
        <f t="shared" si="0"/>
        <v>7</v>
      </c>
    </row>
    <row r="22" spans="1:11" x14ac:dyDescent="0.15">
      <c r="A22" s="216" t="s">
        <v>58</v>
      </c>
      <c r="B22" s="213" t="s">
        <v>251</v>
      </c>
      <c r="C22" s="213" t="s">
        <v>251</v>
      </c>
      <c r="D22" s="213" t="s">
        <v>251</v>
      </c>
      <c r="E22" s="213" t="s">
        <v>251</v>
      </c>
      <c r="F22" s="213" t="s">
        <v>251</v>
      </c>
      <c r="G22" s="213" t="s">
        <v>251</v>
      </c>
      <c r="H22" s="213" t="s">
        <v>251</v>
      </c>
      <c r="I22" s="218"/>
      <c r="J22" s="218"/>
      <c r="K22" s="213">
        <f t="shared" si="0"/>
        <v>7</v>
      </c>
    </row>
    <row r="23" spans="1:11" x14ac:dyDescent="0.15">
      <c r="A23" s="216" t="s">
        <v>44</v>
      </c>
      <c r="B23" s="213" t="s">
        <v>251</v>
      </c>
      <c r="C23" s="211"/>
      <c r="D23" s="213" t="s">
        <v>251</v>
      </c>
      <c r="E23" s="213" t="s">
        <v>251</v>
      </c>
      <c r="F23" s="211"/>
      <c r="G23" s="213" t="s">
        <v>251</v>
      </c>
      <c r="H23" s="213" t="s">
        <v>251</v>
      </c>
      <c r="I23" s="213" t="s">
        <v>251</v>
      </c>
      <c r="J23" s="213" t="s">
        <v>251</v>
      </c>
      <c r="K23" s="213">
        <f t="shared" si="0"/>
        <v>7</v>
      </c>
    </row>
    <row r="24" spans="1:11" x14ac:dyDescent="0.15">
      <c r="A24" s="219" t="s">
        <v>42</v>
      </c>
      <c r="B24" s="213" t="s">
        <v>251</v>
      </c>
      <c r="C24" s="211"/>
      <c r="D24" s="213" t="s">
        <v>251</v>
      </c>
      <c r="E24" s="213" t="s">
        <v>251</v>
      </c>
      <c r="F24" s="211"/>
      <c r="G24" s="213" t="s">
        <v>251</v>
      </c>
      <c r="H24" s="213" t="s">
        <v>251</v>
      </c>
      <c r="I24" s="213" t="s">
        <v>251</v>
      </c>
      <c r="J24" s="213" t="s">
        <v>251</v>
      </c>
      <c r="K24" s="213">
        <f t="shared" si="0"/>
        <v>7</v>
      </c>
    </row>
    <row r="25" spans="1:11" x14ac:dyDescent="0.15">
      <c r="A25" s="216" t="s">
        <v>43</v>
      </c>
      <c r="B25" s="211"/>
      <c r="C25" s="211"/>
      <c r="D25" s="213" t="s">
        <v>251</v>
      </c>
      <c r="E25" s="213" t="s">
        <v>251</v>
      </c>
      <c r="F25" s="213" t="s">
        <v>251</v>
      </c>
      <c r="G25" s="213" t="s">
        <v>251</v>
      </c>
      <c r="H25" s="213" t="s">
        <v>251</v>
      </c>
      <c r="I25" s="213" t="s">
        <v>251</v>
      </c>
      <c r="J25" s="213" t="s">
        <v>251</v>
      </c>
      <c r="K25" s="213">
        <f t="shared" si="0"/>
        <v>7</v>
      </c>
    </row>
    <row r="26" spans="1:11" x14ac:dyDescent="0.15">
      <c r="A26" s="220" t="s">
        <v>53</v>
      </c>
      <c r="B26" s="213" t="s">
        <v>251</v>
      </c>
      <c r="C26" s="213" t="s">
        <v>251</v>
      </c>
      <c r="D26" s="213" t="s">
        <v>251</v>
      </c>
      <c r="E26" s="213" t="s">
        <v>251</v>
      </c>
      <c r="F26" s="213" t="s">
        <v>251</v>
      </c>
      <c r="G26" s="213" t="s">
        <v>251</v>
      </c>
      <c r="H26" s="218"/>
      <c r="I26" s="218"/>
      <c r="J26" s="218"/>
      <c r="K26" s="213">
        <f t="shared" si="0"/>
        <v>6</v>
      </c>
    </row>
    <row r="27" spans="1:11" x14ac:dyDescent="0.15">
      <c r="A27" s="216" t="s">
        <v>41</v>
      </c>
      <c r="B27" s="213" t="s">
        <v>251</v>
      </c>
      <c r="C27" s="213" t="s">
        <v>251</v>
      </c>
      <c r="D27" s="213" t="s">
        <v>251</v>
      </c>
      <c r="E27" s="213" t="s">
        <v>251</v>
      </c>
      <c r="F27" s="211"/>
      <c r="G27" s="213" t="s">
        <v>251</v>
      </c>
      <c r="H27" s="211"/>
      <c r="I27" s="213" t="s">
        <v>251</v>
      </c>
      <c r="J27" s="211"/>
      <c r="K27" s="213">
        <f t="shared" si="0"/>
        <v>6</v>
      </c>
    </row>
    <row r="28" spans="1:11" x14ac:dyDescent="0.15">
      <c r="A28" s="216" t="s">
        <v>22</v>
      </c>
      <c r="B28" s="213" t="s">
        <v>251</v>
      </c>
      <c r="C28" s="211"/>
      <c r="D28" s="213" t="s">
        <v>251</v>
      </c>
      <c r="E28" s="213" t="s">
        <v>251</v>
      </c>
      <c r="F28" s="213" t="s">
        <v>251</v>
      </c>
      <c r="G28" s="211"/>
      <c r="H28" s="213" t="s">
        <v>251</v>
      </c>
      <c r="I28" s="213" t="s">
        <v>251</v>
      </c>
      <c r="J28" s="211"/>
      <c r="K28" s="213">
        <f t="shared" si="0"/>
        <v>6</v>
      </c>
    </row>
    <row r="29" spans="1:11" x14ac:dyDescent="0.15">
      <c r="A29" s="219" t="s">
        <v>174</v>
      </c>
      <c r="B29" s="213" t="s">
        <v>251</v>
      </c>
      <c r="C29" s="211"/>
      <c r="D29" s="213" t="s">
        <v>251</v>
      </c>
      <c r="E29" s="213" t="s">
        <v>251</v>
      </c>
      <c r="F29" s="213" t="s">
        <v>251</v>
      </c>
      <c r="G29" s="211"/>
      <c r="H29" s="213" t="s">
        <v>251</v>
      </c>
      <c r="I29" s="211"/>
      <c r="J29" s="213" t="s">
        <v>251</v>
      </c>
      <c r="K29" s="213">
        <f t="shared" si="0"/>
        <v>6</v>
      </c>
    </row>
    <row r="30" spans="1:11" x14ac:dyDescent="0.15">
      <c r="A30" s="216" t="s">
        <v>15</v>
      </c>
      <c r="B30" s="213" t="s">
        <v>251</v>
      </c>
      <c r="C30" s="211"/>
      <c r="D30" s="213" t="s">
        <v>251</v>
      </c>
      <c r="E30" s="213" t="s">
        <v>251</v>
      </c>
      <c r="F30" s="213" t="s">
        <v>251</v>
      </c>
      <c r="G30" s="211"/>
      <c r="H30" s="211"/>
      <c r="I30" s="213" t="s">
        <v>251</v>
      </c>
      <c r="J30" s="211"/>
      <c r="K30" s="213">
        <f t="shared" si="0"/>
        <v>5</v>
      </c>
    </row>
    <row r="31" spans="1:11" x14ac:dyDescent="0.15">
      <c r="A31" s="216" t="s">
        <v>50</v>
      </c>
      <c r="B31" s="213" t="s">
        <v>251</v>
      </c>
      <c r="C31" s="213" t="s">
        <v>251</v>
      </c>
      <c r="D31" s="213" t="s">
        <v>251</v>
      </c>
      <c r="E31" s="213" t="s">
        <v>251</v>
      </c>
      <c r="F31" s="213" t="s">
        <v>251</v>
      </c>
      <c r="G31" s="218"/>
      <c r="H31" s="218"/>
      <c r="I31" s="218"/>
      <c r="J31" s="218"/>
      <c r="K31" s="213">
        <f t="shared" si="0"/>
        <v>5</v>
      </c>
    </row>
    <row r="32" spans="1:11" x14ac:dyDescent="0.15">
      <c r="A32" s="216" t="s">
        <v>228</v>
      </c>
      <c r="B32" s="213" t="s">
        <v>251</v>
      </c>
      <c r="C32" s="211"/>
      <c r="D32" s="213" t="s">
        <v>251</v>
      </c>
      <c r="E32" s="213" t="s">
        <v>251</v>
      </c>
      <c r="F32" s="211"/>
      <c r="G32" s="211"/>
      <c r="H32" s="213" t="s">
        <v>251</v>
      </c>
      <c r="I32" s="211"/>
      <c r="J32" s="213" t="s">
        <v>251</v>
      </c>
      <c r="K32" s="213">
        <f t="shared" si="0"/>
        <v>5</v>
      </c>
    </row>
    <row r="33" spans="1:11" x14ac:dyDescent="0.15">
      <c r="A33" s="216" t="s">
        <v>32</v>
      </c>
      <c r="B33" s="213" t="s">
        <v>251</v>
      </c>
      <c r="C33" s="211"/>
      <c r="D33" s="213" t="s">
        <v>251</v>
      </c>
      <c r="E33" s="213" t="s">
        <v>251</v>
      </c>
      <c r="F33" s="211"/>
      <c r="G33" s="213" t="s">
        <v>251</v>
      </c>
      <c r="H33" s="211"/>
      <c r="I33" s="213" t="s">
        <v>251</v>
      </c>
      <c r="J33" s="211"/>
      <c r="K33" s="213">
        <f t="shared" si="0"/>
        <v>5</v>
      </c>
    </row>
    <row r="34" spans="1:11" x14ac:dyDescent="0.15">
      <c r="A34" s="216" t="s">
        <v>208</v>
      </c>
      <c r="B34" s="211"/>
      <c r="C34" s="211"/>
      <c r="D34" s="213" t="s">
        <v>251</v>
      </c>
      <c r="E34" s="213" t="s">
        <v>251</v>
      </c>
      <c r="F34" s="211"/>
      <c r="G34" s="211"/>
      <c r="H34" s="213" t="s">
        <v>251</v>
      </c>
      <c r="I34" s="213" t="s">
        <v>251</v>
      </c>
      <c r="J34" s="213" t="s">
        <v>251</v>
      </c>
      <c r="K34" s="213">
        <f t="shared" si="0"/>
        <v>5</v>
      </c>
    </row>
    <row r="35" spans="1:11" x14ac:dyDescent="0.15">
      <c r="A35" s="216" t="s">
        <v>11</v>
      </c>
      <c r="B35" s="213" t="s">
        <v>251</v>
      </c>
      <c r="C35" s="213" t="s">
        <v>251</v>
      </c>
      <c r="D35" s="213" t="s">
        <v>251</v>
      </c>
      <c r="E35" s="211"/>
      <c r="F35" s="213" t="s">
        <v>251</v>
      </c>
      <c r="G35" s="218"/>
      <c r="H35" s="218"/>
      <c r="I35" s="218"/>
      <c r="J35" s="218"/>
      <c r="K35" s="213">
        <f t="shared" si="0"/>
        <v>4</v>
      </c>
    </row>
    <row r="36" spans="1:11" x14ac:dyDescent="0.15">
      <c r="A36" s="216" t="s">
        <v>196</v>
      </c>
      <c r="B36" s="213" t="s">
        <v>251</v>
      </c>
      <c r="C36" s="213" t="s">
        <v>251</v>
      </c>
      <c r="D36" s="213" t="s">
        <v>251</v>
      </c>
      <c r="E36" s="213" t="s">
        <v>251</v>
      </c>
      <c r="F36" s="218"/>
      <c r="G36" s="218"/>
      <c r="H36" s="218"/>
      <c r="I36" s="218"/>
      <c r="J36" s="218"/>
      <c r="K36" s="213">
        <f t="shared" si="0"/>
        <v>4</v>
      </c>
    </row>
    <row r="37" spans="1:11" x14ac:dyDescent="0.15">
      <c r="A37" s="216" t="s">
        <v>38</v>
      </c>
      <c r="B37" s="213" t="s">
        <v>251</v>
      </c>
      <c r="C37" s="213" t="s">
        <v>251</v>
      </c>
      <c r="D37" s="213" t="s">
        <v>251</v>
      </c>
      <c r="E37" s="213" t="s">
        <v>251</v>
      </c>
      <c r="F37" s="218"/>
      <c r="G37" s="218"/>
      <c r="H37" s="218"/>
      <c r="I37" s="218"/>
      <c r="J37" s="218"/>
      <c r="K37" s="213">
        <f t="shared" ref="K37:K68" si="1">COUNTA(B37:J37)</f>
        <v>4</v>
      </c>
    </row>
    <row r="38" spans="1:11" x14ac:dyDescent="0.15">
      <c r="A38" s="219" t="s">
        <v>218</v>
      </c>
      <c r="B38" s="213" t="s">
        <v>251</v>
      </c>
      <c r="C38" s="213" t="s">
        <v>251</v>
      </c>
      <c r="D38" s="213" t="s">
        <v>251</v>
      </c>
      <c r="E38" s="211"/>
      <c r="F38" s="217"/>
      <c r="G38" s="217"/>
      <c r="H38" s="217"/>
      <c r="I38" s="213" t="s">
        <v>251</v>
      </c>
      <c r="J38" s="217"/>
      <c r="K38" s="213">
        <f t="shared" si="1"/>
        <v>4</v>
      </c>
    </row>
    <row r="39" spans="1:11" x14ac:dyDescent="0.15">
      <c r="A39" s="219" t="s">
        <v>72</v>
      </c>
      <c r="B39" s="213" t="s">
        <v>251</v>
      </c>
      <c r="C39" s="213" t="s">
        <v>251</v>
      </c>
      <c r="D39" s="213" t="s">
        <v>251</v>
      </c>
      <c r="E39" s="213" t="s">
        <v>251</v>
      </c>
      <c r="F39" s="217"/>
      <c r="G39" s="217"/>
      <c r="H39" s="217"/>
      <c r="I39" s="211"/>
      <c r="J39" s="217"/>
      <c r="K39" s="213">
        <f t="shared" si="1"/>
        <v>4</v>
      </c>
    </row>
    <row r="40" spans="1:11" x14ac:dyDescent="0.15">
      <c r="A40" s="216" t="s">
        <v>36</v>
      </c>
      <c r="B40" s="213" t="s">
        <v>251</v>
      </c>
      <c r="C40" s="211"/>
      <c r="D40" s="213" t="s">
        <v>251</v>
      </c>
      <c r="E40" s="213" t="s">
        <v>251</v>
      </c>
      <c r="F40" s="217"/>
      <c r="G40" s="217"/>
      <c r="H40" s="217"/>
      <c r="I40" s="213" t="s">
        <v>251</v>
      </c>
      <c r="J40" s="217"/>
      <c r="K40" s="213">
        <f t="shared" si="1"/>
        <v>4</v>
      </c>
    </row>
    <row r="41" spans="1:11" ht="11.25" customHeight="1" x14ac:dyDescent="0.15">
      <c r="A41" s="216" t="s">
        <v>13</v>
      </c>
      <c r="B41" s="213" t="s">
        <v>251</v>
      </c>
      <c r="C41" s="211"/>
      <c r="D41" s="213" t="s">
        <v>251</v>
      </c>
      <c r="E41" s="211"/>
      <c r="F41" s="213" t="s">
        <v>251</v>
      </c>
      <c r="G41" s="213" t="s">
        <v>251</v>
      </c>
      <c r="H41" s="211"/>
      <c r="I41" s="211"/>
      <c r="J41" s="217"/>
      <c r="K41" s="213">
        <f t="shared" si="1"/>
        <v>4</v>
      </c>
    </row>
    <row r="42" spans="1:11" x14ac:dyDescent="0.15">
      <c r="A42" s="216" t="s">
        <v>68</v>
      </c>
      <c r="B42" s="211"/>
      <c r="C42" s="211"/>
      <c r="D42" s="211"/>
      <c r="E42" s="211"/>
      <c r="F42" s="211"/>
      <c r="G42" s="213" t="s">
        <v>251</v>
      </c>
      <c r="H42" s="213" t="s">
        <v>251</v>
      </c>
      <c r="I42" s="213" t="s">
        <v>251</v>
      </c>
      <c r="J42" s="213" t="s">
        <v>251</v>
      </c>
      <c r="K42" s="213">
        <f t="shared" si="1"/>
        <v>4</v>
      </c>
    </row>
    <row r="43" spans="1:11" x14ac:dyDescent="0.15">
      <c r="A43" s="216" t="s">
        <v>23</v>
      </c>
      <c r="B43" s="213" t="s">
        <v>251</v>
      </c>
      <c r="C43" s="213" t="s">
        <v>251</v>
      </c>
      <c r="D43" s="211"/>
      <c r="E43" s="213" t="s">
        <v>251</v>
      </c>
      <c r="F43" s="218"/>
      <c r="G43" s="218"/>
      <c r="H43" s="218"/>
      <c r="I43" s="218"/>
      <c r="J43" s="218"/>
      <c r="K43" s="213">
        <f t="shared" si="1"/>
        <v>3</v>
      </c>
    </row>
    <row r="44" spans="1:11" x14ac:dyDescent="0.15">
      <c r="A44" s="216" t="s">
        <v>33</v>
      </c>
      <c r="B44" s="213" t="s">
        <v>251</v>
      </c>
      <c r="C44" s="211"/>
      <c r="D44" s="213" t="s">
        <v>251</v>
      </c>
      <c r="E44" s="213" t="s">
        <v>251</v>
      </c>
      <c r="F44" s="218"/>
      <c r="G44" s="218"/>
      <c r="H44" s="218"/>
      <c r="I44" s="218"/>
      <c r="J44" s="218"/>
      <c r="K44" s="213">
        <f t="shared" si="1"/>
        <v>3</v>
      </c>
    </row>
    <row r="45" spans="1:11" x14ac:dyDescent="0.15">
      <c r="A45" s="219" t="s">
        <v>198</v>
      </c>
      <c r="B45" s="213" t="s">
        <v>251</v>
      </c>
      <c r="C45" s="211"/>
      <c r="D45" s="213" t="s">
        <v>251</v>
      </c>
      <c r="E45" s="213" t="s">
        <v>251</v>
      </c>
      <c r="F45" s="218"/>
      <c r="G45" s="218"/>
      <c r="H45" s="218"/>
      <c r="I45" s="218"/>
      <c r="J45" s="218"/>
      <c r="K45" s="213">
        <f t="shared" si="1"/>
        <v>3</v>
      </c>
    </row>
    <row r="46" spans="1:11" x14ac:dyDescent="0.15">
      <c r="A46" s="216" t="s">
        <v>190</v>
      </c>
      <c r="B46" s="213" t="s">
        <v>251</v>
      </c>
      <c r="C46" s="211"/>
      <c r="D46" s="213" t="s">
        <v>251</v>
      </c>
      <c r="E46" s="213" t="s">
        <v>251</v>
      </c>
      <c r="F46" s="218"/>
      <c r="G46" s="218"/>
      <c r="H46" s="218"/>
      <c r="I46" s="218"/>
      <c r="J46" s="218"/>
      <c r="K46" s="213">
        <f t="shared" si="1"/>
        <v>3</v>
      </c>
    </row>
    <row r="47" spans="1:11" x14ac:dyDescent="0.15">
      <c r="A47" s="220" t="s">
        <v>60</v>
      </c>
      <c r="B47" s="213" t="s">
        <v>251</v>
      </c>
      <c r="C47" s="211"/>
      <c r="D47" s="213" t="s">
        <v>251</v>
      </c>
      <c r="E47" s="211"/>
      <c r="F47" s="213" t="s">
        <v>251</v>
      </c>
      <c r="G47" s="218"/>
      <c r="H47" s="218"/>
      <c r="I47" s="218"/>
      <c r="J47" s="218"/>
      <c r="K47" s="213">
        <f t="shared" si="1"/>
        <v>3</v>
      </c>
    </row>
    <row r="48" spans="1:11" x14ac:dyDescent="0.15">
      <c r="A48" s="220" t="s">
        <v>105</v>
      </c>
      <c r="B48" s="213" t="s">
        <v>251</v>
      </c>
      <c r="C48" s="211"/>
      <c r="D48" s="213" t="s">
        <v>251</v>
      </c>
      <c r="E48" s="211"/>
      <c r="F48" s="217"/>
      <c r="G48" s="217"/>
      <c r="H48" s="217"/>
      <c r="I48" s="213" t="s">
        <v>251</v>
      </c>
      <c r="J48" s="211"/>
      <c r="K48" s="213">
        <f t="shared" si="1"/>
        <v>3</v>
      </c>
    </row>
    <row r="49" spans="1:11" x14ac:dyDescent="0.15">
      <c r="A49" s="219" t="s">
        <v>203</v>
      </c>
      <c r="B49" s="211"/>
      <c r="C49" s="213" t="s">
        <v>251</v>
      </c>
      <c r="D49" s="211"/>
      <c r="E49" s="211"/>
      <c r="F49" s="217"/>
      <c r="G49" s="217"/>
      <c r="H49" s="217"/>
      <c r="I49" s="213" t="s">
        <v>251</v>
      </c>
      <c r="J49" s="213" t="s">
        <v>251</v>
      </c>
      <c r="K49" s="213">
        <f t="shared" si="1"/>
        <v>3</v>
      </c>
    </row>
    <row r="50" spans="1:11" x14ac:dyDescent="0.15">
      <c r="A50" s="216" t="s">
        <v>25</v>
      </c>
      <c r="B50" s="211"/>
      <c r="C50" s="211"/>
      <c r="D50" s="213" t="s">
        <v>251</v>
      </c>
      <c r="E50" s="213" t="s">
        <v>251</v>
      </c>
      <c r="F50" s="217"/>
      <c r="G50" s="217"/>
      <c r="H50" s="217"/>
      <c r="I50" s="213" t="s">
        <v>251</v>
      </c>
      <c r="J50" s="211"/>
      <c r="K50" s="213">
        <f t="shared" si="1"/>
        <v>3</v>
      </c>
    </row>
    <row r="51" spans="1:11" x14ac:dyDescent="0.15">
      <c r="A51" s="216" t="s">
        <v>190</v>
      </c>
      <c r="B51" s="213" t="s">
        <v>251</v>
      </c>
      <c r="C51" s="211"/>
      <c r="D51" s="213" t="s">
        <v>251</v>
      </c>
      <c r="E51" s="211"/>
      <c r="F51" s="218"/>
      <c r="G51" s="218"/>
      <c r="H51" s="218"/>
      <c r="I51" s="218"/>
      <c r="J51" s="218"/>
      <c r="K51" s="213">
        <f t="shared" si="1"/>
        <v>2</v>
      </c>
    </row>
    <row r="52" spans="1:11" x14ac:dyDescent="0.15">
      <c r="A52" s="216" t="s">
        <v>10</v>
      </c>
      <c r="B52" s="213" t="s">
        <v>251</v>
      </c>
      <c r="C52" s="211"/>
      <c r="D52" s="213" t="s">
        <v>251</v>
      </c>
      <c r="E52" s="211"/>
      <c r="F52" s="218"/>
      <c r="G52" s="218"/>
      <c r="H52" s="218"/>
      <c r="I52" s="218"/>
      <c r="J52" s="218"/>
      <c r="K52" s="213">
        <f t="shared" si="1"/>
        <v>2</v>
      </c>
    </row>
    <row r="53" spans="1:11" x14ac:dyDescent="0.15">
      <c r="A53" s="216" t="s">
        <v>17</v>
      </c>
      <c r="B53" s="213" t="s">
        <v>251</v>
      </c>
      <c r="C53" s="211"/>
      <c r="D53" s="211"/>
      <c r="E53" s="213" t="s">
        <v>251</v>
      </c>
      <c r="F53" s="218"/>
      <c r="G53" s="218"/>
      <c r="H53" s="218"/>
      <c r="I53" s="218"/>
      <c r="J53" s="218"/>
      <c r="K53" s="213">
        <f t="shared" si="1"/>
        <v>2</v>
      </c>
    </row>
    <row r="54" spans="1:11" x14ac:dyDescent="0.15">
      <c r="A54" s="216" t="s">
        <v>6</v>
      </c>
      <c r="B54" s="213" t="s">
        <v>251</v>
      </c>
      <c r="C54" s="211"/>
      <c r="D54" s="211"/>
      <c r="E54" s="213" t="s">
        <v>251</v>
      </c>
      <c r="F54" s="218"/>
      <c r="G54" s="218"/>
      <c r="H54" s="218"/>
      <c r="I54" s="218"/>
      <c r="J54" s="218"/>
      <c r="K54" s="213">
        <f t="shared" si="1"/>
        <v>2</v>
      </c>
    </row>
    <row r="55" spans="1:11" x14ac:dyDescent="0.15">
      <c r="A55" s="216" t="s">
        <v>57</v>
      </c>
      <c r="B55" s="213" t="s">
        <v>251</v>
      </c>
      <c r="C55" s="211"/>
      <c r="D55" s="211"/>
      <c r="E55" s="213" t="s">
        <v>251</v>
      </c>
      <c r="F55" s="218"/>
      <c r="G55" s="218"/>
      <c r="H55" s="218"/>
      <c r="I55" s="218"/>
      <c r="J55" s="218"/>
      <c r="K55" s="213">
        <f t="shared" si="1"/>
        <v>2</v>
      </c>
    </row>
    <row r="56" spans="1:11" x14ac:dyDescent="0.15">
      <c r="A56" s="219" t="s">
        <v>61</v>
      </c>
      <c r="B56" s="213" t="s">
        <v>251</v>
      </c>
      <c r="C56" s="211"/>
      <c r="D56" s="211"/>
      <c r="E56" s="211"/>
      <c r="F56" s="213" t="s">
        <v>251</v>
      </c>
      <c r="G56" s="218"/>
      <c r="H56" s="218"/>
      <c r="I56" s="218"/>
      <c r="J56" s="218"/>
      <c r="K56" s="213">
        <f t="shared" si="1"/>
        <v>2</v>
      </c>
    </row>
    <row r="57" spans="1:11" ht="14.25" customHeight="1" x14ac:dyDescent="0.15">
      <c r="A57" s="216" t="s">
        <v>229</v>
      </c>
      <c r="B57" s="211"/>
      <c r="C57" s="213" t="s">
        <v>251</v>
      </c>
      <c r="D57" s="213" t="s">
        <v>251</v>
      </c>
      <c r="E57" s="211"/>
      <c r="F57" s="218"/>
      <c r="G57" s="218"/>
      <c r="H57" s="218"/>
      <c r="I57" s="218"/>
      <c r="J57" s="218"/>
      <c r="K57" s="213">
        <f t="shared" si="1"/>
        <v>2</v>
      </c>
    </row>
    <row r="58" spans="1:11" x14ac:dyDescent="0.15">
      <c r="A58" s="219" t="s">
        <v>111</v>
      </c>
      <c r="B58" s="211"/>
      <c r="C58" s="213" t="s">
        <v>251</v>
      </c>
      <c r="D58" s="211"/>
      <c r="E58" s="213" t="s">
        <v>251</v>
      </c>
      <c r="F58" s="218"/>
      <c r="G58" s="218"/>
      <c r="H58" s="218"/>
      <c r="I58" s="218"/>
      <c r="J58" s="218"/>
      <c r="K58" s="213">
        <f t="shared" si="1"/>
        <v>2</v>
      </c>
    </row>
    <row r="59" spans="1:11" x14ac:dyDescent="0.15">
      <c r="A59" s="216" t="s">
        <v>197</v>
      </c>
      <c r="B59" s="211"/>
      <c r="C59" s="211"/>
      <c r="D59" s="213" t="s">
        <v>251</v>
      </c>
      <c r="E59" s="213" t="s">
        <v>251</v>
      </c>
      <c r="F59" s="218"/>
      <c r="G59" s="218"/>
      <c r="H59" s="218"/>
      <c r="I59" s="218"/>
      <c r="J59" s="218"/>
      <c r="K59" s="213">
        <f t="shared" si="1"/>
        <v>2</v>
      </c>
    </row>
    <row r="60" spans="1:11" x14ac:dyDescent="0.15">
      <c r="A60" s="216" t="s">
        <v>27</v>
      </c>
      <c r="B60" s="211"/>
      <c r="C60" s="211"/>
      <c r="D60" s="213" t="s">
        <v>251</v>
      </c>
      <c r="E60" s="213" t="s">
        <v>251</v>
      </c>
      <c r="F60" s="218"/>
      <c r="G60" s="218"/>
      <c r="H60" s="218"/>
      <c r="I60" s="218"/>
      <c r="J60" s="218"/>
      <c r="K60" s="213">
        <f t="shared" si="1"/>
        <v>2</v>
      </c>
    </row>
    <row r="61" spans="1:11" x14ac:dyDescent="0.15">
      <c r="A61" s="216" t="s">
        <v>28</v>
      </c>
      <c r="B61" s="211"/>
      <c r="C61" s="211"/>
      <c r="D61" s="213" t="s">
        <v>251</v>
      </c>
      <c r="E61" s="213" t="s">
        <v>251</v>
      </c>
      <c r="F61" s="218"/>
      <c r="G61" s="218"/>
      <c r="H61" s="218"/>
      <c r="I61" s="218"/>
      <c r="J61" s="218"/>
      <c r="K61" s="213">
        <f t="shared" si="1"/>
        <v>2</v>
      </c>
    </row>
    <row r="62" spans="1:11" x14ac:dyDescent="0.15">
      <c r="A62" s="216" t="s">
        <v>26</v>
      </c>
      <c r="B62" s="211"/>
      <c r="C62" s="211"/>
      <c r="D62" s="213" t="s">
        <v>251</v>
      </c>
      <c r="E62" s="211"/>
      <c r="F62" s="217"/>
      <c r="G62" s="217"/>
      <c r="H62" s="217"/>
      <c r="I62" s="211"/>
      <c r="J62" s="213" t="s">
        <v>251</v>
      </c>
      <c r="K62" s="213">
        <f t="shared" si="1"/>
        <v>2</v>
      </c>
    </row>
    <row r="63" spans="1:11" x14ac:dyDescent="0.15">
      <c r="A63" s="219" t="s">
        <v>96</v>
      </c>
      <c r="B63" s="211"/>
      <c r="C63" s="211"/>
      <c r="D63" s="213" t="s">
        <v>251</v>
      </c>
      <c r="E63" s="211"/>
      <c r="F63" s="217"/>
      <c r="G63" s="217"/>
      <c r="H63" s="217"/>
      <c r="I63" s="213" t="s">
        <v>251</v>
      </c>
      <c r="J63" s="211"/>
      <c r="K63" s="213">
        <f t="shared" si="1"/>
        <v>2</v>
      </c>
    </row>
    <row r="64" spans="1:11" x14ac:dyDescent="0.15">
      <c r="A64" s="216" t="s">
        <v>37</v>
      </c>
      <c r="B64" s="211"/>
      <c r="C64" s="211"/>
      <c r="D64" s="211"/>
      <c r="E64" s="213" t="s">
        <v>251</v>
      </c>
      <c r="F64" s="217"/>
      <c r="G64" s="217"/>
      <c r="H64" s="217"/>
      <c r="I64" s="213" t="s">
        <v>251</v>
      </c>
      <c r="J64" s="211"/>
      <c r="K64" s="213">
        <f t="shared" si="1"/>
        <v>2</v>
      </c>
    </row>
    <row r="65" spans="1:11" x14ac:dyDescent="0.15">
      <c r="A65" s="219" t="s">
        <v>212</v>
      </c>
      <c r="B65" s="211"/>
      <c r="C65" s="211"/>
      <c r="D65" s="211"/>
      <c r="E65" s="211"/>
      <c r="F65" s="217"/>
      <c r="G65" s="217"/>
      <c r="H65" s="217"/>
      <c r="I65" s="213" t="s">
        <v>251</v>
      </c>
      <c r="J65" s="213" t="s">
        <v>251</v>
      </c>
      <c r="K65" s="213">
        <f t="shared" si="1"/>
        <v>2</v>
      </c>
    </row>
    <row r="66" spans="1:11" x14ac:dyDescent="0.15">
      <c r="A66" s="219" t="s">
        <v>221</v>
      </c>
      <c r="B66" s="213" t="s">
        <v>251</v>
      </c>
      <c r="C66" s="217"/>
      <c r="D66" s="217"/>
      <c r="E66" s="217"/>
      <c r="F66" s="217"/>
      <c r="G66" s="217"/>
      <c r="H66" s="217"/>
      <c r="I66" s="217"/>
      <c r="J66" s="217"/>
      <c r="K66" s="213">
        <f t="shared" si="1"/>
        <v>1</v>
      </c>
    </row>
    <row r="67" spans="1:11" x14ac:dyDescent="0.15">
      <c r="A67" s="219" t="s">
        <v>222</v>
      </c>
      <c r="B67" s="213" t="s">
        <v>251</v>
      </c>
      <c r="C67" s="217"/>
      <c r="D67" s="217"/>
      <c r="E67" s="217"/>
      <c r="F67" s="217"/>
      <c r="G67" s="217"/>
      <c r="H67" s="217"/>
      <c r="I67" s="217"/>
      <c r="J67" s="217"/>
      <c r="K67" s="213">
        <f t="shared" si="1"/>
        <v>1</v>
      </c>
    </row>
    <row r="68" spans="1:11" x14ac:dyDescent="0.15">
      <c r="A68" s="219" t="s">
        <v>191</v>
      </c>
      <c r="B68" s="213" t="s">
        <v>251</v>
      </c>
      <c r="C68" s="217"/>
      <c r="D68" s="217"/>
      <c r="E68" s="217"/>
      <c r="F68" s="217"/>
      <c r="G68" s="217"/>
      <c r="H68" s="217"/>
      <c r="I68" s="217"/>
      <c r="J68" s="217"/>
      <c r="K68" s="213">
        <f t="shared" si="1"/>
        <v>1</v>
      </c>
    </row>
    <row r="69" spans="1:11" x14ac:dyDescent="0.15">
      <c r="A69" s="216" t="s">
        <v>110</v>
      </c>
      <c r="B69" s="211"/>
      <c r="C69" s="221" t="s">
        <v>251</v>
      </c>
      <c r="D69" s="217"/>
      <c r="E69" s="217"/>
      <c r="F69" s="217"/>
      <c r="G69" s="217"/>
      <c r="H69" s="217"/>
      <c r="I69" s="217"/>
      <c r="J69" s="217"/>
      <c r="K69" s="213">
        <f t="shared" ref="K69:K83" si="2">COUNTA(B69:J69)</f>
        <v>1</v>
      </c>
    </row>
    <row r="70" spans="1:11" x14ac:dyDescent="0.15">
      <c r="A70" s="219" t="s">
        <v>95</v>
      </c>
      <c r="B70" s="211"/>
      <c r="C70" s="221" t="s">
        <v>251</v>
      </c>
      <c r="D70" s="217"/>
      <c r="E70" s="217"/>
      <c r="F70" s="217"/>
      <c r="G70" s="217"/>
      <c r="H70" s="217"/>
      <c r="I70" s="217"/>
      <c r="J70" s="217"/>
      <c r="K70" s="213">
        <f t="shared" si="2"/>
        <v>1</v>
      </c>
    </row>
    <row r="71" spans="1:11" x14ac:dyDescent="0.15">
      <c r="A71" s="216" t="s">
        <v>232</v>
      </c>
      <c r="B71" s="211"/>
      <c r="C71" s="217"/>
      <c r="D71" s="221" t="s">
        <v>251</v>
      </c>
      <c r="E71" s="217"/>
      <c r="F71" s="217"/>
      <c r="G71" s="217"/>
      <c r="H71" s="217"/>
      <c r="I71" s="217"/>
      <c r="J71" s="217"/>
      <c r="K71" s="213">
        <f t="shared" si="2"/>
        <v>1</v>
      </c>
    </row>
    <row r="72" spans="1:11" x14ac:dyDescent="0.15">
      <c r="A72" s="219" t="s">
        <v>70</v>
      </c>
      <c r="B72" s="211"/>
      <c r="C72" s="217"/>
      <c r="D72" s="221" t="s">
        <v>251</v>
      </c>
      <c r="E72" s="217"/>
      <c r="F72" s="217"/>
      <c r="G72" s="217"/>
      <c r="H72" s="217"/>
      <c r="I72" s="217"/>
      <c r="J72" s="217"/>
      <c r="K72" s="213">
        <f t="shared" si="2"/>
        <v>1</v>
      </c>
    </row>
    <row r="73" spans="1:11" x14ac:dyDescent="0.15">
      <c r="A73" s="219" t="s">
        <v>199</v>
      </c>
      <c r="B73" s="211"/>
      <c r="C73" s="217"/>
      <c r="D73" s="221" t="s">
        <v>251</v>
      </c>
      <c r="E73" s="217"/>
      <c r="F73" s="217"/>
      <c r="G73" s="217"/>
      <c r="H73" s="217"/>
      <c r="I73" s="217"/>
      <c r="J73" s="217"/>
      <c r="K73" s="213">
        <f t="shared" si="2"/>
        <v>1</v>
      </c>
    </row>
    <row r="74" spans="1:11" x14ac:dyDescent="0.15">
      <c r="A74" s="216" t="s">
        <v>62</v>
      </c>
      <c r="B74" s="211"/>
      <c r="C74" s="217"/>
      <c r="D74" s="221" t="s">
        <v>251</v>
      </c>
      <c r="E74" s="217"/>
      <c r="F74" s="217"/>
      <c r="G74" s="217"/>
      <c r="H74" s="217"/>
      <c r="I74" s="217"/>
      <c r="J74" s="217"/>
      <c r="K74" s="213">
        <f t="shared" si="2"/>
        <v>1</v>
      </c>
    </row>
    <row r="75" spans="1:11" x14ac:dyDescent="0.15">
      <c r="A75" s="216" t="s">
        <v>231</v>
      </c>
      <c r="B75" s="211"/>
      <c r="C75" s="217"/>
      <c r="D75" s="221" t="s">
        <v>251</v>
      </c>
      <c r="E75" s="217"/>
      <c r="F75" s="217"/>
      <c r="G75" s="217"/>
      <c r="H75" s="217"/>
      <c r="I75" s="217"/>
      <c r="J75" s="217"/>
      <c r="K75" s="213">
        <f t="shared" si="2"/>
        <v>1</v>
      </c>
    </row>
    <row r="76" spans="1:11" x14ac:dyDescent="0.15">
      <c r="A76" s="216" t="s">
        <v>194</v>
      </c>
      <c r="B76" s="211"/>
      <c r="C76" s="217"/>
      <c r="D76" s="221" t="s">
        <v>251</v>
      </c>
      <c r="E76" s="217"/>
      <c r="F76" s="217"/>
      <c r="G76" s="217"/>
      <c r="H76" s="217"/>
      <c r="I76" s="217"/>
      <c r="J76" s="217"/>
      <c r="K76" s="213">
        <f t="shared" si="2"/>
        <v>1</v>
      </c>
    </row>
    <row r="77" spans="1:11" x14ac:dyDescent="0.15">
      <c r="A77" s="219" t="s">
        <v>132</v>
      </c>
      <c r="B77" s="211"/>
      <c r="C77" s="217"/>
      <c r="D77" s="221" t="s">
        <v>251</v>
      </c>
      <c r="E77" s="217"/>
      <c r="F77" s="217"/>
      <c r="G77" s="217"/>
      <c r="H77" s="217"/>
      <c r="I77" s="217"/>
      <c r="J77" s="217"/>
      <c r="K77" s="213">
        <f t="shared" si="2"/>
        <v>1</v>
      </c>
    </row>
    <row r="78" spans="1:11" x14ac:dyDescent="0.15">
      <c r="A78" s="219" t="s">
        <v>133</v>
      </c>
      <c r="B78" s="211"/>
      <c r="C78" s="217"/>
      <c r="D78" s="217"/>
      <c r="E78" s="221" t="s">
        <v>251</v>
      </c>
      <c r="F78" s="217"/>
      <c r="G78" s="217"/>
      <c r="H78" s="217"/>
      <c r="I78" s="217"/>
      <c r="J78" s="217"/>
      <c r="K78" s="213">
        <f t="shared" si="2"/>
        <v>1</v>
      </c>
    </row>
    <row r="79" spans="1:11" x14ac:dyDescent="0.15">
      <c r="A79" s="219" t="s">
        <v>205</v>
      </c>
      <c r="B79" s="211"/>
      <c r="C79" s="217"/>
      <c r="D79" s="217"/>
      <c r="E79" s="217"/>
      <c r="F79" s="217"/>
      <c r="G79" s="221" t="s">
        <v>251</v>
      </c>
      <c r="H79" s="217"/>
      <c r="I79" s="217"/>
      <c r="J79" s="217"/>
      <c r="K79" s="213">
        <f t="shared" si="2"/>
        <v>1</v>
      </c>
    </row>
    <row r="80" spans="1:11" x14ac:dyDescent="0.15">
      <c r="A80" s="216" t="s">
        <v>219</v>
      </c>
      <c r="B80" s="211"/>
      <c r="C80" s="211"/>
      <c r="D80" s="211"/>
      <c r="E80" s="211"/>
      <c r="F80" s="211"/>
      <c r="G80" s="211"/>
      <c r="H80" s="211"/>
      <c r="I80" s="213" t="s">
        <v>251</v>
      </c>
      <c r="J80" s="211"/>
      <c r="K80" s="213">
        <f t="shared" si="2"/>
        <v>1</v>
      </c>
    </row>
    <row r="81" spans="1:11" x14ac:dyDescent="0.15">
      <c r="A81" s="216" t="s">
        <v>175</v>
      </c>
      <c r="B81" s="211"/>
      <c r="C81" s="211"/>
      <c r="D81" s="211"/>
      <c r="E81" s="211"/>
      <c r="F81" s="211"/>
      <c r="G81" s="211"/>
      <c r="H81" s="211"/>
      <c r="I81" s="213" t="s">
        <v>251</v>
      </c>
      <c r="J81" s="211"/>
      <c r="K81" s="213">
        <f t="shared" si="2"/>
        <v>1</v>
      </c>
    </row>
    <row r="82" spans="1:11" x14ac:dyDescent="0.15">
      <c r="A82" s="216" t="s">
        <v>213</v>
      </c>
      <c r="B82" s="211"/>
      <c r="C82" s="211"/>
      <c r="D82" s="211"/>
      <c r="E82" s="211"/>
      <c r="F82" s="211"/>
      <c r="G82" s="211"/>
      <c r="H82" s="211"/>
      <c r="I82" s="211"/>
      <c r="J82" s="213" t="s">
        <v>251</v>
      </c>
      <c r="K82" s="213">
        <f t="shared" si="2"/>
        <v>1</v>
      </c>
    </row>
    <row r="83" spans="1:11" x14ac:dyDescent="0.15">
      <c r="A83" s="222" t="s">
        <v>202</v>
      </c>
      <c r="B83" s="214"/>
      <c r="C83" s="214"/>
      <c r="D83" s="214"/>
      <c r="E83" s="214"/>
      <c r="F83" s="214"/>
      <c r="G83" s="214"/>
      <c r="H83" s="214"/>
      <c r="I83" s="214"/>
      <c r="J83" s="215" t="s">
        <v>251</v>
      </c>
      <c r="K83" s="215">
        <f t="shared" si="2"/>
        <v>1</v>
      </c>
    </row>
    <row r="84" spans="1:11" x14ac:dyDescent="0.15">
      <c r="A84" s="223"/>
      <c r="B84" s="224"/>
      <c r="C84" s="224"/>
      <c r="D84" s="224"/>
      <c r="E84" s="224"/>
      <c r="F84" s="224"/>
      <c r="G84" s="224"/>
      <c r="H84" s="224"/>
      <c r="I84" s="224"/>
      <c r="J84" s="225"/>
      <c r="K84" s="225"/>
    </row>
    <row r="85" spans="1:11" x14ac:dyDescent="0.15">
      <c r="A85" s="216" t="s">
        <v>253</v>
      </c>
      <c r="B85" s="211">
        <f t="shared" ref="B85:J85" si="3">COUNTA(B5:B83)</f>
        <v>50</v>
      </c>
      <c r="C85" s="211">
        <f t="shared" si="3"/>
        <v>31</v>
      </c>
      <c r="D85" s="211">
        <f t="shared" si="3"/>
        <v>58</v>
      </c>
      <c r="E85" s="211">
        <f t="shared" si="3"/>
        <v>48</v>
      </c>
      <c r="F85" s="211">
        <f t="shared" si="3"/>
        <v>27</v>
      </c>
      <c r="G85" s="211">
        <f t="shared" si="3"/>
        <v>26</v>
      </c>
      <c r="H85" s="211">
        <f t="shared" si="3"/>
        <v>25</v>
      </c>
      <c r="I85" s="211">
        <f t="shared" si="3"/>
        <v>36</v>
      </c>
      <c r="J85" s="211">
        <f t="shared" si="3"/>
        <v>26</v>
      </c>
      <c r="K85" s="213"/>
    </row>
    <row r="86" spans="1:11" x14ac:dyDescent="0.15">
      <c r="A86" s="222" t="s">
        <v>254</v>
      </c>
      <c r="B86" s="226">
        <f>+B85/A88</f>
        <v>0.63291139240506333</v>
      </c>
      <c r="C86" s="226">
        <f>+C85/A88</f>
        <v>0.39240506329113922</v>
      </c>
      <c r="D86" s="226">
        <f>+D85/A88</f>
        <v>0.73417721518987344</v>
      </c>
      <c r="E86" s="226">
        <f>+E85/A88</f>
        <v>0.60759493670886078</v>
      </c>
      <c r="F86" s="226">
        <f>+F85/A88</f>
        <v>0.34177215189873417</v>
      </c>
      <c r="G86" s="226">
        <f>+G85/A88</f>
        <v>0.32911392405063289</v>
      </c>
      <c r="H86" s="226">
        <f>+H85/A88</f>
        <v>0.31645569620253167</v>
      </c>
      <c r="I86" s="226">
        <f>+I85/A88</f>
        <v>0.45569620253164556</v>
      </c>
      <c r="J86" s="226">
        <f>+J85/A88</f>
        <v>0.32911392405063289</v>
      </c>
      <c r="K86" s="215"/>
    </row>
    <row r="88" spans="1:11" x14ac:dyDescent="0.15">
      <c r="A88">
        <v>79</v>
      </c>
    </row>
  </sheetData>
  <sortState xmlns:xlrd2="http://schemas.microsoft.com/office/spreadsheetml/2017/richdata2" ref="A5:K83">
    <sortCondition descending="1" ref="K5:K83"/>
  </sortState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23A9-4AC0-44CE-8B25-A38DA88EB491}">
  <dimension ref="A1:AK108"/>
  <sheetViews>
    <sheetView zoomScale="80" zoomScaleNormal="80" workbookViewId="0">
      <selection activeCell="AN18" sqref="AN18"/>
    </sheetView>
  </sheetViews>
  <sheetFormatPr defaultRowHeight="13.5" x14ac:dyDescent="0.15"/>
  <cols>
    <col min="1" max="1" width="26.375" customWidth="1"/>
    <col min="2" max="5" width="3.5" customWidth="1"/>
    <col min="6" max="8" width="3.25" customWidth="1"/>
    <col min="9" max="12" width="3.625" customWidth="1"/>
    <col min="13" max="15" width="3.5" customWidth="1"/>
    <col min="16" max="16" width="3.25" customWidth="1"/>
    <col min="17" max="19" width="3.625" customWidth="1"/>
    <col min="20" max="22" width="3.25" customWidth="1"/>
    <col min="23" max="26" width="3.625" customWidth="1"/>
    <col min="27" max="29" width="3.25" customWidth="1"/>
    <col min="30" max="33" width="3.5" customWidth="1"/>
    <col min="34" max="36" width="3.25" customWidth="1"/>
    <col min="37" max="37" width="5.75" customWidth="1"/>
  </cols>
  <sheetData>
    <row r="1" spans="1:37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7" x14ac:dyDescent="0.15">
      <c r="A2" s="194" t="s">
        <v>0</v>
      </c>
      <c r="B2" s="246">
        <v>1</v>
      </c>
      <c r="C2" s="246"/>
      <c r="D2" s="246"/>
      <c r="E2" s="246"/>
      <c r="F2" s="246"/>
      <c r="G2" s="246"/>
      <c r="H2" s="246"/>
      <c r="I2" s="246">
        <v>2</v>
      </c>
      <c r="J2" s="246"/>
      <c r="K2" s="246"/>
      <c r="L2" s="246"/>
      <c r="M2" s="246"/>
      <c r="N2" s="246"/>
      <c r="O2" s="246"/>
      <c r="P2" s="246">
        <v>3</v>
      </c>
      <c r="Q2" s="246"/>
      <c r="R2" s="246"/>
      <c r="S2" s="246"/>
      <c r="T2" s="246"/>
      <c r="U2" s="246"/>
      <c r="V2" s="246"/>
      <c r="W2" s="246">
        <v>4</v>
      </c>
      <c r="X2" s="246"/>
      <c r="Y2" s="246"/>
      <c r="Z2" s="246"/>
      <c r="AA2" s="246"/>
      <c r="AB2" s="246"/>
      <c r="AC2" s="246"/>
      <c r="AD2" s="246">
        <v>5</v>
      </c>
      <c r="AE2" s="246"/>
      <c r="AF2" s="246"/>
      <c r="AG2" s="246"/>
      <c r="AH2" s="246"/>
      <c r="AI2" s="246"/>
      <c r="AJ2" s="246"/>
    </row>
    <row r="3" spans="1:37" x14ac:dyDescent="0.15">
      <c r="A3" s="6" t="s">
        <v>1</v>
      </c>
      <c r="B3" s="243" t="s">
        <v>188</v>
      </c>
      <c r="C3" s="243"/>
      <c r="D3" s="243"/>
      <c r="E3" s="243"/>
      <c r="F3" s="243"/>
      <c r="G3" s="243"/>
      <c r="H3" s="243"/>
      <c r="I3" s="243" t="s">
        <v>223</v>
      </c>
      <c r="J3" s="243"/>
      <c r="K3" s="243"/>
      <c r="L3" s="243"/>
      <c r="M3" s="243"/>
      <c r="N3" s="243"/>
      <c r="O3" s="243"/>
      <c r="P3" s="243" t="s">
        <v>224</v>
      </c>
      <c r="Q3" s="243"/>
      <c r="R3" s="243"/>
      <c r="S3" s="243"/>
      <c r="T3" s="243"/>
      <c r="U3" s="243"/>
      <c r="V3" s="243"/>
      <c r="W3" s="243" t="s">
        <v>225</v>
      </c>
      <c r="X3" s="243"/>
      <c r="Y3" s="243"/>
      <c r="Z3" s="243"/>
      <c r="AA3" s="243"/>
      <c r="AB3" s="243"/>
      <c r="AC3" s="243"/>
      <c r="AD3" s="243" t="s">
        <v>226</v>
      </c>
      <c r="AE3" s="243"/>
      <c r="AF3" s="243"/>
      <c r="AG3" s="243"/>
      <c r="AH3" s="243"/>
      <c r="AI3" s="243"/>
      <c r="AJ3" s="243"/>
    </row>
    <row r="4" spans="1:37" x14ac:dyDescent="0.15">
      <c r="A4" s="8"/>
      <c r="B4" s="94" t="s">
        <v>65</v>
      </c>
      <c r="C4" s="95" t="s">
        <v>63</v>
      </c>
      <c r="D4" s="96" t="s">
        <v>64</v>
      </c>
      <c r="E4" s="97" t="s">
        <v>100</v>
      </c>
      <c r="F4" s="98" t="s">
        <v>114</v>
      </c>
      <c r="G4" s="144" t="s">
        <v>187</v>
      </c>
      <c r="H4" s="168" t="s">
        <v>220</v>
      </c>
      <c r="I4" s="94" t="s">
        <v>65</v>
      </c>
      <c r="J4" s="95" t="s">
        <v>63</v>
      </c>
      <c r="K4" s="96" t="s">
        <v>64</v>
      </c>
      <c r="L4" s="97" t="s">
        <v>100</v>
      </c>
      <c r="M4" s="98" t="s">
        <v>114</v>
      </c>
      <c r="N4" s="144" t="s">
        <v>187</v>
      </c>
      <c r="O4" s="168" t="s">
        <v>220</v>
      </c>
      <c r="P4" s="99" t="s">
        <v>65</v>
      </c>
      <c r="Q4" s="95" t="s">
        <v>63</v>
      </c>
      <c r="R4" s="96" t="s">
        <v>64</v>
      </c>
      <c r="S4" s="97" t="s">
        <v>100</v>
      </c>
      <c r="T4" s="98" t="s">
        <v>114</v>
      </c>
      <c r="U4" s="144" t="s">
        <v>187</v>
      </c>
      <c r="V4" s="168" t="s">
        <v>220</v>
      </c>
      <c r="W4" s="94" t="s">
        <v>65</v>
      </c>
      <c r="X4" s="95" t="s">
        <v>63</v>
      </c>
      <c r="Y4" s="96" t="s">
        <v>64</v>
      </c>
      <c r="Z4" s="97" t="s">
        <v>100</v>
      </c>
      <c r="AA4" s="98" t="s">
        <v>114</v>
      </c>
      <c r="AB4" s="144" t="s">
        <v>187</v>
      </c>
      <c r="AC4" s="168" t="s">
        <v>220</v>
      </c>
      <c r="AD4" s="94" t="s">
        <v>65</v>
      </c>
      <c r="AE4" s="95" t="s">
        <v>63</v>
      </c>
      <c r="AF4" s="96" t="s">
        <v>64</v>
      </c>
      <c r="AG4" s="97" t="s">
        <v>100</v>
      </c>
      <c r="AH4" s="98" t="s">
        <v>114</v>
      </c>
      <c r="AI4" s="144" t="s">
        <v>187</v>
      </c>
      <c r="AJ4" s="168" t="s">
        <v>220</v>
      </c>
    </row>
    <row r="5" spans="1:37" ht="14.25" x14ac:dyDescent="0.15">
      <c r="A5" s="26" t="s">
        <v>59</v>
      </c>
      <c r="B5" s="42">
        <f t="shared" ref="B5:AJ5" si="0">COUNT(B6:B84)</f>
        <v>9</v>
      </c>
      <c r="C5" s="43">
        <f t="shared" si="0"/>
        <v>12</v>
      </c>
      <c r="D5" s="102">
        <f t="shared" si="0"/>
        <v>25</v>
      </c>
      <c r="E5" s="52">
        <f t="shared" si="0"/>
        <v>22</v>
      </c>
      <c r="F5" s="62">
        <f t="shared" si="0"/>
        <v>26</v>
      </c>
      <c r="G5" s="68">
        <f t="shared" si="0"/>
        <v>26</v>
      </c>
      <c r="H5" s="110">
        <f t="shared" si="0"/>
        <v>24</v>
      </c>
      <c r="I5" s="42">
        <f t="shared" si="0"/>
        <v>9</v>
      </c>
      <c r="J5" s="43">
        <f t="shared" si="0"/>
        <v>14</v>
      </c>
      <c r="K5" s="102">
        <f t="shared" si="0"/>
        <v>20</v>
      </c>
      <c r="L5" s="52">
        <f t="shared" si="0"/>
        <v>24</v>
      </c>
      <c r="M5" s="62">
        <f t="shared" si="0"/>
        <v>24</v>
      </c>
      <c r="N5" s="68">
        <f t="shared" si="0"/>
        <v>23</v>
      </c>
      <c r="O5" s="110">
        <f t="shared" si="0"/>
        <v>22</v>
      </c>
      <c r="P5" s="42">
        <f t="shared" si="0"/>
        <v>8</v>
      </c>
      <c r="Q5" s="43">
        <f t="shared" si="0"/>
        <v>10</v>
      </c>
      <c r="R5" s="102">
        <f t="shared" si="0"/>
        <v>15</v>
      </c>
      <c r="S5" s="52">
        <f t="shared" si="0"/>
        <v>19</v>
      </c>
      <c r="T5" s="62">
        <f t="shared" si="0"/>
        <v>19</v>
      </c>
      <c r="U5" s="68">
        <f t="shared" si="0"/>
        <v>15</v>
      </c>
      <c r="V5" s="110">
        <f t="shared" si="0"/>
        <v>18</v>
      </c>
      <c r="W5" s="42">
        <f t="shared" si="0"/>
        <v>12</v>
      </c>
      <c r="X5" s="43">
        <f t="shared" si="0"/>
        <v>15</v>
      </c>
      <c r="Y5" s="102">
        <f t="shared" si="0"/>
        <v>17</v>
      </c>
      <c r="Z5" s="52">
        <f t="shared" si="0"/>
        <v>21</v>
      </c>
      <c r="AA5" s="62">
        <f t="shared" si="0"/>
        <v>21</v>
      </c>
      <c r="AB5" s="68">
        <f t="shared" si="0"/>
        <v>18</v>
      </c>
      <c r="AC5" s="110">
        <f t="shared" si="0"/>
        <v>25</v>
      </c>
      <c r="AD5" s="42">
        <f t="shared" si="0"/>
        <v>9</v>
      </c>
      <c r="AE5" s="43">
        <f t="shared" si="0"/>
        <v>13</v>
      </c>
      <c r="AF5" s="102">
        <f t="shared" si="0"/>
        <v>17</v>
      </c>
      <c r="AG5" s="52">
        <f t="shared" si="0"/>
        <v>17</v>
      </c>
      <c r="AH5" s="62">
        <f t="shared" si="0"/>
        <v>21</v>
      </c>
      <c r="AI5" s="68">
        <f t="shared" si="0"/>
        <v>19</v>
      </c>
      <c r="AJ5" s="110">
        <f t="shared" si="0"/>
        <v>21</v>
      </c>
      <c r="AK5" t="s">
        <v>240</v>
      </c>
    </row>
    <row r="6" spans="1:37" x14ac:dyDescent="0.15">
      <c r="A6" s="27" t="s">
        <v>60</v>
      </c>
      <c r="B6" s="17"/>
      <c r="C6" s="21"/>
      <c r="D6" s="111"/>
      <c r="E6" s="112"/>
      <c r="F6" s="113"/>
      <c r="G6" s="145"/>
      <c r="H6" s="169"/>
      <c r="I6" s="114"/>
      <c r="J6" s="21"/>
      <c r="K6" s="111"/>
      <c r="L6" s="112"/>
      <c r="M6" s="113"/>
      <c r="N6" s="145"/>
      <c r="O6" s="169"/>
      <c r="P6" s="114"/>
      <c r="Q6" s="115"/>
      <c r="R6" s="111"/>
      <c r="S6" s="112"/>
      <c r="T6" s="113"/>
      <c r="U6" s="145"/>
      <c r="V6" s="169"/>
      <c r="W6" s="114"/>
      <c r="X6" s="115"/>
      <c r="Y6" s="111"/>
      <c r="Z6" s="112"/>
      <c r="AA6" s="113"/>
      <c r="AB6" s="145"/>
      <c r="AC6" s="169"/>
      <c r="AD6" s="114"/>
      <c r="AE6" s="115"/>
      <c r="AF6" s="116">
        <v>1</v>
      </c>
      <c r="AG6" s="117">
        <v>1</v>
      </c>
      <c r="AH6" s="118">
        <v>1</v>
      </c>
      <c r="AI6" s="146">
        <v>1</v>
      </c>
      <c r="AJ6" s="170">
        <v>2</v>
      </c>
      <c r="AK6">
        <f>COUNTA(B6:AJ6)</f>
        <v>5</v>
      </c>
    </row>
    <row r="7" spans="1:37" x14ac:dyDescent="0.15">
      <c r="A7" s="27" t="s">
        <v>105</v>
      </c>
      <c r="B7" s="17"/>
      <c r="C7" s="21"/>
      <c r="D7" s="111"/>
      <c r="E7" s="112"/>
      <c r="F7" s="113"/>
      <c r="G7" s="145"/>
      <c r="H7" s="169"/>
      <c r="I7" s="114"/>
      <c r="J7" s="21"/>
      <c r="K7" s="111"/>
      <c r="L7" s="112"/>
      <c r="M7" s="113"/>
      <c r="N7" s="145"/>
      <c r="O7" s="169"/>
      <c r="P7" s="114"/>
      <c r="Q7" s="115"/>
      <c r="R7" s="111"/>
      <c r="S7" s="112"/>
      <c r="T7" s="113"/>
      <c r="U7" s="145"/>
      <c r="V7" s="169"/>
      <c r="W7" s="114"/>
      <c r="X7" s="115"/>
      <c r="Y7" s="111"/>
      <c r="Z7" s="112"/>
      <c r="AA7" s="113"/>
      <c r="AB7" s="145"/>
      <c r="AC7" s="169"/>
      <c r="AD7" s="114"/>
      <c r="AE7" s="115"/>
      <c r="AF7" s="116"/>
      <c r="AG7" s="117"/>
      <c r="AH7" s="118">
        <v>1</v>
      </c>
      <c r="AI7" s="146"/>
      <c r="AJ7" s="170"/>
      <c r="AK7">
        <f t="shared" ref="AK7:AK70" si="1">COUNTA(B7:AJ7)</f>
        <v>1</v>
      </c>
    </row>
    <row r="8" spans="1:37" x14ac:dyDescent="0.15">
      <c r="A8" s="2" t="s">
        <v>43</v>
      </c>
      <c r="B8" s="17"/>
      <c r="C8" s="21"/>
      <c r="D8" s="128"/>
      <c r="E8" s="54"/>
      <c r="F8" s="64"/>
      <c r="G8" s="69"/>
      <c r="H8" s="127"/>
      <c r="J8" s="21"/>
      <c r="K8" s="128"/>
      <c r="L8" s="54"/>
      <c r="M8" s="64"/>
      <c r="N8" s="69"/>
      <c r="O8" s="127"/>
      <c r="Q8" s="21"/>
      <c r="R8" s="128"/>
      <c r="S8" s="54"/>
      <c r="T8" s="64"/>
      <c r="U8" s="69"/>
      <c r="V8" s="127"/>
      <c r="X8" s="21"/>
      <c r="Y8" s="128"/>
      <c r="Z8" s="54"/>
      <c r="AA8" s="64"/>
      <c r="AB8" s="69"/>
      <c r="AC8" s="127"/>
      <c r="AE8" s="21"/>
      <c r="AF8" s="128"/>
      <c r="AG8" s="54"/>
      <c r="AH8" s="64"/>
      <c r="AI8" s="69"/>
      <c r="AJ8" s="127"/>
      <c r="AK8">
        <f t="shared" si="1"/>
        <v>0</v>
      </c>
    </row>
    <row r="9" spans="1:37" x14ac:dyDescent="0.15">
      <c r="A9" s="27" t="s">
        <v>53</v>
      </c>
      <c r="B9" s="17"/>
      <c r="C9" s="21"/>
      <c r="D9" s="116">
        <v>1</v>
      </c>
      <c r="E9" s="117"/>
      <c r="F9" s="118">
        <v>1</v>
      </c>
      <c r="G9" s="146"/>
      <c r="H9" s="170"/>
      <c r="I9" s="114"/>
      <c r="J9" s="21"/>
      <c r="K9" s="111"/>
      <c r="L9" s="112"/>
      <c r="M9" s="113"/>
      <c r="N9" s="145"/>
      <c r="O9" s="169"/>
      <c r="P9" s="114"/>
      <c r="Q9" s="115"/>
      <c r="R9" s="111"/>
      <c r="S9" s="112"/>
      <c r="T9" s="113"/>
      <c r="U9" s="145"/>
      <c r="V9" s="169"/>
      <c r="W9" s="114"/>
      <c r="X9" s="115"/>
      <c r="Y9" s="116">
        <v>1</v>
      </c>
      <c r="Z9" s="112"/>
      <c r="AA9" s="113"/>
      <c r="AB9" s="145"/>
      <c r="AC9" s="169">
        <v>1</v>
      </c>
      <c r="AD9" s="114"/>
      <c r="AE9" s="115"/>
      <c r="AF9" s="111"/>
      <c r="AG9" s="112">
        <v>1</v>
      </c>
      <c r="AH9" s="113">
        <v>1</v>
      </c>
      <c r="AI9" s="145"/>
      <c r="AJ9" s="169">
        <v>1</v>
      </c>
      <c r="AK9">
        <f t="shared" si="1"/>
        <v>7</v>
      </c>
    </row>
    <row r="10" spans="1:37" x14ac:dyDescent="0.15">
      <c r="A10" s="2" t="s">
        <v>12</v>
      </c>
      <c r="C10" s="21"/>
      <c r="D10" s="128">
        <v>3</v>
      </c>
      <c r="E10" s="54">
        <v>2</v>
      </c>
      <c r="F10" s="64">
        <v>1</v>
      </c>
      <c r="G10" s="69">
        <v>1</v>
      </c>
      <c r="H10" s="127">
        <v>1</v>
      </c>
      <c r="J10" s="21">
        <v>1</v>
      </c>
      <c r="K10" s="128">
        <v>3</v>
      </c>
      <c r="L10" s="54">
        <v>1</v>
      </c>
      <c r="M10" s="64">
        <v>1</v>
      </c>
      <c r="N10" s="69">
        <v>1</v>
      </c>
      <c r="O10" s="127">
        <v>1</v>
      </c>
      <c r="P10">
        <v>3</v>
      </c>
      <c r="Q10" s="21">
        <v>1</v>
      </c>
      <c r="R10" s="128">
        <v>2</v>
      </c>
      <c r="S10" s="54">
        <v>2</v>
      </c>
      <c r="T10" s="64">
        <v>2</v>
      </c>
      <c r="U10" s="69">
        <v>1</v>
      </c>
      <c r="V10" s="127">
        <v>1</v>
      </c>
      <c r="W10">
        <v>2</v>
      </c>
      <c r="X10" s="21">
        <v>1</v>
      </c>
      <c r="Y10" s="128">
        <v>1</v>
      </c>
      <c r="Z10" s="54">
        <v>1</v>
      </c>
      <c r="AA10" s="64">
        <v>1</v>
      </c>
      <c r="AB10" s="69">
        <v>2</v>
      </c>
      <c r="AC10" s="127">
        <v>1</v>
      </c>
      <c r="AE10" s="21">
        <v>2</v>
      </c>
      <c r="AF10" s="128">
        <v>2</v>
      </c>
      <c r="AG10" s="54">
        <v>1</v>
      </c>
      <c r="AH10" s="64">
        <v>1</v>
      </c>
      <c r="AI10" s="69">
        <v>1</v>
      </c>
      <c r="AJ10" s="127">
        <v>2</v>
      </c>
      <c r="AK10">
        <f t="shared" si="1"/>
        <v>31</v>
      </c>
    </row>
    <row r="11" spans="1:37" x14ac:dyDescent="0.15">
      <c r="A11" s="2" t="s">
        <v>93</v>
      </c>
      <c r="B11" s="17"/>
      <c r="C11" s="21"/>
      <c r="D11" s="128"/>
      <c r="E11" s="54"/>
      <c r="F11" s="64">
        <v>1</v>
      </c>
      <c r="G11" s="69">
        <v>1</v>
      </c>
      <c r="H11" s="127">
        <v>2</v>
      </c>
      <c r="J11" s="21"/>
      <c r="K11" s="128"/>
      <c r="L11" s="54"/>
      <c r="M11" s="64"/>
      <c r="N11" s="69"/>
      <c r="O11" s="127">
        <v>1</v>
      </c>
      <c r="Q11" s="21"/>
      <c r="R11" s="128"/>
      <c r="S11" s="54"/>
      <c r="T11" s="64"/>
      <c r="U11" s="69"/>
      <c r="V11" s="127"/>
      <c r="X11" s="21"/>
      <c r="Y11" s="128"/>
      <c r="Z11" s="54">
        <v>1</v>
      </c>
      <c r="AA11" s="64">
        <v>1</v>
      </c>
      <c r="AB11" s="69">
        <v>1</v>
      </c>
      <c r="AC11" s="127">
        <v>1</v>
      </c>
      <c r="AE11" s="21"/>
      <c r="AF11" s="128"/>
      <c r="AG11" s="54"/>
      <c r="AH11" s="64">
        <v>1</v>
      </c>
      <c r="AI11" s="69">
        <v>1</v>
      </c>
      <c r="AJ11" s="127">
        <v>1</v>
      </c>
      <c r="AK11">
        <f t="shared" si="1"/>
        <v>11</v>
      </c>
    </row>
    <row r="12" spans="1:37" x14ac:dyDescent="0.15">
      <c r="A12" s="2" t="s">
        <v>33</v>
      </c>
      <c r="C12" s="21"/>
      <c r="D12" s="128"/>
      <c r="E12" s="54"/>
      <c r="F12" s="64"/>
      <c r="G12" s="69"/>
      <c r="H12" s="127"/>
      <c r="J12" s="21"/>
      <c r="K12" s="128"/>
      <c r="L12" s="54"/>
      <c r="M12" s="64"/>
      <c r="N12" s="69">
        <v>1</v>
      </c>
      <c r="O12" s="127"/>
      <c r="Q12" s="21"/>
      <c r="R12" s="128"/>
      <c r="S12" s="54"/>
      <c r="T12" s="64"/>
      <c r="U12" s="69"/>
      <c r="V12" s="127"/>
      <c r="X12" s="21"/>
      <c r="Y12" s="128"/>
      <c r="Z12" s="54"/>
      <c r="AA12" s="64"/>
      <c r="AB12" s="69"/>
      <c r="AC12" s="127"/>
      <c r="AE12" s="21"/>
      <c r="AF12" s="128"/>
      <c r="AG12" s="54"/>
      <c r="AH12" s="64"/>
      <c r="AI12" s="69"/>
      <c r="AJ12" s="127"/>
      <c r="AK12">
        <f t="shared" si="1"/>
        <v>1</v>
      </c>
    </row>
    <row r="13" spans="1:37" x14ac:dyDescent="0.15">
      <c r="A13" s="2" t="s">
        <v>13</v>
      </c>
      <c r="C13" s="21"/>
      <c r="D13" s="128"/>
      <c r="E13" s="54"/>
      <c r="F13" s="64"/>
      <c r="G13" s="69"/>
      <c r="H13" s="127"/>
      <c r="J13" s="21"/>
      <c r="K13" s="128"/>
      <c r="L13" s="54"/>
      <c r="M13" s="64">
        <v>1</v>
      </c>
      <c r="N13" s="69">
        <v>1</v>
      </c>
      <c r="O13" s="127"/>
      <c r="Q13" s="21">
        <v>1</v>
      </c>
      <c r="R13" s="128">
        <v>1</v>
      </c>
      <c r="S13" s="54">
        <v>1</v>
      </c>
      <c r="T13" s="64">
        <v>1</v>
      </c>
      <c r="U13" s="69">
        <v>1</v>
      </c>
      <c r="V13" s="127">
        <v>1</v>
      </c>
      <c r="X13" s="21">
        <v>2</v>
      </c>
      <c r="Y13" s="128">
        <v>2</v>
      </c>
      <c r="Z13" s="54">
        <v>3</v>
      </c>
      <c r="AA13" s="64">
        <v>2</v>
      </c>
      <c r="AB13" s="69">
        <v>1</v>
      </c>
      <c r="AC13" s="127">
        <v>2</v>
      </c>
      <c r="AE13" s="21">
        <v>1</v>
      </c>
      <c r="AF13" s="128">
        <v>1</v>
      </c>
      <c r="AG13" s="54">
        <v>1</v>
      </c>
      <c r="AH13" s="64">
        <v>1</v>
      </c>
      <c r="AI13" s="69">
        <v>1</v>
      </c>
      <c r="AJ13" s="127">
        <v>1</v>
      </c>
      <c r="AK13">
        <f t="shared" si="1"/>
        <v>20</v>
      </c>
    </row>
    <row r="14" spans="1:37" x14ac:dyDescent="0.15">
      <c r="A14" s="2" t="s">
        <v>190</v>
      </c>
      <c r="C14" s="21"/>
      <c r="D14" s="128"/>
      <c r="E14" s="54"/>
      <c r="F14" s="64"/>
      <c r="G14" s="69">
        <v>1</v>
      </c>
      <c r="H14" s="127"/>
      <c r="J14" s="21"/>
      <c r="K14" s="128"/>
      <c r="L14" s="54"/>
      <c r="M14" s="64"/>
      <c r="N14" s="69"/>
      <c r="O14" s="127">
        <v>1</v>
      </c>
      <c r="Q14" s="21"/>
      <c r="R14" s="128"/>
      <c r="S14" s="54"/>
      <c r="T14" s="64"/>
      <c r="U14" s="69"/>
      <c r="V14" s="127"/>
      <c r="X14" s="21"/>
      <c r="Y14" s="128"/>
      <c r="Z14" s="54"/>
      <c r="AA14" s="64"/>
      <c r="AB14" s="69"/>
      <c r="AC14" s="127"/>
      <c r="AE14" s="21"/>
      <c r="AF14" s="128"/>
      <c r="AG14" s="54"/>
      <c r="AH14" s="64"/>
      <c r="AI14" s="69"/>
      <c r="AJ14" s="127"/>
      <c r="AK14">
        <f t="shared" si="1"/>
        <v>2</v>
      </c>
    </row>
    <row r="15" spans="1:37" x14ac:dyDescent="0.15">
      <c r="A15" s="2" t="s">
        <v>14</v>
      </c>
      <c r="C15" s="21"/>
      <c r="D15" s="128"/>
      <c r="E15" s="54"/>
      <c r="F15" s="64"/>
      <c r="G15" s="69"/>
      <c r="H15" s="127"/>
      <c r="J15" s="21"/>
      <c r="K15" s="128"/>
      <c r="L15" s="54"/>
      <c r="M15" s="64"/>
      <c r="N15" s="69"/>
      <c r="O15" s="127"/>
      <c r="Q15" s="21"/>
      <c r="R15" s="128"/>
      <c r="S15" s="54"/>
      <c r="T15" s="64"/>
      <c r="U15" s="69"/>
      <c r="V15" s="127"/>
      <c r="W15">
        <v>1</v>
      </c>
      <c r="X15" s="21">
        <v>1</v>
      </c>
      <c r="Y15" s="128">
        <v>1</v>
      </c>
      <c r="Z15" s="54">
        <v>1</v>
      </c>
      <c r="AA15" s="64">
        <v>1</v>
      </c>
      <c r="AB15" s="69">
        <v>1</v>
      </c>
      <c r="AC15" s="127">
        <v>1</v>
      </c>
      <c r="AD15">
        <v>1</v>
      </c>
      <c r="AE15" s="21"/>
      <c r="AF15" s="128"/>
      <c r="AG15" s="54"/>
      <c r="AH15" s="64">
        <v>1</v>
      </c>
      <c r="AI15" s="69">
        <v>1</v>
      </c>
      <c r="AJ15" s="127">
        <v>1</v>
      </c>
      <c r="AK15">
        <f t="shared" si="1"/>
        <v>11</v>
      </c>
    </row>
    <row r="16" spans="1:37" x14ac:dyDescent="0.15">
      <c r="A16" s="2" t="s">
        <v>26</v>
      </c>
      <c r="C16" s="21"/>
      <c r="D16" s="128"/>
      <c r="E16" s="54"/>
      <c r="F16" s="64"/>
      <c r="G16" s="69"/>
      <c r="H16" s="127"/>
      <c r="J16" s="21"/>
      <c r="K16" s="128"/>
      <c r="L16" s="54"/>
      <c r="M16" s="64"/>
      <c r="N16" s="69"/>
      <c r="O16" s="127"/>
      <c r="Q16" s="21"/>
      <c r="R16" s="128"/>
      <c r="S16" s="54"/>
      <c r="T16" s="64"/>
      <c r="U16" s="69"/>
      <c r="V16" s="127"/>
      <c r="X16" s="21"/>
      <c r="Y16" s="128"/>
      <c r="Z16" s="54"/>
      <c r="AA16" s="64"/>
      <c r="AB16" s="69"/>
      <c r="AC16" s="127"/>
      <c r="AE16" s="21"/>
      <c r="AF16" s="128"/>
      <c r="AG16" s="54"/>
      <c r="AH16" s="64"/>
      <c r="AI16" s="69"/>
      <c r="AJ16" s="127"/>
      <c r="AK16">
        <f t="shared" si="1"/>
        <v>0</v>
      </c>
    </row>
    <row r="17" spans="1:37" x14ac:dyDescent="0.15">
      <c r="A17" s="2" t="s">
        <v>51</v>
      </c>
      <c r="C17" s="21"/>
      <c r="D17" s="128">
        <v>1</v>
      </c>
      <c r="E17" s="54">
        <v>3</v>
      </c>
      <c r="F17" s="64">
        <v>1</v>
      </c>
      <c r="G17" s="69">
        <v>1</v>
      </c>
      <c r="H17" s="127">
        <v>1</v>
      </c>
      <c r="J17" s="21"/>
      <c r="K17" s="128">
        <v>4</v>
      </c>
      <c r="L17" s="54">
        <v>4</v>
      </c>
      <c r="M17" s="64">
        <v>4</v>
      </c>
      <c r="N17" s="69">
        <v>2</v>
      </c>
      <c r="O17" s="127">
        <v>3</v>
      </c>
      <c r="Q17" s="21"/>
      <c r="R17" s="128"/>
      <c r="S17" s="54"/>
      <c r="T17" s="64"/>
      <c r="U17" s="69"/>
      <c r="V17" s="127"/>
      <c r="X17" s="21"/>
      <c r="Y17" s="128">
        <v>1</v>
      </c>
      <c r="Z17" s="54">
        <v>2</v>
      </c>
      <c r="AA17" s="64">
        <v>1</v>
      </c>
      <c r="AB17" s="69"/>
      <c r="AC17" s="127"/>
      <c r="AE17" s="21"/>
      <c r="AF17" s="128">
        <v>1</v>
      </c>
      <c r="AG17" s="54"/>
      <c r="AH17" s="64">
        <v>1</v>
      </c>
      <c r="AI17" s="69"/>
      <c r="AJ17" s="127"/>
      <c r="AK17">
        <f t="shared" si="1"/>
        <v>15</v>
      </c>
    </row>
    <row r="18" spans="1:37" x14ac:dyDescent="0.15">
      <c r="A18" s="2" t="s">
        <v>44</v>
      </c>
      <c r="C18" s="21"/>
      <c r="D18" s="128"/>
      <c r="E18" s="54"/>
      <c r="F18" s="64"/>
      <c r="G18" s="69">
        <v>1</v>
      </c>
      <c r="H18" s="127"/>
      <c r="J18" s="21"/>
      <c r="K18" s="128"/>
      <c r="L18" s="54"/>
      <c r="M18" s="64"/>
      <c r="N18" s="69"/>
      <c r="O18" s="127"/>
      <c r="Q18" s="21"/>
      <c r="R18" s="128"/>
      <c r="S18" s="54"/>
      <c r="T18" s="64"/>
      <c r="U18" s="69"/>
      <c r="V18" s="127"/>
      <c r="X18" s="21"/>
      <c r="Y18" s="128"/>
      <c r="Z18" s="54"/>
      <c r="AA18" s="64">
        <v>1</v>
      </c>
      <c r="AB18" s="69"/>
      <c r="AC18" s="127"/>
      <c r="AE18" s="21"/>
      <c r="AF18" s="128"/>
      <c r="AG18" s="54"/>
      <c r="AH18" s="64"/>
      <c r="AI18" s="69"/>
      <c r="AJ18" s="127"/>
      <c r="AK18">
        <f t="shared" si="1"/>
        <v>2</v>
      </c>
    </row>
    <row r="19" spans="1:37" x14ac:dyDescent="0.15">
      <c r="A19" s="2" t="s">
        <v>4</v>
      </c>
      <c r="B19">
        <v>2</v>
      </c>
      <c r="C19" s="21">
        <v>4</v>
      </c>
      <c r="D19" s="128">
        <v>2</v>
      </c>
      <c r="E19" s="54">
        <v>2</v>
      </c>
      <c r="F19" s="64">
        <v>2</v>
      </c>
      <c r="G19" s="69">
        <v>2</v>
      </c>
      <c r="H19" s="127">
        <v>1</v>
      </c>
      <c r="I19">
        <v>2</v>
      </c>
      <c r="J19" s="21">
        <v>2</v>
      </c>
      <c r="K19" s="128">
        <v>2</v>
      </c>
      <c r="L19" s="54">
        <v>3</v>
      </c>
      <c r="M19" s="64">
        <v>3</v>
      </c>
      <c r="N19" s="69">
        <v>4</v>
      </c>
      <c r="O19" s="127">
        <v>4</v>
      </c>
      <c r="P19">
        <v>5</v>
      </c>
      <c r="Q19" s="21">
        <v>4</v>
      </c>
      <c r="R19" s="128">
        <v>3</v>
      </c>
      <c r="S19" s="54">
        <v>4</v>
      </c>
      <c r="T19" s="64">
        <v>4</v>
      </c>
      <c r="U19" s="69">
        <v>4</v>
      </c>
      <c r="V19" s="127">
        <v>4</v>
      </c>
      <c r="W19">
        <v>2</v>
      </c>
      <c r="X19" s="21">
        <v>3</v>
      </c>
      <c r="Y19" s="128">
        <v>2</v>
      </c>
      <c r="Z19" s="54">
        <v>3</v>
      </c>
      <c r="AA19" s="64">
        <v>3</v>
      </c>
      <c r="AB19" s="69">
        <v>2</v>
      </c>
      <c r="AC19" s="127">
        <v>2</v>
      </c>
      <c r="AD19">
        <v>1</v>
      </c>
      <c r="AE19" s="21">
        <v>2</v>
      </c>
      <c r="AF19" s="128">
        <v>1</v>
      </c>
      <c r="AG19" s="54">
        <v>1</v>
      </c>
      <c r="AH19" s="64">
        <v>1</v>
      </c>
      <c r="AI19" s="69">
        <v>1</v>
      </c>
      <c r="AJ19" s="127">
        <v>1</v>
      </c>
      <c r="AK19">
        <f t="shared" si="1"/>
        <v>35</v>
      </c>
    </row>
    <row r="20" spans="1:37" x14ac:dyDescent="0.15">
      <c r="A20" s="2" t="s">
        <v>232</v>
      </c>
      <c r="C20" s="21"/>
      <c r="D20" s="128"/>
      <c r="E20" s="54"/>
      <c r="F20" s="64"/>
      <c r="G20" s="69"/>
      <c r="H20" s="127"/>
      <c r="J20" s="21"/>
      <c r="K20" s="128"/>
      <c r="L20" s="54"/>
      <c r="M20" s="64"/>
      <c r="N20" s="69"/>
      <c r="O20" s="127"/>
      <c r="Q20" s="21"/>
      <c r="R20" s="128"/>
      <c r="S20" s="54"/>
      <c r="T20" s="64"/>
      <c r="U20" s="69"/>
      <c r="V20" s="127"/>
      <c r="X20" s="21"/>
      <c r="Y20" s="128"/>
      <c r="Z20" s="54"/>
      <c r="AA20" s="64"/>
      <c r="AB20" s="69"/>
      <c r="AC20" s="127"/>
      <c r="AE20" s="21"/>
      <c r="AF20" s="128"/>
      <c r="AG20" s="54"/>
      <c r="AH20" s="64"/>
      <c r="AI20" s="69"/>
      <c r="AJ20" s="127"/>
      <c r="AK20">
        <f t="shared" si="1"/>
        <v>0</v>
      </c>
    </row>
    <row r="21" spans="1:37" x14ac:dyDescent="0.15">
      <c r="A21" s="2" t="s">
        <v>15</v>
      </c>
      <c r="C21" s="21">
        <v>2</v>
      </c>
      <c r="D21" s="128">
        <v>1</v>
      </c>
      <c r="E21" s="54">
        <v>1</v>
      </c>
      <c r="F21" s="64">
        <v>1</v>
      </c>
      <c r="G21" s="69"/>
      <c r="H21" s="127"/>
      <c r="J21" s="21">
        <v>1</v>
      </c>
      <c r="K21" s="128">
        <v>1</v>
      </c>
      <c r="L21" s="54">
        <v>1</v>
      </c>
      <c r="M21" s="64"/>
      <c r="N21" s="69"/>
      <c r="O21" s="127"/>
      <c r="Q21" s="21"/>
      <c r="R21" s="128"/>
      <c r="S21" s="54"/>
      <c r="T21" s="64"/>
      <c r="U21" s="69"/>
      <c r="V21" s="127"/>
      <c r="W21">
        <v>1</v>
      </c>
      <c r="X21" s="21">
        <v>1</v>
      </c>
      <c r="Y21" s="128">
        <v>1</v>
      </c>
      <c r="Z21" s="54">
        <v>1</v>
      </c>
      <c r="AA21" s="64"/>
      <c r="AB21" s="69"/>
      <c r="AC21" s="127">
        <v>1</v>
      </c>
      <c r="AE21" s="21">
        <v>2</v>
      </c>
      <c r="AF21" s="128">
        <v>1</v>
      </c>
      <c r="AG21" s="54">
        <v>1</v>
      </c>
      <c r="AH21" s="64"/>
      <c r="AI21" s="69">
        <v>1</v>
      </c>
      <c r="AJ21" s="127">
        <v>1</v>
      </c>
      <c r="AK21">
        <f t="shared" si="1"/>
        <v>17</v>
      </c>
    </row>
    <row r="22" spans="1:37" x14ac:dyDescent="0.15">
      <c r="A22" s="2" t="s">
        <v>5</v>
      </c>
      <c r="B22">
        <v>2</v>
      </c>
      <c r="C22" s="21">
        <v>2</v>
      </c>
      <c r="D22" s="128">
        <v>2</v>
      </c>
      <c r="E22" s="54">
        <v>1</v>
      </c>
      <c r="F22" s="64"/>
      <c r="G22" s="69">
        <v>1</v>
      </c>
      <c r="H22" s="127">
        <v>1</v>
      </c>
      <c r="J22" s="21">
        <v>1</v>
      </c>
      <c r="K22" s="128">
        <v>1</v>
      </c>
      <c r="L22" s="54">
        <v>1</v>
      </c>
      <c r="M22" s="64">
        <v>1</v>
      </c>
      <c r="N22" s="69"/>
      <c r="O22" s="127"/>
      <c r="P22">
        <v>3</v>
      </c>
      <c r="Q22" s="21">
        <v>1</v>
      </c>
      <c r="R22" s="128">
        <v>1</v>
      </c>
      <c r="S22" s="54">
        <v>1</v>
      </c>
      <c r="T22" s="64">
        <v>1</v>
      </c>
      <c r="U22" s="69">
        <v>1</v>
      </c>
      <c r="V22" s="127">
        <v>1</v>
      </c>
      <c r="X22" s="21">
        <v>1</v>
      </c>
      <c r="Y22" s="128">
        <v>1</v>
      </c>
      <c r="Z22" s="54">
        <v>2</v>
      </c>
      <c r="AA22" s="64">
        <v>1</v>
      </c>
      <c r="AB22" s="69"/>
      <c r="AC22" s="127">
        <v>1</v>
      </c>
      <c r="AE22" s="21">
        <v>1</v>
      </c>
      <c r="AF22" s="128">
        <v>2</v>
      </c>
      <c r="AG22" s="54">
        <v>1</v>
      </c>
      <c r="AH22" s="64">
        <v>1</v>
      </c>
      <c r="AI22" s="69">
        <v>1</v>
      </c>
      <c r="AJ22" s="127">
        <v>1</v>
      </c>
      <c r="AK22">
        <f t="shared" si="1"/>
        <v>28</v>
      </c>
    </row>
    <row r="23" spans="1:37" x14ac:dyDescent="0.15">
      <c r="A23" s="2" t="s">
        <v>46</v>
      </c>
      <c r="C23" s="21"/>
      <c r="D23" s="128"/>
      <c r="E23" s="54"/>
      <c r="F23" s="64">
        <v>1</v>
      </c>
      <c r="G23" s="69">
        <v>1</v>
      </c>
      <c r="H23" s="127"/>
      <c r="J23" s="21"/>
      <c r="K23" s="128">
        <v>1</v>
      </c>
      <c r="L23" s="54">
        <v>1</v>
      </c>
      <c r="M23" s="64">
        <v>1</v>
      </c>
      <c r="N23" s="69">
        <v>1</v>
      </c>
      <c r="O23" s="127"/>
      <c r="Q23" s="21"/>
      <c r="R23" s="128"/>
      <c r="S23" s="54"/>
      <c r="T23" s="64"/>
      <c r="U23" s="69"/>
      <c r="V23" s="127"/>
      <c r="X23" s="21">
        <v>1</v>
      </c>
      <c r="Y23" s="128">
        <v>1</v>
      </c>
      <c r="Z23" s="54">
        <v>1</v>
      </c>
      <c r="AA23" s="64">
        <v>1</v>
      </c>
      <c r="AB23" s="69"/>
      <c r="AC23" s="127">
        <v>1</v>
      </c>
      <c r="AE23" s="21"/>
      <c r="AF23" s="128"/>
      <c r="AG23" s="54"/>
      <c r="AH23" s="64"/>
      <c r="AI23" s="69"/>
      <c r="AJ23" s="127"/>
      <c r="AK23">
        <f t="shared" si="1"/>
        <v>11</v>
      </c>
    </row>
    <row r="24" spans="1:37" x14ac:dyDescent="0.15">
      <c r="A24" s="2" t="s">
        <v>228</v>
      </c>
      <c r="C24" s="21"/>
      <c r="D24" s="128"/>
      <c r="E24" s="54"/>
      <c r="F24" s="64"/>
      <c r="G24" s="69"/>
      <c r="H24" s="127">
        <v>1</v>
      </c>
      <c r="J24" s="21"/>
      <c r="K24" s="128"/>
      <c r="L24" s="54"/>
      <c r="M24" s="64"/>
      <c r="N24" s="69"/>
      <c r="O24" s="127"/>
      <c r="Q24" s="21"/>
      <c r="R24" s="128"/>
      <c r="S24" s="54"/>
      <c r="T24" s="64"/>
      <c r="U24" s="69"/>
      <c r="V24" s="127"/>
      <c r="X24" s="21"/>
      <c r="Y24" s="128"/>
      <c r="Z24" s="54"/>
      <c r="AA24" s="64"/>
      <c r="AB24" s="69"/>
      <c r="AC24" s="127"/>
      <c r="AE24" s="21"/>
      <c r="AF24" s="128"/>
      <c r="AG24" s="54"/>
      <c r="AH24" s="64"/>
      <c r="AI24" s="69"/>
      <c r="AJ24" s="127"/>
      <c r="AK24">
        <f t="shared" si="1"/>
        <v>1</v>
      </c>
    </row>
    <row r="25" spans="1:37" x14ac:dyDescent="0.15">
      <c r="A25" s="5" t="s">
        <v>133</v>
      </c>
      <c r="C25" s="21"/>
      <c r="D25" s="128"/>
      <c r="E25" s="54"/>
      <c r="F25" s="64"/>
      <c r="G25" s="69"/>
      <c r="H25" s="127"/>
      <c r="J25" s="21"/>
      <c r="K25" s="128"/>
      <c r="L25" s="54"/>
      <c r="M25" s="64"/>
      <c r="N25" s="69"/>
      <c r="O25" s="127"/>
      <c r="Q25" s="21"/>
      <c r="R25" s="128"/>
      <c r="S25" s="54"/>
      <c r="T25" s="64"/>
      <c r="U25" s="69"/>
      <c r="V25" s="127"/>
      <c r="X25" s="21"/>
      <c r="Y25" s="128"/>
      <c r="Z25" s="54"/>
      <c r="AA25" s="64"/>
      <c r="AB25" s="69"/>
      <c r="AC25" s="127"/>
      <c r="AE25" s="21"/>
      <c r="AF25" s="128"/>
      <c r="AG25" s="54"/>
      <c r="AH25" s="64"/>
      <c r="AI25" s="69"/>
      <c r="AJ25" s="127"/>
      <c r="AK25">
        <f t="shared" si="1"/>
        <v>0</v>
      </c>
    </row>
    <row r="26" spans="1:37" x14ac:dyDescent="0.15">
      <c r="A26" s="5" t="s">
        <v>212</v>
      </c>
      <c r="C26" s="21"/>
      <c r="D26" s="128"/>
      <c r="E26" s="54"/>
      <c r="F26" s="64"/>
      <c r="G26" s="69"/>
      <c r="H26" s="127"/>
      <c r="J26" s="21"/>
      <c r="K26" s="128"/>
      <c r="L26" s="54"/>
      <c r="M26" s="64"/>
      <c r="N26" s="69"/>
      <c r="O26" s="127"/>
      <c r="Q26" s="21"/>
      <c r="R26" s="128"/>
      <c r="S26" s="54"/>
      <c r="T26" s="64"/>
      <c r="U26" s="69"/>
      <c r="V26" s="127"/>
      <c r="X26" s="21"/>
      <c r="Y26" s="128"/>
      <c r="Z26" s="54"/>
      <c r="AA26" s="64"/>
      <c r="AB26" s="69"/>
      <c r="AC26" s="127"/>
      <c r="AE26" s="21"/>
      <c r="AF26" s="128"/>
      <c r="AG26" s="54"/>
      <c r="AH26" s="64"/>
      <c r="AI26" s="69"/>
      <c r="AJ26" s="127"/>
      <c r="AK26">
        <f t="shared" si="1"/>
        <v>0</v>
      </c>
    </row>
    <row r="27" spans="1:37" x14ac:dyDescent="0.15">
      <c r="A27" s="2" t="s">
        <v>45</v>
      </c>
      <c r="B27" s="17"/>
      <c r="C27" s="21"/>
      <c r="D27" s="128"/>
      <c r="E27" s="54"/>
      <c r="F27" s="64"/>
      <c r="G27" s="69"/>
      <c r="H27" s="127"/>
      <c r="J27" s="21"/>
      <c r="K27" s="128"/>
      <c r="L27" s="54"/>
      <c r="M27" s="64"/>
      <c r="N27" s="69"/>
      <c r="O27" s="127"/>
      <c r="Q27" s="21"/>
      <c r="R27" s="128"/>
      <c r="S27" s="54"/>
      <c r="T27" s="64"/>
      <c r="U27" s="69"/>
      <c r="V27" s="127"/>
      <c r="X27" s="21"/>
      <c r="Y27" s="128"/>
      <c r="Z27" s="54"/>
      <c r="AA27" s="64"/>
      <c r="AB27" s="69"/>
      <c r="AC27" s="127"/>
      <c r="AE27" s="21"/>
      <c r="AF27" s="128"/>
      <c r="AG27" s="54">
        <v>1</v>
      </c>
      <c r="AH27" s="64">
        <v>1</v>
      </c>
      <c r="AI27" s="69"/>
      <c r="AJ27" s="127">
        <v>1</v>
      </c>
      <c r="AK27">
        <f t="shared" si="1"/>
        <v>3</v>
      </c>
    </row>
    <row r="28" spans="1:37" x14ac:dyDescent="0.15">
      <c r="A28" s="2" t="s">
        <v>16</v>
      </c>
      <c r="C28" s="21"/>
      <c r="D28" s="128"/>
      <c r="E28" s="54"/>
      <c r="F28" s="64"/>
      <c r="G28" s="69">
        <v>1</v>
      </c>
      <c r="H28" s="127">
        <v>1</v>
      </c>
      <c r="J28" s="21">
        <v>1</v>
      </c>
      <c r="K28" s="128">
        <v>1</v>
      </c>
      <c r="L28" s="54">
        <v>1</v>
      </c>
      <c r="M28" s="64">
        <v>2</v>
      </c>
      <c r="N28" s="69">
        <v>2</v>
      </c>
      <c r="O28" s="127">
        <v>2</v>
      </c>
      <c r="P28">
        <v>2</v>
      </c>
      <c r="Q28" s="21">
        <v>3</v>
      </c>
      <c r="R28" s="128">
        <v>1</v>
      </c>
      <c r="S28" s="54">
        <v>2</v>
      </c>
      <c r="T28" s="64">
        <v>2</v>
      </c>
      <c r="U28" s="69">
        <v>2</v>
      </c>
      <c r="V28" s="127">
        <v>3</v>
      </c>
      <c r="X28" s="21">
        <v>1</v>
      </c>
      <c r="Y28" s="128"/>
      <c r="Z28" s="54"/>
      <c r="AA28" s="64">
        <v>1</v>
      </c>
      <c r="AB28" s="69">
        <v>1</v>
      </c>
      <c r="AC28" s="127">
        <v>2</v>
      </c>
      <c r="AE28" s="21"/>
      <c r="AF28" s="128">
        <v>1</v>
      </c>
      <c r="AG28" s="54">
        <v>1</v>
      </c>
      <c r="AH28" s="64">
        <v>1</v>
      </c>
      <c r="AI28" s="69">
        <v>1</v>
      </c>
      <c r="AJ28" s="127">
        <v>1</v>
      </c>
      <c r="AK28">
        <f t="shared" si="1"/>
        <v>24</v>
      </c>
    </row>
    <row r="29" spans="1:37" x14ac:dyDescent="0.15">
      <c r="A29" s="2" t="s">
        <v>219</v>
      </c>
      <c r="C29" s="21"/>
      <c r="D29" s="128"/>
      <c r="E29" s="54"/>
      <c r="F29" s="64"/>
      <c r="G29" s="69"/>
      <c r="H29" s="127"/>
      <c r="J29" s="21"/>
      <c r="K29" s="128"/>
      <c r="L29" s="54"/>
      <c r="M29" s="64"/>
      <c r="N29" s="69"/>
      <c r="O29" s="127"/>
      <c r="Q29" s="21"/>
      <c r="R29" s="128"/>
      <c r="S29" s="54"/>
      <c r="T29" s="64"/>
      <c r="U29" s="69"/>
      <c r="V29" s="127"/>
      <c r="X29" s="21"/>
      <c r="Y29" s="128"/>
      <c r="Z29" s="54"/>
      <c r="AA29" s="64"/>
      <c r="AB29" s="69"/>
      <c r="AC29" s="127"/>
      <c r="AE29" s="21"/>
      <c r="AF29" s="128"/>
      <c r="AG29" s="54"/>
      <c r="AH29" s="64"/>
      <c r="AI29" s="69"/>
      <c r="AJ29" s="127"/>
      <c r="AK29">
        <f t="shared" si="1"/>
        <v>0</v>
      </c>
    </row>
    <row r="30" spans="1:37" x14ac:dyDescent="0.15">
      <c r="A30" s="5" t="s">
        <v>70</v>
      </c>
      <c r="C30" s="21"/>
      <c r="D30" s="128"/>
      <c r="E30" s="54"/>
      <c r="F30" s="64"/>
      <c r="G30" s="69"/>
      <c r="H30" s="127"/>
      <c r="J30" s="21"/>
      <c r="K30" s="128"/>
      <c r="L30" s="54"/>
      <c r="M30" s="64"/>
      <c r="N30" s="69"/>
      <c r="O30" s="127"/>
      <c r="Q30" s="21"/>
      <c r="R30" s="128"/>
      <c r="S30" s="54"/>
      <c r="T30" s="64"/>
      <c r="U30" s="69"/>
      <c r="V30" s="127"/>
      <c r="X30" s="21"/>
      <c r="Y30" s="128"/>
      <c r="Z30" s="54"/>
      <c r="AA30" s="64"/>
      <c r="AB30" s="69"/>
      <c r="AC30" s="127"/>
      <c r="AE30" s="21"/>
      <c r="AF30" s="128"/>
      <c r="AG30" s="54"/>
      <c r="AH30" s="64"/>
      <c r="AI30" s="69"/>
      <c r="AJ30" s="127"/>
      <c r="AK30">
        <f t="shared" si="1"/>
        <v>0</v>
      </c>
    </row>
    <row r="31" spans="1:37" x14ac:dyDescent="0.15">
      <c r="A31" s="5" t="s">
        <v>221</v>
      </c>
      <c r="C31" s="21"/>
      <c r="D31" s="128"/>
      <c r="E31" s="54"/>
      <c r="F31" s="64"/>
      <c r="G31" s="69"/>
      <c r="H31" s="127">
        <v>1</v>
      </c>
      <c r="J31" s="21"/>
      <c r="K31" s="128"/>
      <c r="L31" s="54"/>
      <c r="M31" s="64"/>
      <c r="N31" s="69"/>
      <c r="O31" s="127"/>
      <c r="Q31" s="21"/>
      <c r="R31" s="128"/>
      <c r="S31" s="54"/>
      <c r="T31" s="64"/>
      <c r="U31" s="69"/>
      <c r="V31" s="127"/>
      <c r="X31" s="21"/>
      <c r="Y31" s="128"/>
      <c r="Z31" s="54"/>
      <c r="AA31" s="64"/>
      <c r="AB31" s="69"/>
      <c r="AC31" s="127"/>
      <c r="AE31" s="21"/>
      <c r="AF31" s="128"/>
      <c r="AG31" s="54"/>
      <c r="AH31" s="64"/>
      <c r="AI31" s="69"/>
      <c r="AJ31" s="127"/>
      <c r="AK31">
        <f t="shared" si="1"/>
        <v>1</v>
      </c>
    </row>
    <row r="32" spans="1:37" x14ac:dyDescent="0.15">
      <c r="A32" s="5" t="s">
        <v>199</v>
      </c>
      <c r="C32" s="21"/>
      <c r="D32" s="128"/>
      <c r="E32" s="54"/>
      <c r="F32" s="64"/>
      <c r="G32" s="69"/>
      <c r="H32" s="127"/>
      <c r="J32" s="21"/>
      <c r="K32" s="128"/>
      <c r="L32" s="54"/>
      <c r="M32" s="64"/>
      <c r="N32" s="69"/>
      <c r="O32" s="127"/>
      <c r="Q32" s="21"/>
      <c r="R32" s="128"/>
      <c r="S32" s="54"/>
      <c r="T32" s="64"/>
      <c r="U32" s="69"/>
      <c r="V32" s="127"/>
      <c r="X32" s="21"/>
      <c r="Y32" s="128"/>
      <c r="Z32" s="54"/>
      <c r="AA32" s="64"/>
      <c r="AB32" s="69"/>
      <c r="AC32" s="127"/>
      <c r="AE32" s="21"/>
      <c r="AF32" s="128"/>
      <c r="AG32" s="54"/>
      <c r="AH32" s="64"/>
      <c r="AI32" s="69"/>
      <c r="AJ32" s="127"/>
      <c r="AK32">
        <f t="shared" si="1"/>
        <v>0</v>
      </c>
    </row>
    <row r="33" spans="1:37" x14ac:dyDescent="0.15">
      <c r="A33" s="5" t="s">
        <v>222</v>
      </c>
      <c r="C33" s="21"/>
      <c r="D33" s="128"/>
      <c r="E33" s="54"/>
      <c r="F33" s="64"/>
      <c r="G33" s="69"/>
      <c r="H33" s="127"/>
      <c r="J33" s="21"/>
      <c r="K33" s="128"/>
      <c r="L33" s="54"/>
      <c r="M33" s="64"/>
      <c r="N33" s="69"/>
      <c r="O33" s="127">
        <v>1</v>
      </c>
      <c r="Q33" s="21"/>
      <c r="R33" s="128"/>
      <c r="S33" s="54"/>
      <c r="T33" s="64"/>
      <c r="U33" s="69"/>
      <c r="V33" s="127"/>
      <c r="X33" s="21"/>
      <c r="Y33" s="128"/>
      <c r="Z33" s="54"/>
      <c r="AA33" s="64"/>
      <c r="AB33" s="69"/>
      <c r="AC33" s="127">
        <v>1</v>
      </c>
      <c r="AE33" s="21"/>
      <c r="AF33" s="128"/>
      <c r="AG33" s="54"/>
      <c r="AH33" s="64"/>
      <c r="AI33" s="69"/>
      <c r="AJ33" s="127"/>
      <c r="AK33">
        <f t="shared" si="1"/>
        <v>2</v>
      </c>
    </row>
    <row r="34" spans="1:37" x14ac:dyDescent="0.15">
      <c r="A34" s="2" t="s">
        <v>62</v>
      </c>
      <c r="C34" s="21"/>
      <c r="D34" s="128"/>
      <c r="E34" s="54"/>
      <c r="F34" s="64"/>
      <c r="G34" s="69"/>
      <c r="H34" s="127"/>
      <c r="J34" s="21"/>
      <c r="K34" s="128"/>
      <c r="L34" s="54"/>
      <c r="M34" s="64"/>
      <c r="N34" s="69"/>
      <c r="O34" s="127"/>
      <c r="Q34" s="21"/>
      <c r="R34" s="128"/>
      <c r="S34" s="54"/>
      <c r="T34" s="64"/>
      <c r="U34" s="69"/>
      <c r="V34" s="127"/>
      <c r="X34" s="21"/>
      <c r="Y34" s="128"/>
      <c r="Z34" s="54"/>
      <c r="AA34" s="64"/>
      <c r="AB34" s="69"/>
      <c r="AC34" s="127"/>
      <c r="AE34" s="21"/>
      <c r="AF34" s="128"/>
      <c r="AG34" s="54"/>
      <c r="AH34" s="64"/>
      <c r="AI34" s="69"/>
      <c r="AJ34" s="127"/>
      <c r="AK34">
        <f t="shared" si="1"/>
        <v>0</v>
      </c>
    </row>
    <row r="35" spans="1:37" x14ac:dyDescent="0.15">
      <c r="A35" s="2" t="s">
        <v>17</v>
      </c>
      <c r="C35" s="21">
        <v>1</v>
      </c>
      <c r="D35" s="128">
        <v>1</v>
      </c>
      <c r="E35" s="54"/>
      <c r="F35" s="64">
        <v>1</v>
      </c>
      <c r="G35" s="69">
        <v>1</v>
      </c>
      <c r="H35" s="127">
        <v>1</v>
      </c>
      <c r="J35" s="21">
        <v>1</v>
      </c>
      <c r="K35" s="128">
        <v>1</v>
      </c>
      <c r="L35" s="54">
        <v>1</v>
      </c>
      <c r="M35" s="64">
        <v>1</v>
      </c>
      <c r="N35" s="69">
        <v>1</v>
      </c>
      <c r="O35" s="127">
        <v>1</v>
      </c>
      <c r="Q35" s="21"/>
      <c r="R35" s="128"/>
      <c r="S35" s="54"/>
      <c r="T35" s="64"/>
      <c r="U35" s="69"/>
      <c r="V35" s="127"/>
      <c r="X35" s="21"/>
      <c r="Y35" s="128"/>
      <c r="Z35" s="54"/>
      <c r="AA35" s="64">
        <v>1</v>
      </c>
      <c r="AB35" s="69">
        <v>1</v>
      </c>
      <c r="AC35" s="127">
        <v>1</v>
      </c>
      <c r="AE35" s="21"/>
      <c r="AF35" s="128"/>
      <c r="AG35" s="54"/>
      <c r="AH35" s="64"/>
      <c r="AI35" s="69"/>
      <c r="AJ35" s="127"/>
      <c r="AK35">
        <f t="shared" si="1"/>
        <v>14</v>
      </c>
    </row>
    <row r="36" spans="1:37" x14ac:dyDescent="0.15">
      <c r="A36" s="2" t="s">
        <v>49</v>
      </c>
      <c r="B36" s="17"/>
      <c r="C36" s="21"/>
      <c r="D36" s="128">
        <v>1</v>
      </c>
      <c r="E36" s="54">
        <v>2</v>
      </c>
      <c r="F36" s="64">
        <v>2</v>
      </c>
      <c r="G36" s="69">
        <v>1</v>
      </c>
      <c r="H36" s="127">
        <v>2</v>
      </c>
      <c r="J36" s="21"/>
      <c r="K36" s="128">
        <v>1</v>
      </c>
      <c r="L36" s="54">
        <v>3</v>
      </c>
      <c r="M36" s="64">
        <v>1</v>
      </c>
      <c r="N36" s="69">
        <v>1</v>
      </c>
      <c r="O36" s="127">
        <v>1</v>
      </c>
      <c r="Q36" s="21"/>
      <c r="R36" s="128">
        <v>1</v>
      </c>
      <c r="S36" s="54">
        <v>2</v>
      </c>
      <c r="T36" s="64">
        <v>2</v>
      </c>
      <c r="U36" s="69">
        <v>2</v>
      </c>
      <c r="V36" s="127">
        <v>2</v>
      </c>
      <c r="X36" s="21"/>
      <c r="Y36" s="128">
        <v>2</v>
      </c>
      <c r="Z36" s="54">
        <v>2</v>
      </c>
      <c r="AA36" s="64">
        <v>2</v>
      </c>
      <c r="AB36" s="69">
        <v>3</v>
      </c>
      <c r="AC36" s="127">
        <v>2</v>
      </c>
      <c r="AE36" s="21"/>
      <c r="AF36" s="128">
        <v>1</v>
      </c>
      <c r="AG36" s="54">
        <v>1</v>
      </c>
      <c r="AH36" s="64">
        <v>1</v>
      </c>
      <c r="AI36" s="69">
        <v>2</v>
      </c>
      <c r="AJ36" s="127">
        <v>2</v>
      </c>
      <c r="AK36">
        <f t="shared" si="1"/>
        <v>25</v>
      </c>
    </row>
    <row r="37" spans="1:37" x14ac:dyDescent="0.15">
      <c r="A37" s="2" t="s">
        <v>6</v>
      </c>
      <c r="C37" s="21"/>
      <c r="D37" s="128">
        <v>2</v>
      </c>
      <c r="E37" s="54">
        <v>1</v>
      </c>
      <c r="F37" s="64">
        <v>1</v>
      </c>
      <c r="G37" s="69">
        <v>1</v>
      </c>
      <c r="H37" s="127">
        <v>2</v>
      </c>
      <c r="J37" s="21">
        <v>1</v>
      </c>
      <c r="K37" s="128">
        <v>1</v>
      </c>
      <c r="L37" s="54">
        <v>1</v>
      </c>
      <c r="M37" s="64">
        <v>1</v>
      </c>
      <c r="N37" s="69">
        <v>1</v>
      </c>
      <c r="O37" s="127">
        <v>1</v>
      </c>
      <c r="Q37" s="21"/>
      <c r="R37" s="128"/>
      <c r="S37" s="54"/>
      <c r="T37" s="64"/>
      <c r="U37" s="69"/>
      <c r="V37" s="127"/>
      <c r="X37" s="21"/>
      <c r="Y37" s="128"/>
      <c r="Z37" s="54"/>
      <c r="AA37" s="64"/>
      <c r="AB37" s="69"/>
      <c r="AC37" s="127"/>
      <c r="AE37" s="21">
        <v>1</v>
      </c>
      <c r="AF37" s="128"/>
      <c r="AG37" s="54"/>
      <c r="AH37" s="64"/>
      <c r="AI37" s="69"/>
      <c r="AJ37" s="127"/>
      <c r="AK37">
        <f t="shared" si="1"/>
        <v>12</v>
      </c>
    </row>
    <row r="38" spans="1:37" x14ac:dyDescent="0.15">
      <c r="A38" s="2" t="s">
        <v>19</v>
      </c>
      <c r="C38" s="21"/>
      <c r="D38" s="128">
        <v>1</v>
      </c>
      <c r="E38" s="54">
        <v>1</v>
      </c>
      <c r="F38" s="64">
        <v>1</v>
      </c>
      <c r="G38" s="69"/>
      <c r="H38" s="127">
        <v>1</v>
      </c>
      <c r="I38">
        <v>2</v>
      </c>
      <c r="J38" s="21">
        <v>1</v>
      </c>
      <c r="K38" s="128">
        <v>1</v>
      </c>
      <c r="L38" s="54">
        <v>1</v>
      </c>
      <c r="M38" s="64">
        <v>2</v>
      </c>
      <c r="N38" s="69">
        <v>2</v>
      </c>
      <c r="O38" s="127">
        <v>1</v>
      </c>
      <c r="P38">
        <v>1</v>
      </c>
      <c r="Q38" s="21"/>
      <c r="R38" s="128">
        <v>1</v>
      </c>
      <c r="S38" s="54">
        <v>1</v>
      </c>
      <c r="T38" s="64">
        <v>1</v>
      </c>
      <c r="U38" s="69">
        <v>1</v>
      </c>
      <c r="V38" s="127">
        <v>1</v>
      </c>
      <c r="W38">
        <v>1</v>
      </c>
      <c r="X38" s="21">
        <v>1</v>
      </c>
      <c r="Y38" s="128">
        <v>1</v>
      </c>
      <c r="Z38" s="54">
        <v>1</v>
      </c>
      <c r="AA38" s="64">
        <v>1</v>
      </c>
      <c r="AB38" s="69">
        <v>1</v>
      </c>
      <c r="AC38" s="127">
        <v>1</v>
      </c>
      <c r="AE38" s="21">
        <v>1</v>
      </c>
      <c r="AF38" s="128"/>
      <c r="AG38" s="54"/>
      <c r="AH38" s="64">
        <v>1</v>
      </c>
      <c r="AI38" s="69">
        <v>1</v>
      </c>
      <c r="AJ38" s="127">
        <v>1</v>
      </c>
      <c r="AK38">
        <f t="shared" si="1"/>
        <v>28</v>
      </c>
    </row>
    <row r="39" spans="1:37" x14ac:dyDescent="0.15">
      <c r="A39" s="2" t="s">
        <v>68</v>
      </c>
      <c r="B39" s="17"/>
      <c r="C39" s="21"/>
      <c r="D39" s="128"/>
      <c r="E39" s="54"/>
      <c r="F39" s="64"/>
      <c r="G39" s="69"/>
      <c r="H39" s="127"/>
      <c r="J39" s="21"/>
      <c r="K39" s="128"/>
      <c r="L39" s="54"/>
      <c r="M39" s="64"/>
      <c r="N39" s="69"/>
      <c r="O39" s="127"/>
      <c r="Q39" s="21"/>
      <c r="R39" s="128"/>
      <c r="S39" s="54"/>
      <c r="T39" s="64"/>
      <c r="U39" s="69"/>
      <c r="V39" s="127"/>
      <c r="X39" s="21"/>
      <c r="Y39" s="128"/>
      <c r="Z39" s="54"/>
      <c r="AA39" s="64"/>
      <c r="AB39" s="69"/>
      <c r="AC39" s="127"/>
      <c r="AE39" s="21"/>
      <c r="AF39" s="128"/>
      <c r="AG39" s="54"/>
      <c r="AH39" s="64"/>
      <c r="AI39" s="69"/>
      <c r="AJ39" s="127"/>
      <c r="AK39">
        <f t="shared" si="1"/>
        <v>0</v>
      </c>
    </row>
    <row r="40" spans="1:37" x14ac:dyDescent="0.15">
      <c r="A40" s="2" t="s">
        <v>37</v>
      </c>
      <c r="C40" s="21"/>
      <c r="D40" s="128"/>
      <c r="E40" s="54"/>
      <c r="F40" s="64"/>
      <c r="G40" s="69"/>
      <c r="H40" s="127"/>
      <c r="J40" s="21"/>
      <c r="K40" s="128"/>
      <c r="L40" s="54"/>
      <c r="M40" s="64"/>
      <c r="N40" s="69"/>
      <c r="O40" s="127"/>
      <c r="Q40" s="21"/>
      <c r="R40" s="128"/>
      <c r="S40" s="54"/>
      <c r="T40" s="64"/>
      <c r="U40" s="69"/>
      <c r="V40" s="127"/>
      <c r="X40" s="21"/>
      <c r="Y40" s="128"/>
      <c r="Z40" s="54"/>
      <c r="AA40" s="64"/>
      <c r="AB40" s="69"/>
      <c r="AC40" s="127"/>
      <c r="AE40" s="21"/>
      <c r="AF40" s="128"/>
      <c r="AG40" s="54"/>
      <c r="AH40" s="64"/>
      <c r="AI40" s="69"/>
      <c r="AJ40" s="127"/>
      <c r="AK40">
        <f t="shared" si="1"/>
        <v>0</v>
      </c>
    </row>
    <row r="41" spans="1:37" x14ac:dyDescent="0.15">
      <c r="A41" s="2" t="s">
        <v>20</v>
      </c>
      <c r="B41">
        <v>3</v>
      </c>
      <c r="C41" s="21">
        <v>1</v>
      </c>
      <c r="D41" s="128">
        <v>2</v>
      </c>
      <c r="E41" s="54">
        <v>2</v>
      </c>
      <c r="F41" s="64">
        <v>2</v>
      </c>
      <c r="G41" s="69">
        <v>2</v>
      </c>
      <c r="H41" s="127">
        <v>1</v>
      </c>
      <c r="I41">
        <v>2</v>
      </c>
      <c r="J41" s="21"/>
      <c r="K41" s="128">
        <v>1</v>
      </c>
      <c r="L41" s="54">
        <v>1</v>
      </c>
      <c r="M41" s="64">
        <v>2</v>
      </c>
      <c r="N41" s="69">
        <v>2</v>
      </c>
      <c r="O41" s="127">
        <v>1</v>
      </c>
      <c r="Q41" s="21"/>
      <c r="R41" s="128"/>
      <c r="S41" s="54"/>
      <c r="T41" s="64"/>
      <c r="U41" s="69"/>
      <c r="V41" s="127"/>
      <c r="W41">
        <v>2</v>
      </c>
      <c r="X41" s="21">
        <v>1</v>
      </c>
      <c r="Y41" s="128">
        <v>1</v>
      </c>
      <c r="Z41" s="54">
        <v>2</v>
      </c>
      <c r="AA41" s="64">
        <v>1</v>
      </c>
      <c r="AB41" s="69">
        <v>1</v>
      </c>
      <c r="AC41" s="127">
        <v>1</v>
      </c>
      <c r="AE41" s="21">
        <v>2</v>
      </c>
      <c r="AF41" s="128">
        <v>2</v>
      </c>
      <c r="AG41" s="54">
        <v>4</v>
      </c>
      <c r="AH41" s="64">
        <v>3</v>
      </c>
      <c r="AI41" s="69">
        <v>2</v>
      </c>
      <c r="AJ41" s="127">
        <v>3</v>
      </c>
      <c r="AK41">
        <f t="shared" si="1"/>
        <v>26</v>
      </c>
    </row>
    <row r="42" spans="1:37" x14ac:dyDescent="0.15">
      <c r="A42" s="2" t="s">
        <v>11</v>
      </c>
      <c r="B42">
        <v>4</v>
      </c>
      <c r="C42" s="21">
        <v>1</v>
      </c>
      <c r="D42" s="128">
        <v>4</v>
      </c>
      <c r="E42" s="54">
        <v>4</v>
      </c>
      <c r="F42" s="64">
        <v>3</v>
      </c>
      <c r="G42" s="69">
        <v>2</v>
      </c>
      <c r="H42" s="127">
        <v>4</v>
      </c>
      <c r="I42">
        <v>4</v>
      </c>
      <c r="J42" s="21"/>
      <c r="K42" s="128">
        <v>2</v>
      </c>
      <c r="L42" s="54">
        <v>2</v>
      </c>
      <c r="M42" s="64">
        <v>2</v>
      </c>
      <c r="N42" s="69">
        <v>2</v>
      </c>
      <c r="O42" s="127">
        <v>3</v>
      </c>
      <c r="Q42" s="21"/>
      <c r="R42" s="128">
        <v>1</v>
      </c>
      <c r="S42" s="54">
        <v>1</v>
      </c>
      <c r="T42" s="64">
        <v>1</v>
      </c>
      <c r="U42" s="69">
        <v>1</v>
      </c>
      <c r="V42" s="127">
        <v>3</v>
      </c>
      <c r="X42" s="21"/>
      <c r="Y42" s="128">
        <v>1</v>
      </c>
      <c r="Z42" s="54">
        <v>1</v>
      </c>
      <c r="AA42" s="64">
        <v>1</v>
      </c>
      <c r="AB42" s="69"/>
      <c r="AC42" s="127">
        <v>1</v>
      </c>
      <c r="AE42" s="21">
        <v>1</v>
      </c>
      <c r="AF42" s="128">
        <v>1</v>
      </c>
      <c r="AG42" s="54">
        <v>1</v>
      </c>
      <c r="AH42" s="64">
        <v>2</v>
      </c>
      <c r="AI42" s="69">
        <v>2</v>
      </c>
      <c r="AJ42" s="127">
        <v>3</v>
      </c>
      <c r="AK42">
        <f t="shared" si="1"/>
        <v>28</v>
      </c>
    </row>
    <row r="43" spans="1:37" x14ac:dyDescent="0.15">
      <c r="A43" s="2" t="s">
        <v>21</v>
      </c>
      <c r="B43">
        <v>1</v>
      </c>
      <c r="C43" s="21">
        <v>2</v>
      </c>
      <c r="D43" s="128">
        <v>1</v>
      </c>
      <c r="E43" s="54">
        <v>1</v>
      </c>
      <c r="F43" s="64">
        <v>1</v>
      </c>
      <c r="G43" s="69">
        <v>3</v>
      </c>
      <c r="H43" s="127">
        <v>1</v>
      </c>
      <c r="I43">
        <v>1</v>
      </c>
      <c r="J43" s="21">
        <v>2</v>
      </c>
      <c r="K43" s="128">
        <v>2</v>
      </c>
      <c r="L43" s="54">
        <v>2</v>
      </c>
      <c r="M43" s="64">
        <v>1</v>
      </c>
      <c r="N43" s="69">
        <v>2</v>
      </c>
      <c r="O43" s="127">
        <v>1</v>
      </c>
      <c r="Q43" s="21">
        <v>1</v>
      </c>
      <c r="R43" s="128">
        <v>1</v>
      </c>
      <c r="S43" s="54">
        <v>3</v>
      </c>
      <c r="T43" s="64">
        <v>2</v>
      </c>
      <c r="U43" s="69">
        <v>2</v>
      </c>
      <c r="V43" s="127">
        <v>1</v>
      </c>
      <c r="W43">
        <v>1</v>
      </c>
      <c r="X43" s="21">
        <v>1</v>
      </c>
      <c r="Y43" s="128">
        <v>1</v>
      </c>
      <c r="Z43" s="54">
        <v>2</v>
      </c>
      <c r="AA43" s="64">
        <v>2</v>
      </c>
      <c r="AB43" s="69">
        <v>2</v>
      </c>
      <c r="AC43" s="127">
        <v>2</v>
      </c>
      <c r="AE43" s="21"/>
      <c r="AF43" s="128"/>
      <c r="AG43" s="54"/>
      <c r="AH43" s="64"/>
      <c r="AI43" s="69"/>
      <c r="AJ43" s="127"/>
      <c r="AK43">
        <f t="shared" si="1"/>
        <v>27</v>
      </c>
    </row>
    <row r="44" spans="1:37" x14ac:dyDescent="0.15">
      <c r="A44" s="2" t="s">
        <v>197</v>
      </c>
      <c r="C44" s="21"/>
      <c r="D44" s="128"/>
      <c r="E44" s="54"/>
      <c r="F44" s="64"/>
      <c r="G44" s="69"/>
      <c r="H44" s="127"/>
      <c r="J44" s="21"/>
      <c r="K44" s="128"/>
      <c r="L44" s="54"/>
      <c r="M44" s="64"/>
      <c r="N44" s="69"/>
      <c r="O44" s="127"/>
      <c r="Q44" s="21"/>
      <c r="R44" s="128"/>
      <c r="S44" s="54"/>
      <c r="T44" s="64"/>
      <c r="U44" s="69"/>
      <c r="V44" s="127"/>
      <c r="X44" s="21"/>
      <c r="Y44" s="128"/>
      <c r="Z44" s="54"/>
      <c r="AA44" s="64"/>
      <c r="AB44" s="69"/>
      <c r="AC44" s="127"/>
      <c r="AE44" s="21"/>
      <c r="AF44" s="128"/>
      <c r="AG44" s="54"/>
      <c r="AH44" s="64"/>
      <c r="AI44" s="69"/>
      <c r="AJ44" s="127"/>
      <c r="AK44">
        <f t="shared" si="1"/>
        <v>0</v>
      </c>
    </row>
    <row r="45" spans="1:37" x14ac:dyDescent="0.15">
      <c r="A45" s="2" t="s">
        <v>196</v>
      </c>
      <c r="C45" s="21"/>
      <c r="D45" s="128"/>
      <c r="E45" s="54"/>
      <c r="F45" s="64"/>
      <c r="G45" s="69"/>
      <c r="H45" s="127"/>
      <c r="J45" s="21"/>
      <c r="K45" s="128"/>
      <c r="L45" s="54"/>
      <c r="M45" s="64"/>
      <c r="N45" s="69"/>
      <c r="O45" s="127"/>
      <c r="Q45" s="21"/>
      <c r="R45" s="128"/>
      <c r="S45" s="54"/>
      <c r="T45" s="64"/>
      <c r="U45" s="69"/>
      <c r="V45" s="127"/>
      <c r="X45" s="21"/>
      <c r="Y45" s="128"/>
      <c r="Z45" s="54"/>
      <c r="AA45" s="64"/>
      <c r="AB45" s="69"/>
      <c r="AC45" s="127"/>
      <c r="AE45" s="21"/>
      <c r="AF45" s="128"/>
      <c r="AG45" s="54"/>
      <c r="AH45" s="64">
        <v>1</v>
      </c>
      <c r="AI45" s="69">
        <v>2</v>
      </c>
      <c r="AJ45" s="127">
        <v>2</v>
      </c>
      <c r="AK45">
        <f t="shared" si="1"/>
        <v>3</v>
      </c>
    </row>
    <row r="46" spans="1:37" x14ac:dyDescent="0.15">
      <c r="A46" s="5" t="s">
        <v>198</v>
      </c>
      <c r="C46" s="21"/>
      <c r="D46" s="128"/>
      <c r="E46" s="54"/>
      <c r="F46" s="64"/>
      <c r="G46" s="69"/>
      <c r="H46" s="127"/>
      <c r="J46" s="21"/>
      <c r="K46" s="128"/>
      <c r="L46" s="54"/>
      <c r="M46" s="64"/>
      <c r="N46" s="69"/>
      <c r="O46" s="127"/>
      <c r="Q46" s="21"/>
      <c r="R46" s="128"/>
      <c r="S46" s="54"/>
      <c r="T46" s="64"/>
      <c r="U46" s="69"/>
      <c r="V46" s="127">
        <v>1</v>
      </c>
      <c r="X46" s="21"/>
      <c r="Y46" s="128"/>
      <c r="Z46" s="54"/>
      <c r="AA46" s="64"/>
      <c r="AB46" s="69"/>
      <c r="AC46" s="127"/>
      <c r="AE46" s="21"/>
      <c r="AF46" s="128"/>
      <c r="AG46" s="54"/>
      <c r="AH46" s="64"/>
      <c r="AI46" s="69"/>
      <c r="AJ46" s="127"/>
      <c r="AK46">
        <f t="shared" si="1"/>
        <v>1</v>
      </c>
    </row>
    <row r="47" spans="1:37" x14ac:dyDescent="0.15">
      <c r="A47" s="2" t="s">
        <v>35</v>
      </c>
      <c r="C47" s="21"/>
      <c r="D47" s="128">
        <v>1</v>
      </c>
      <c r="E47" s="54"/>
      <c r="F47" s="64"/>
      <c r="G47" s="69"/>
      <c r="H47" s="127"/>
      <c r="J47" s="21"/>
      <c r="K47" s="128"/>
      <c r="L47" s="54"/>
      <c r="M47" s="64"/>
      <c r="N47" s="69"/>
      <c r="O47" s="127"/>
      <c r="Q47" s="21"/>
      <c r="R47" s="128"/>
      <c r="S47" s="54"/>
      <c r="T47" s="64"/>
      <c r="U47" s="69"/>
      <c r="V47" s="127"/>
      <c r="X47" s="21"/>
      <c r="Y47" s="128"/>
      <c r="Z47" s="54">
        <v>1</v>
      </c>
      <c r="AA47" s="64">
        <v>1</v>
      </c>
      <c r="AB47" s="69">
        <v>1</v>
      </c>
      <c r="AC47" s="127"/>
      <c r="AD47">
        <v>2</v>
      </c>
      <c r="AE47" s="21"/>
      <c r="AF47" s="128"/>
      <c r="AG47" s="54"/>
      <c r="AH47" s="64"/>
      <c r="AI47" s="69">
        <v>1</v>
      </c>
      <c r="AJ47" s="127"/>
      <c r="AK47">
        <f t="shared" si="1"/>
        <v>6</v>
      </c>
    </row>
    <row r="48" spans="1:37" x14ac:dyDescent="0.15">
      <c r="A48" s="2" t="s">
        <v>110</v>
      </c>
      <c r="C48" s="21"/>
      <c r="D48" s="128"/>
      <c r="E48" s="54"/>
      <c r="F48" s="64"/>
      <c r="G48" s="69"/>
      <c r="H48" s="127"/>
      <c r="J48" s="21"/>
      <c r="K48" s="128"/>
      <c r="L48" s="54"/>
      <c r="M48" s="64"/>
      <c r="N48" s="69"/>
      <c r="O48" s="127"/>
      <c r="Q48" s="21"/>
      <c r="R48" s="128"/>
      <c r="S48" s="54"/>
      <c r="T48" s="64"/>
      <c r="U48" s="69"/>
      <c r="V48" s="127"/>
      <c r="X48" s="21"/>
      <c r="Y48" s="128"/>
      <c r="Z48" s="54"/>
      <c r="AA48" s="64"/>
      <c r="AB48" s="69"/>
      <c r="AC48" s="127"/>
      <c r="AE48" s="21"/>
      <c r="AF48" s="128"/>
      <c r="AG48" s="54"/>
      <c r="AH48" s="64"/>
      <c r="AI48" s="69"/>
      <c r="AJ48" s="127"/>
      <c r="AK48">
        <f t="shared" si="1"/>
        <v>0</v>
      </c>
    </row>
    <row r="49" spans="1:37" x14ac:dyDescent="0.15">
      <c r="A49" s="2" t="s">
        <v>25</v>
      </c>
      <c r="C49" s="21"/>
      <c r="D49" s="128"/>
      <c r="E49" s="54"/>
      <c r="F49" s="64"/>
      <c r="G49" s="69"/>
      <c r="H49" s="127"/>
      <c r="J49" s="21"/>
      <c r="K49" s="128"/>
      <c r="L49" s="54"/>
      <c r="M49" s="64"/>
      <c r="N49" s="69"/>
      <c r="O49" s="127"/>
      <c r="Q49" s="21"/>
      <c r="R49" s="128"/>
      <c r="S49" s="54"/>
      <c r="T49" s="64"/>
      <c r="U49" s="69"/>
      <c r="V49" s="127"/>
      <c r="X49" s="21"/>
      <c r="Y49" s="128"/>
      <c r="Z49" s="54"/>
      <c r="AA49" s="64"/>
      <c r="AB49" s="69"/>
      <c r="AC49" s="127"/>
      <c r="AE49" s="21"/>
      <c r="AF49" s="128"/>
      <c r="AG49" s="54"/>
      <c r="AH49" s="64"/>
      <c r="AI49" s="69"/>
      <c r="AJ49" s="127"/>
      <c r="AK49">
        <f t="shared" si="1"/>
        <v>0</v>
      </c>
    </row>
    <row r="50" spans="1:37" x14ac:dyDescent="0.15">
      <c r="A50" s="2" t="s">
        <v>38</v>
      </c>
      <c r="C50" s="21"/>
      <c r="D50" s="128">
        <v>1</v>
      </c>
      <c r="E50" s="54">
        <v>1</v>
      </c>
      <c r="F50" s="64">
        <v>1</v>
      </c>
      <c r="G50" s="69">
        <v>1</v>
      </c>
      <c r="H50" s="127">
        <v>2</v>
      </c>
      <c r="I50">
        <v>1</v>
      </c>
      <c r="J50" s="21"/>
      <c r="K50" s="128">
        <v>1</v>
      </c>
      <c r="L50" s="54">
        <v>1</v>
      </c>
      <c r="M50" s="64">
        <v>1</v>
      </c>
      <c r="N50" s="69">
        <v>2</v>
      </c>
      <c r="O50" s="127">
        <v>1</v>
      </c>
      <c r="Q50" s="21">
        <v>1</v>
      </c>
      <c r="R50" s="128">
        <v>1</v>
      </c>
      <c r="S50" s="54">
        <v>1</v>
      </c>
      <c r="T50" s="64">
        <v>1</v>
      </c>
      <c r="U50" s="69"/>
      <c r="V50" s="127">
        <v>1</v>
      </c>
      <c r="X50" s="21"/>
      <c r="Y50" s="128"/>
      <c r="Z50" s="54"/>
      <c r="AA50" s="64"/>
      <c r="AB50" s="69"/>
      <c r="AC50" s="127"/>
      <c r="AE50" s="21"/>
      <c r="AF50" s="128">
        <v>1</v>
      </c>
      <c r="AG50" s="54">
        <v>1</v>
      </c>
      <c r="AH50" s="64">
        <v>1</v>
      </c>
      <c r="AI50" s="69"/>
      <c r="AJ50" s="127"/>
      <c r="AK50">
        <f t="shared" si="1"/>
        <v>19</v>
      </c>
    </row>
    <row r="51" spans="1:37" x14ac:dyDescent="0.15">
      <c r="A51" s="2" t="s">
        <v>27</v>
      </c>
      <c r="C51" s="21"/>
      <c r="D51" s="128"/>
      <c r="E51" s="54"/>
      <c r="F51" s="64"/>
      <c r="G51" s="69"/>
      <c r="H51" s="127"/>
      <c r="J51" s="21"/>
      <c r="K51" s="128"/>
      <c r="L51" s="54"/>
      <c r="M51" s="64"/>
      <c r="N51" s="69"/>
      <c r="O51" s="127"/>
      <c r="Q51" s="21"/>
      <c r="R51" s="128"/>
      <c r="S51" s="54"/>
      <c r="T51" s="64"/>
      <c r="U51" s="69"/>
      <c r="V51" s="127"/>
      <c r="X51" s="21"/>
      <c r="Y51" s="128"/>
      <c r="Z51" s="54"/>
      <c r="AA51" s="64"/>
      <c r="AB51" s="69"/>
      <c r="AC51" s="127"/>
      <c r="AE51" s="21"/>
      <c r="AF51" s="128"/>
      <c r="AG51" s="54"/>
      <c r="AH51" s="64"/>
      <c r="AI51" s="69"/>
      <c r="AJ51" s="127"/>
      <c r="AK51">
        <f t="shared" si="1"/>
        <v>0</v>
      </c>
    </row>
    <row r="52" spans="1:37" x14ac:dyDescent="0.15">
      <c r="A52" s="2" t="s">
        <v>229</v>
      </c>
      <c r="C52" s="21"/>
      <c r="D52" s="128"/>
      <c r="E52" s="54"/>
      <c r="F52" s="64"/>
      <c r="G52" s="69"/>
      <c r="H52" s="127"/>
      <c r="J52" s="21"/>
      <c r="K52" s="128"/>
      <c r="L52" s="54"/>
      <c r="M52" s="64"/>
      <c r="N52" s="69"/>
      <c r="O52" s="127"/>
      <c r="Q52" s="21"/>
      <c r="R52" s="128"/>
      <c r="S52" s="54"/>
      <c r="T52" s="64"/>
      <c r="U52" s="69"/>
      <c r="V52" s="127"/>
      <c r="X52" s="21"/>
      <c r="Y52" s="128"/>
      <c r="Z52" s="54"/>
      <c r="AA52" s="64"/>
      <c r="AB52" s="69"/>
      <c r="AC52" s="127"/>
      <c r="AE52" s="21"/>
      <c r="AF52" s="128"/>
      <c r="AG52" s="54"/>
      <c r="AH52" s="64"/>
      <c r="AI52" s="69"/>
      <c r="AJ52" s="127"/>
      <c r="AK52">
        <f t="shared" si="1"/>
        <v>0</v>
      </c>
    </row>
    <row r="53" spans="1:37" x14ac:dyDescent="0.15">
      <c r="A53" s="2" t="s">
        <v>36</v>
      </c>
      <c r="C53" s="21"/>
      <c r="D53" s="128"/>
      <c r="E53" s="54"/>
      <c r="F53" s="64"/>
      <c r="G53" s="69"/>
      <c r="H53" s="127"/>
      <c r="J53" s="21"/>
      <c r="K53" s="128"/>
      <c r="L53" s="54"/>
      <c r="M53" s="64"/>
      <c r="N53" s="69"/>
      <c r="O53" s="127"/>
      <c r="Q53" s="21"/>
      <c r="R53" s="128"/>
      <c r="S53" s="54"/>
      <c r="T53" s="64"/>
      <c r="U53" s="69"/>
      <c r="V53" s="127"/>
      <c r="W53">
        <v>1</v>
      </c>
      <c r="X53" s="21"/>
      <c r="Y53" s="128"/>
      <c r="Z53" s="54"/>
      <c r="AA53" s="64"/>
      <c r="AB53" s="69"/>
      <c r="AC53" s="127"/>
      <c r="AE53" s="21"/>
      <c r="AF53" s="128"/>
      <c r="AG53" s="54"/>
      <c r="AH53" s="64"/>
      <c r="AI53" s="69"/>
      <c r="AJ53" s="127"/>
      <c r="AK53">
        <f t="shared" si="1"/>
        <v>1</v>
      </c>
    </row>
    <row r="54" spans="1:37" x14ac:dyDescent="0.15">
      <c r="A54" s="2" t="s">
        <v>50</v>
      </c>
      <c r="B54" s="17"/>
      <c r="C54" s="21"/>
      <c r="D54" s="128">
        <v>1</v>
      </c>
      <c r="E54" s="54">
        <v>1</v>
      </c>
      <c r="F54" s="64">
        <v>2</v>
      </c>
      <c r="G54" s="69">
        <v>1</v>
      </c>
      <c r="H54" s="127">
        <v>1</v>
      </c>
      <c r="J54" s="21"/>
      <c r="K54" s="128"/>
      <c r="L54" s="54"/>
      <c r="M54" s="64">
        <v>1</v>
      </c>
      <c r="N54" s="69">
        <v>1</v>
      </c>
      <c r="O54" s="127">
        <v>1</v>
      </c>
      <c r="Q54" s="21"/>
      <c r="R54" s="128"/>
      <c r="S54" s="54"/>
      <c r="T54" s="64"/>
      <c r="U54" s="69"/>
      <c r="V54" s="127"/>
      <c r="X54" s="21"/>
      <c r="Y54" s="128"/>
      <c r="Z54" s="54"/>
      <c r="AA54" s="64"/>
      <c r="AB54" s="69"/>
      <c r="AC54" s="127">
        <v>1</v>
      </c>
      <c r="AE54" s="21"/>
      <c r="AF54" s="128"/>
      <c r="AG54" s="54"/>
      <c r="AH54" s="64"/>
      <c r="AI54" s="69"/>
      <c r="AJ54" s="127"/>
      <c r="AK54">
        <f t="shared" si="1"/>
        <v>9</v>
      </c>
    </row>
    <row r="55" spans="1:37" x14ac:dyDescent="0.15">
      <c r="A55" s="2" t="s">
        <v>231</v>
      </c>
      <c r="B55" s="17"/>
      <c r="C55" s="21"/>
      <c r="D55" s="128"/>
      <c r="E55" s="54"/>
      <c r="F55" s="64"/>
      <c r="G55" s="69"/>
      <c r="H55" s="127"/>
      <c r="J55" s="21"/>
      <c r="K55" s="128"/>
      <c r="L55" s="54"/>
      <c r="M55" s="64"/>
      <c r="N55" s="69"/>
      <c r="O55" s="127"/>
      <c r="Q55" s="21"/>
      <c r="R55" s="128"/>
      <c r="S55" s="54"/>
      <c r="T55" s="64"/>
      <c r="U55" s="69"/>
      <c r="V55" s="127"/>
      <c r="X55" s="21"/>
      <c r="Y55" s="128"/>
      <c r="Z55" s="54"/>
      <c r="AA55" s="64"/>
      <c r="AB55" s="69"/>
      <c r="AC55" s="127"/>
      <c r="AE55" s="21"/>
      <c r="AF55" s="128"/>
      <c r="AG55" s="54"/>
      <c r="AH55" s="64"/>
      <c r="AI55" s="69"/>
      <c r="AJ55" s="127"/>
      <c r="AK55">
        <f t="shared" si="1"/>
        <v>0</v>
      </c>
    </row>
    <row r="56" spans="1:37" x14ac:dyDescent="0.15">
      <c r="A56" s="2" t="s">
        <v>190</v>
      </c>
      <c r="B56" s="17"/>
      <c r="C56" s="21"/>
      <c r="D56" s="128">
        <v>1</v>
      </c>
      <c r="E56" s="54">
        <v>1</v>
      </c>
      <c r="F56" s="64">
        <v>2</v>
      </c>
      <c r="G56" s="69">
        <v>1</v>
      </c>
      <c r="H56" s="127">
        <v>1</v>
      </c>
      <c r="J56" s="21"/>
      <c r="K56" s="128"/>
      <c r="L56" s="54"/>
      <c r="M56" s="64"/>
      <c r="N56" s="69"/>
      <c r="O56" s="127"/>
      <c r="Q56" s="21"/>
      <c r="R56" s="128"/>
      <c r="S56" s="54"/>
      <c r="T56" s="64"/>
      <c r="U56" s="69"/>
      <c r="V56" s="127"/>
      <c r="X56" s="21"/>
      <c r="Y56" s="128"/>
      <c r="Z56" s="54"/>
      <c r="AA56" s="64"/>
      <c r="AB56" s="69"/>
      <c r="AC56" s="127"/>
      <c r="AE56" s="21"/>
      <c r="AF56" s="128"/>
      <c r="AG56" s="54"/>
      <c r="AH56" s="64"/>
      <c r="AI56" s="69"/>
      <c r="AJ56" s="127"/>
      <c r="AK56">
        <f t="shared" si="1"/>
        <v>5</v>
      </c>
    </row>
    <row r="57" spans="1:37" x14ac:dyDescent="0.15">
      <c r="A57" s="2" t="s">
        <v>58</v>
      </c>
      <c r="B57" s="17"/>
      <c r="C57" s="21"/>
      <c r="D57" s="128"/>
      <c r="E57" s="54"/>
      <c r="F57" s="64">
        <v>1</v>
      </c>
      <c r="G57" s="69">
        <v>1</v>
      </c>
      <c r="H57" s="127">
        <v>1</v>
      </c>
      <c r="J57" s="21"/>
      <c r="K57" s="128"/>
      <c r="L57" s="54">
        <v>1</v>
      </c>
      <c r="M57" s="64">
        <v>1</v>
      </c>
      <c r="N57" s="69">
        <v>1</v>
      </c>
      <c r="O57" s="127">
        <v>1</v>
      </c>
      <c r="Q57" s="21"/>
      <c r="R57" s="128">
        <v>1</v>
      </c>
      <c r="S57" s="54">
        <v>1</v>
      </c>
      <c r="T57" s="64">
        <v>1</v>
      </c>
      <c r="U57" s="69">
        <v>1</v>
      </c>
      <c r="V57" s="127">
        <v>1</v>
      </c>
      <c r="X57" s="21"/>
      <c r="Y57" s="128"/>
      <c r="Z57" s="54">
        <v>1</v>
      </c>
      <c r="AA57" s="64">
        <v>1</v>
      </c>
      <c r="AB57" s="69">
        <v>1</v>
      </c>
      <c r="AC57" s="127"/>
      <c r="AE57" s="21"/>
      <c r="AF57" s="128">
        <v>1</v>
      </c>
      <c r="AG57" s="54"/>
      <c r="AH57" s="64"/>
      <c r="AI57" s="69">
        <v>1</v>
      </c>
      <c r="AJ57" s="127">
        <v>1</v>
      </c>
      <c r="AK57">
        <f t="shared" si="1"/>
        <v>18</v>
      </c>
    </row>
    <row r="58" spans="1:37" x14ac:dyDescent="0.15">
      <c r="A58" s="2" t="s">
        <v>57</v>
      </c>
      <c r="B58" s="17"/>
      <c r="C58" s="21"/>
      <c r="D58" s="128"/>
      <c r="E58" s="54"/>
      <c r="F58" s="64"/>
      <c r="G58" s="69"/>
      <c r="H58" s="127"/>
      <c r="J58" s="21"/>
      <c r="K58" s="128">
        <v>1</v>
      </c>
      <c r="L58" s="54"/>
      <c r="M58" s="64"/>
      <c r="N58" s="69"/>
      <c r="O58" s="127"/>
      <c r="Q58" s="21"/>
      <c r="R58" s="128"/>
      <c r="S58" s="54"/>
      <c r="T58" s="64"/>
      <c r="U58" s="69"/>
      <c r="V58" s="127"/>
      <c r="X58" s="21"/>
      <c r="Y58" s="128"/>
      <c r="Z58" s="54"/>
      <c r="AA58" s="64"/>
      <c r="AB58" s="69"/>
      <c r="AC58" s="127"/>
      <c r="AE58" s="21"/>
      <c r="AF58" s="128"/>
      <c r="AG58" s="54"/>
      <c r="AH58" s="64"/>
      <c r="AI58" s="69"/>
      <c r="AJ58" s="127"/>
      <c r="AK58">
        <f t="shared" si="1"/>
        <v>1</v>
      </c>
    </row>
    <row r="59" spans="1:37" x14ac:dyDescent="0.15">
      <c r="A59" s="2" t="s">
        <v>28</v>
      </c>
      <c r="C59" s="21"/>
      <c r="D59" s="128"/>
      <c r="E59" s="54"/>
      <c r="F59" s="64"/>
      <c r="G59" s="69"/>
      <c r="H59" s="127"/>
      <c r="J59" s="21"/>
      <c r="K59" s="128"/>
      <c r="L59" s="54"/>
      <c r="M59" s="64"/>
      <c r="N59" s="69"/>
      <c r="O59" s="127"/>
      <c r="Q59" s="21"/>
      <c r="R59" s="128"/>
      <c r="S59" s="54"/>
      <c r="T59" s="64"/>
      <c r="U59" s="69"/>
      <c r="V59" s="127"/>
      <c r="X59" s="21"/>
      <c r="Y59" s="128"/>
      <c r="Z59" s="54"/>
      <c r="AA59" s="64"/>
      <c r="AB59" s="69"/>
      <c r="AC59" s="127"/>
      <c r="AE59" s="21"/>
      <c r="AF59" s="128"/>
      <c r="AG59" s="54"/>
      <c r="AH59" s="64"/>
      <c r="AI59" s="69"/>
      <c r="AJ59" s="127"/>
      <c r="AK59">
        <f t="shared" si="1"/>
        <v>0</v>
      </c>
    </row>
    <row r="60" spans="1:37" x14ac:dyDescent="0.15">
      <c r="A60" s="2" t="s">
        <v>194</v>
      </c>
      <c r="B60" s="18"/>
      <c r="C60" s="21"/>
      <c r="D60" s="128"/>
      <c r="E60" s="54"/>
      <c r="F60" s="64"/>
      <c r="G60" s="69"/>
      <c r="H60" s="127"/>
      <c r="J60" s="21"/>
      <c r="K60" s="128"/>
      <c r="L60" s="54"/>
      <c r="M60" s="64"/>
      <c r="N60" s="69"/>
      <c r="O60" s="127"/>
      <c r="Q60" s="21"/>
      <c r="R60" s="128"/>
      <c r="S60" s="54"/>
      <c r="T60" s="64"/>
      <c r="U60" s="69"/>
      <c r="V60" s="127"/>
      <c r="X60" s="21"/>
      <c r="Y60" s="128"/>
      <c r="Z60" s="54"/>
      <c r="AA60" s="64"/>
      <c r="AB60" s="69"/>
      <c r="AC60" s="127"/>
      <c r="AE60" s="21"/>
      <c r="AF60" s="128"/>
      <c r="AG60" s="54"/>
      <c r="AH60" s="64"/>
      <c r="AI60" s="69"/>
      <c r="AJ60" s="127"/>
      <c r="AK60">
        <f t="shared" si="1"/>
        <v>0</v>
      </c>
    </row>
    <row r="61" spans="1:37" x14ac:dyDescent="0.15">
      <c r="A61" s="2" t="s">
        <v>10</v>
      </c>
      <c r="C61" s="21"/>
      <c r="D61" s="128"/>
      <c r="E61" s="54">
        <v>1</v>
      </c>
      <c r="F61" s="64">
        <v>1</v>
      </c>
      <c r="G61" s="69">
        <v>1</v>
      </c>
      <c r="H61" s="127">
        <v>2</v>
      </c>
      <c r="I61">
        <v>1</v>
      </c>
      <c r="J61" s="21">
        <v>1</v>
      </c>
      <c r="K61" s="128"/>
      <c r="L61" s="54">
        <v>1</v>
      </c>
      <c r="M61" s="64">
        <v>1</v>
      </c>
      <c r="N61" s="69">
        <v>1</v>
      </c>
      <c r="O61" s="127">
        <v>1</v>
      </c>
      <c r="Q61" s="21">
        <v>2</v>
      </c>
      <c r="R61" s="128"/>
      <c r="S61" s="54">
        <v>1</v>
      </c>
      <c r="T61" s="64">
        <v>1</v>
      </c>
      <c r="U61" s="69"/>
      <c r="V61" s="127"/>
      <c r="X61" s="21"/>
      <c r="Y61" s="128"/>
      <c r="Z61" s="54">
        <v>1</v>
      </c>
      <c r="AA61" s="64"/>
      <c r="AB61" s="69"/>
      <c r="AC61" s="127"/>
      <c r="AE61" s="21"/>
      <c r="AF61" s="128"/>
      <c r="AG61" s="54"/>
      <c r="AH61" s="64"/>
      <c r="AI61" s="69"/>
      <c r="AJ61" s="127"/>
      <c r="AK61">
        <f t="shared" si="1"/>
        <v>14</v>
      </c>
    </row>
    <row r="62" spans="1:37" x14ac:dyDescent="0.15">
      <c r="A62" s="5" t="s">
        <v>174</v>
      </c>
      <c r="B62" s="17"/>
      <c r="C62" s="21"/>
      <c r="D62" s="111"/>
      <c r="E62" s="112"/>
      <c r="F62" s="113"/>
      <c r="G62" s="145"/>
      <c r="H62" s="169"/>
      <c r="I62" s="114"/>
      <c r="J62" s="21"/>
      <c r="K62" s="111"/>
      <c r="L62" s="112"/>
      <c r="M62" s="113"/>
      <c r="N62" s="145"/>
      <c r="O62" s="169"/>
      <c r="P62" s="4">
        <v>1</v>
      </c>
      <c r="Q62" s="138">
        <v>1</v>
      </c>
      <c r="R62" s="128">
        <v>1</v>
      </c>
      <c r="S62" s="54">
        <v>1</v>
      </c>
      <c r="T62" s="113"/>
      <c r="U62" s="145"/>
      <c r="V62" s="169">
        <v>1</v>
      </c>
      <c r="W62" s="4">
        <v>1</v>
      </c>
      <c r="X62" s="138">
        <v>3</v>
      </c>
      <c r="Y62" s="128">
        <v>1</v>
      </c>
      <c r="Z62" s="54">
        <v>2</v>
      </c>
      <c r="AA62" s="113"/>
      <c r="AB62" s="145"/>
      <c r="AC62" s="169">
        <v>1</v>
      </c>
      <c r="AD62" s="4">
        <v>1</v>
      </c>
      <c r="AE62" s="138">
        <v>1</v>
      </c>
      <c r="AF62" s="128">
        <v>1</v>
      </c>
      <c r="AG62" s="54">
        <v>1</v>
      </c>
      <c r="AH62" s="118"/>
      <c r="AI62" s="146"/>
      <c r="AJ62" s="170">
        <v>1</v>
      </c>
      <c r="AK62">
        <f t="shared" si="1"/>
        <v>15</v>
      </c>
    </row>
    <row r="63" spans="1:37" x14ac:dyDescent="0.15">
      <c r="A63" s="2" t="s">
        <v>22</v>
      </c>
      <c r="B63">
        <v>2</v>
      </c>
      <c r="C63" s="21">
        <v>2</v>
      </c>
      <c r="D63" s="128">
        <v>1</v>
      </c>
      <c r="E63" s="54">
        <v>2</v>
      </c>
      <c r="F63" s="64">
        <v>3</v>
      </c>
      <c r="G63" s="69">
        <v>1</v>
      </c>
      <c r="H63" s="127">
        <v>2</v>
      </c>
      <c r="J63" s="21">
        <v>1</v>
      </c>
      <c r="K63" s="128">
        <v>1</v>
      </c>
      <c r="L63" s="54">
        <v>1</v>
      </c>
      <c r="M63" s="64">
        <v>1</v>
      </c>
      <c r="N63" s="69">
        <v>1</v>
      </c>
      <c r="O63" s="127">
        <v>1</v>
      </c>
      <c r="Q63" s="21"/>
      <c r="R63" s="128">
        <v>1</v>
      </c>
      <c r="S63" s="54"/>
      <c r="T63" s="64">
        <v>1</v>
      </c>
      <c r="U63" s="69">
        <v>1</v>
      </c>
      <c r="V63" s="127">
        <v>1</v>
      </c>
      <c r="W63">
        <v>1</v>
      </c>
      <c r="X63" s="21">
        <v>2</v>
      </c>
      <c r="Y63" s="128">
        <v>1</v>
      </c>
      <c r="Z63" s="54">
        <v>1</v>
      </c>
      <c r="AA63" s="64">
        <v>1</v>
      </c>
      <c r="AB63" s="69">
        <v>1</v>
      </c>
      <c r="AC63" s="127">
        <v>2</v>
      </c>
      <c r="AD63">
        <v>1</v>
      </c>
      <c r="AE63" s="21">
        <v>1</v>
      </c>
      <c r="AF63" s="128">
        <v>1</v>
      </c>
      <c r="AG63" s="54">
        <v>1</v>
      </c>
      <c r="AH63" s="64">
        <v>1</v>
      </c>
      <c r="AI63" s="69">
        <v>1</v>
      </c>
      <c r="AJ63" s="127">
        <v>1</v>
      </c>
      <c r="AK63">
        <f t="shared" si="1"/>
        <v>31</v>
      </c>
    </row>
    <row r="64" spans="1:37" x14ac:dyDescent="0.15">
      <c r="A64" s="5" t="s">
        <v>132</v>
      </c>
      <c r="C64" s="21"/>
      <c r="D64" s="128"/>
      <c r="E64" s="54"/>
      <c r="F64" s="64"/>
      <c r="G64" s="69"/>
      <c r="H64" s="127"/>
      <c r="J64" s="21"/>
      <c r="K64" s="128"/>
      <c r="L64" s="54"/>
      <c r="M64" s="64"/>
      <c r="N64" s="69"/>
      <c r="O64" s="127"/>
      <c r="Q64" s="21"/>
      <c r="R64" s="128"/>
      <c r="S64" s="54"/>
      <c r="T64" s="64"/>
      <c r="U64" s="69"/>
      <c r="V64" s="127"/>
      <c r="X64" s="21"/>
      <c r="Y64" s="128"/>
      <c r="Z64" s="54"/>
      <c r="AA64" s="64"/>
      <c r="AB64" s="69"/>
      <c r="AC64" s="127"/>
      <c r="AE64" s="21"/>
      <c r="AF64" s="128"/>
      <c r="AG64" s="54"/>
      <c r="AH64" s="64"/>
      <c r="AI64" s="69"/>
      <c r="AJ64" s="127"/>
      <c r="AK64">
        <f t="shared" si="1"/>
        <v>0</v>
      </c>
    </row>
    <row r="65" spans="1:37" x14ac:dyDescent="0.15">
      <c r="A65" s="5" t="s">
        <v>191</v>
      </c>
      <c r="C65" s="21"/>
      <c r="D65" s="128"/>
      <c r="E65" s="54"/>
      <c r="F65" s="64"/>
      <c r="G65" s="69">
        <v>1</v>
      </c>
      <c r="H65" s="127"/>
      <c r="J65" s="21"/>
      <c r="K65" s="128"/>
      <c r="L65" s="54"/>
      <c r="M65" s="64"/>
      <c r="N65" s="69"/>
      <c r="O65" s="127"/>
      <c r="Q65" s="21"/>
      <c r="R65" s="128"/>
      <c r="S65" s="54"/>
      <c r="T65" s="64"/>
      <c r="U65" s="69"/>
      <c r="V65" s="127"/>
      <c r="X65" s="21"/>
      <c r="Y65" s="128"/>
      <c r="Z65" s="54"/>
      <c r="AA65" s="64"/>
      <c r="AB65" s="69"/>
      <c r="AC65" s="127"/>
      <c r="AE65" s="21"/>
      <c r="AF65" s="128"/>
      <c r="AG65" s="54"/>
      <c r="AH65" s="64"/>
      <c r="AI65" s="69"/>
      <c r="AJ65" s="127"/>
      <c r="AK65">
        <f t="shared" si="1"/>
        <v>1</v>
      </c>
    </row>
    <row r="66" spans="1:37" x14ac:dyDescent="0.15">
      <c r="A66" s="5" t="s">
        <v>218</v>
      </c>
      <c r="C66" s="21"/>
      <c r="D66" s="128">
        <v>1</v>
      </c>
      <c r="E66" s="54">
        <v>1</v>
      </c>
      <c r="F66" s="64">
        <v>1</v>
      </c>
      <c r="G66" s="69">
        <v>1</v>
      </c>
      <c r="H66" s="127">
        <v>1</v>
      </c>
      <c r="J66" s="21"/>
      <c r="K66" s="128"/>
      <c r="L66" s="54">
        <v>1</v>
      </c>
      <c r="M66" s="64">
        <v>1</v>
      </c>
      <c r="N66" s="69"/>
      <c r="O66" s="127"/>
      <c r="Q66" s="21"/>
      <c r="R66" s="128"/>
      <c r="S66" s="54"/>
      <c r="T66" s="64"/>
      <c r="U66" s="69"/>
      <c r="V66" s="127"/>
      <c r="X66" s="21"/>
      <c r="Y66" s="128"/>
      <c r="Z66" s="54"/>
      <c r="AA66" s="64"/>
      <c r="AB66" s="69"/>
      <c r="AC66" s="127"/>
      <c r="AE66" s="21"/>
      <c r="AF66" s="128"/>
      <c r="AG66" s="54"/>
      <c r="AH66" s="64"/>
      <c r="AI66" s="69"/>
      <c r="AJ66" s="127"/>
      <c r="AK66">
        <f t="shared" si="1"/>
        <v>7</v>
      </c>
    </row>
    <row r="67" spans="1:37" x14ac:dyDescent="0.15">
      <c r="A67" s="5" t="s">
        <v>203</v>
      </c>
      <c r="C67" s="21"/>
      <c r="D67" s="128"/>
      <c r="E67" s="54"/>
      <c r="F67" s="64"/>
      <c r="G67" s="69"/>
      <c r="H67" s="127"/>
      <c r="J67" s="21"/>
      <c r="K67" s="128"/>
      <c r="L67" s="54"/>
      <c r="M67" s="64"/>
      <c r="N67" s="69"/>
      <c r="O67" s="127"/>
      <c r="Q67" s="21"/>
      <c r="R67" s="128"/>
      <c r="S67" s="54"/>
      <c r="T67" s="64"/>
      <c r="U67" s="69"/>
      <c r="V67" s="127"/>
      <c r="X67" s="21"/>
      <c r="Y67" s="128"/>
      <c r="Z67" s="54"/>
      <c r="AA67" s="64"/>
      <c r="AB67" s="69"/>
      <c r="AC67" s="127"/>
      <c r="AE67" s="21"/>
      <c r="AF67" s="128"/>
      <c r="AG67" s="54"/>
      <c r="AH67" s="64"/>
      <c r="AI67" s="69"/>
      <c r="AJ67" s="127"/>
      <c r="AK67">
        <f t="shared" si="1"/>
        <v>0</v>
      </c>
    </row>
    <row r="68" spans="1:37" x14ac:dyDescent="0.15">
      <c r="A68" s="2" t="s">
        <v>23</v>
      </c>
      <c r="C68" s="21">
        <v>1</v>
      </c>
      <c r="D68" s="128">
        <v>1</v>
      </c>
      <c r="E68" s="54">
        <v>1</v>
      </c>
      <c r="F68" s="64"/>
      <c r="G68" s="69"/>
      <c r="H68" s="127"/>
      <c r="J68" s="21"/>
      <c r="K68" s="128"/>
      <c r="L68" s="54">
        <v>1</v>
      </c>
      <c r="M68" s="64"/>
      <c r="N68" s="69"/>
      <c r="O68" s="127"/>
      <c r="Q68" s="21"/>
      <c r="R68" s="128"/>
      <c r="S68" s="54"/>
      <c r="T68" s="64"/>
      <c r="U68" s="69"/>
      <c r="V68" s="127"/>
      <c r="X68" s="21"/>
      <c r="Y68" s="128"/>
      <c r="Z68" s="54"/>
      <c r="AA68" s="64"/>
      <c r="AB68" s="69"/>
      <c r="AC68" s="127"/>
      <c r="AE68" s="21"/>
      <c r="AF68" s="128"/>
      <c r="AG68" s="54"/>
      <c r="AH68" s="64"/>
      <c r="AI68" s="69"/>
      <c r="AJ68" s="127"/>
      <c r="AK68">
        <f t="shared" si="1"/>
        <v>4</v>
      </c>
    </row>
    <row r="69" spans="1:37" x14ac:dyDescent="0.15">
      <c r="A69" s="2" t="s">
        <v>208</v>
      </c>
      <c r="C69" s="21"/>
      <c r="D69" s="128"/>
      <c r="E69" s="54"/>
      <c r="F69" s="64"/>
      <c r="G69" s="69"/>
      <c r="H69" s="127"/>
      <c r="J69" s="21"/>
      <c r="K69" s="128"/>
      <c r="L69" s="54"/>
      <c r="M69" s="64"/>
      <c r="N69" s="69"/>
      <c r="O69" s="127"/>
      <c r="Q69" s="21"/>
      <c r="R69" s="128"/>
      <c r="S69" s="54"/>
      <c r="T69" s="64"/>
      <c r="U69" s="69"/>
      <c r="V69" s="127"/>
      <c r="X69" s="21"/>
      <c r="Y69" s="128"/>
      <c r="Z69" s="54"/>
      <c r="AA69" s="64"/>
      <c r="AB69" s="69"/>
      <c r="AC69" s="127"/>
      <c r="AE69" s="21"/>
      <c r="AF69" s="128"/>
      <c r="AG69" s="54"/>
      <c r="AH69" s="64"/>
      <c r="AI69" s="69"/>
      <c r="AJ69" s="127"/>
      <c r="AK69">
        <f t="shared" si="1"/>
        <v>0</v>
      </c>
    </row>
    <row r="70" spans="1:37" x14ac:dyDescent="0.15">
      <c r="A70" s="2" t="s">
        <v>41</v>
      </c>
      <c r="B70">
        <v>1</v>
      </c>
      <c r="C70" s="21">
        <v>2</v>
      </c>
      <c r="D70" s="128">
        <v>1</v>
      </c>
      <c r="E70" s="54">
        <v>1</v>
      </c>
      <c r="F70" s="64">
        <v>1</v>
      </c>
      <c r="G70" s="69">
        <v>1</v>
      </c>
      <c r="H70" s="127">
        <v>2</v>
      </c>
      <c r="I70">
        <v>1</v>
      </c>
      <c r="J70" s="21">
        <v>1</v>
      </c>
      <c r="K70" s="128">
        <v>1</v>
      </c>
      <c r="L70" s="54">
        <v>1</v>
      </c>
      <c r="M70" s="64">
        <v>1</v>
      </c>
      <c r="N70" s="69">
        <v>1</v>
      </c>
      <c r="O70" s="127">
        <v>1</v>
      </c>
      <c r="P70">
        <v>1</v>
      </c>
      <c r="Q70" s="21"/>
      <c r="R70" s="128"/>
      <c r="S70" s="54">
        <v>1</v>
      </c>
      <c r="T70" s="64">
        <v>1</v>
      </c>
      <c r="U70" s="69"/>
      <c r="V70" s="127">
        <v>1</v>
      </c>
      <c r="X70" s="21">
        <v>1</v>
      </c>
      <c r="Y70" s="128"/>
      <c r="Z70" s="54"/>
      <c r="AA70" s="64"/>
      <c r="AB70" s="69">
        <v>1</v>
      </c>
      <c r="AC70" s="127">
        <v>2</v>
      </c>
      <c r="AD70">
        <v>1</v>
      </c>
      <c r="AE70" s="21"/>
      <c r="AF70" s="128"/>
      <c r="AG70" s="54"/>
      <c r="AH70" s="64"/>
      <c r="AI70" s="69"/>
      <c r="AJ70" s="127"/>
      <c r="AK70">
        <f t="shared" si="1"/>
        <v>22</v>
      </c>
    </row>
    <row r="71" spans="1:37" x14ac:dyDescent="0.15">
      <c r="A71" s="5" t="s">
        <v>95</v>
      </c>
      <c r="C71" s="21"/>
      <c r="D71" s="128"/>
      <c r="E71" s="54"/>
      <c r="F71" s="64"/>
      <c r="G71" s="69"/>
      <c r="H71" s="127"/>
      <c r="J71" s="21"/>
      <c r="K71" s="128"/>
      <c r="L71" s="54"/>
      <c r="M71" s="64"/>
      <c r="N71" s="69"/>
      <c r="O71" s="127"/>
      <c r="Q71" s="21"/>
      <c r="R71" s="128"/>
      <c r="S71" s="54"/>
      <c r="T71" s="64"/>
      <c r="U71" s="69"/>
      <c r="V71" s="127"/>
      <c r="X71" s="21"/>
      <c r="Y71" s="128"/>
      <c r="Z71" s="54"/>
      <c r="AA71" s="64"/>
      <c r="AB71" s="69"/>
      <c r="AC71" s="127"/>
      <c r="AE71" s="21"/>
      <c r="AF71" s="128"/>
      <c r="AG71" s="54"/>
      <c r="AH71" s="64"/>
      <c r="AI71" s="69"/>
      <c r="AJ71" s="127"/>
      <c r="AK71">
        <f t="shared" ref="AK71:AK84" si="2">COUNTA(B71:AJ71)</f>
        <v>0</v>
      </c>
    </row>
    <row r="72" spans="1:37" x14ac:dyDescent="0.15">
      <c r="A72" s="5" t="s">
        <v>111</v>
      </c>
      <c r="C72" s="21"/>
      <c r="D72" s="128"/>
      <c r="E72" s="54"/>
      <c r="F72" s="64"/>
      <c r="G72" s="69"/>
      <c r="H72" s="127"/>
      <c r="J72" s="21"/>
      <c r="K72" s="128"/>
      <c r="L72" s="54"/>
      <c r="M72" s="64"/>
      <c r="N72" s="69"/>
      <c r="O72" s="127"/>
      <c r="Q72" s="21"/>
      <c r="R72" s="128"/>
      <c r="S72" s="54"/>
      <c r="T72" s="64"/>
      <c r="U72" s="69"/>
      <c r="V72" s="127"/>
      <c r="X72" s="21"/>
      <c r="Y72" s="128"/>
      <c r="Z72" s="54"/>
      <c r="AA72" s="64"/>
      <c r="AB72" s="69"/>
      <c r="AC72" s="127"/>
      <c r="AE72" s="21"/>
      <c r="AF72" s="128"/>
      <c r="AG72" s="54"/>
      <c r="AH72" s="64"/>
      <c r="AI72" s="69"/>
      <c r="AJ72" s="127"/>
      <c r="AK72">
        <f t="shared" si="2"/>
        <v>0</v>
      </c>
    </row>
    <row r="73" spans="1:37" x14ac:dyDescent="0.15">
      <c r="A73" s="2" t="s">
        <v>7</v>
      </c>
      <c r="B73">
        <v>2</v>
      </c>
      <c r="C73" s="21">
        <v>1</v>
      </c>
      <c r="D73" s="128">
        <v>1</v>
      </c>
      <c r="E73" s="54">
        <v>1</v>
      </c>
      <c r="F73" s="64">
        <v>1</v>
      </c>
      <c r="G73" s="69"/>
      <c r="H73" s="127">
        <v>2</v>
      </c>
      <c r="J73" s="21">
        <v>1</v>
      </c>
      <c r="K73" s="128">
        <v>1</v>
      </c>
      <c r="L73" s="54">
        <v>1</v>
      </c>
      <c r="M73" s="64">
        <v>1</v>
      </c>
      <c r="N73" s="69">
        <v>1</v>
      </c>
      <c r="O73" s="127">
        <v>1</v>
      </c>
      <c r="Q73" s="21"/>
      <c r="R73" s="128">
        <v>1</v>
      </c>
      <c r="S73" s="54">
        <v>1</v>
      </c>
      <c r="T73" s="64">
        <v>1</v>
      </c>
      <c r="U73" s="69">
        <v>1</v>
      </c>
      <c r="V73" s="127">
        <v>1</v>
      </c>
      <c r="X73" s="21"/>
      <c r="Y73" s="128"/>
      <c r="Z73" s="54">
        <v>1</v>
      </c>
      <c r="AA73" s="64">
        <v>1</v>
      </c>
      <c r="AB73" s="69">
        <v>1</v>
      </c>
      <c r="AC73" s="127">
        <v>1</v>
      </c>
      <c r="AD73">
        <v>1</v>
      </c>
      <c r="AE73" s="21"/>
      <c r="AF73" s="128"/>
      <c r="AG73" s="54">
        <v>1</v>
      </c>
      <c r="AH73" s="64">
        <v>1</v>
      </c>
      <c r="AI73" s="69"/>
      <c r="AJ73" s="127"/>
      <c r="AK73">
        <f t="shared" si="2"/>
        <v>24</v>
      </c>
    </row>
    <row r="74" spans="1:37" x14ac:dyDescent="0.15">
      <c r="A74" s="2" t="s">
        <v>32</v>
      </c>
      <c r="C74" s="21"/>
      <c r="D74" s="128"/>
      <c r="E74" s="54"/>
      <c r="F74" s="64"/>
      <c r="G74" s="69"/>
      <c r="H74" s="127"/>
      <c r="J74" s="21"/>
      <c r="K74" s="128"/>
      <c r="L74" s="54"/>
      <c r="M74" s="64"/>
      <c r="N74" s="69"/>
      <c r="O74" s="127"/>
      <c r="Q74" s="21"/>
      <c r="R74" s="128"/>
      <c r="S74" s="54"/>
      <c r="T74" s="64"/>
      <c r="U74" s="69"/>
      <c r="V74" s="127"/>
      <c r="W74">
        <v>1</v>
      </c>
      <c r="X74" s="21"/>
      <c r="Y74" s="128"/>
      <c r="Z74" s="54"/>
      <c r="AA74" s="64"/>
      <c r="AB74" s="69"/>
      <c r="AC74" s="127">
        <v>1</v>
      </c>
      <c r="AE74" s="21"/>
      <c r="AF74" s="128"/>
      <c r="AG74" s="54"/>
      <c r="AH74" s="64"/>
      <c r="AI74" s="69"/>
      <c r="AJ74" s="127"/>
      <c r="AK74">
        <f t="shared" si="2"/>
        <v>2</v>
      </c>
    </row>
    <row r="75" spans="1:37" x14ac:dyDescent="0.15">
      <c r="A75" s="5" t="s">
        <v>72</v>
      </c>
      <c r="C75" s="21"/>
      <c r="D75" s="128"/>
      <c r="E75" s="54"/>
      <c r="F75" s="64"/>
      <c r="G75" s="69"/>
      <c r="H75" s="127"/>
      <c r="J75" s="21"/>
      <c r="K75" s="128"/>
      <c r="L75" s="54"/>
      <c r="M75" s="64"/>
      <c r="N75" s="69"/>
      <c r="O75" s="127"/>
      <c r="Q75" s="21"/>
      <c r="R75" s="128"/>
      <c r="S75" s="54"/>
      <c r="T75" s="64"/>
      <c r="U75" s="69"/>
      <c r="V75" s="127"/>
      <c r="X75" s="21"/>
      <c r="Y75" s="128"/>
      <c r="Z75" s="54"/>
      <c r="AA75" s="64"/>
      <c r="AB75" s="69"/>
      <c r="AC75" s="127"/>
      <c r="AD75">
        <v>1</v>
      </c>
      <c r="AE75" s="21">
        <v>2</v>
      </c>
      <c r="AF75" s="128">
        <v>1</v>
      </c>
      <c r="AG75" s="54"/>
      <c r="AH75" s="64"/>
      <c r="AI75" s="69"/>
      <c r="AJ75" s="127"/>
      <c r="AK75">
        <f t="shared" si="2"/>
        <v>3</v>
      </c>
    </row>
    <row r="76" spans="1:37" x14ac:dyDescent="0.15">
      <c r="A76" s="5" t="s">
        <v>61</v>
      </c>
      <c r="B76" s="17"/>
      <c r="C76" s="21"/>
      <c r="D76" s="128">
        <v>1</v>
      </c>
      <c r="E76" s="54"/>
      <c r="F76" s="64">
        <v>1</v>
      </c>
      <c r="G76" s="69"/>
      <c r="H76" s="127"/>
      <c r="J76" s="21"/>
      <c r="K76" s="128"/>
      <c r="L76" s="54"/>
      <c r="M76" s="64"/>
      <c r="N76" s="69"/>
      <c r="O76" s="127"/>
      <c r="Q76" s="21"/>
      <c r="R76" s="128"/>
      <c r="S76" s="54">
        <v>1</v>
      </c>
      <c r="T76" s="64">
        <v>1</v>
      </c>
      <c r="U76" s="69">
        <v>1</v>
      </c>
      <c r="V76" s="127">
        <v>1</v>
      </c>
      <c r="X76" s="21"/>
      <c r="Y76" s="128"/>
      <c r="Z76" s="54"/>
      <c r="AA76" s="64"/>
      <c r="AB76" s="69"/>
      <c r="AC76" s="127"/>
      <c r="AE76" s="21"/>
      <c r="AF76" s="128"/>
      <c r="AG76" s="54"/>
      <c r="AH76" s="64"/>
      <c r="AI76" s="69">
        <v>1</v>
      </c>
      <c r="AJ76" s="127">
        <v>1</v>
      </c>
      <c r="AK76">
        <f t="shared" si="2"/>
        <v>8</v>
      </c>
    </row>
    <row r="77" spans="1:37" x14ac:dyDescent="0.15">
      <c r="A77" s="5" t="s">
        <v>42</v>
      </c>
      <c r="B77" s="17"/>
      <c r="C77" s="21"/>
      <c r="D77" s="128"/>
      <c r="E77" s="54"/>
      <c r="F77" s="64"/>
      <c r="G77" s="69"/>
      <c r="H77" s="127"/>
      <c r="J77" s="21"/>
      <c r="K77" s="128"/>
      <c r="L77" s="54"/>
      <c r="M77" s="64"/>
      <c r="N77" s="69"/>
      <c r="O77" s="127">
        <v>1</v>
      </c>
      <c r="Q77" s="21"/>
      <c r="R77" s="128"/>
      <c r="S77" s="54">
        <v>1</v>
      </c>
      <c r="T77" s="64">
        <v>1</v>
      </c>
      <c r="U77" s="69"/>
      <c r="V77" s="127"/>
      <c r="X77" s="21"/>
      <c r="Y77" s="128"/>
      <c r="Z77" s="54"/>
      <c r="AA77" s="64"/>
      <c r="AB77" s="69"/>
      <c r="AC77" s="127"/>
      <c r="AE77" s="21"/>
      <c r="AF77" s="128"/>
      <c r="AG77" s="54"/>
      <c r="AH77" s="64"/>
      <c r="AI77" s="69"/>
      <c r="AJ77" s="127"/>
      <c r="AK77">
        <f t="shared" si="2"/>
        <v>3</v>
      </c>
    </row>
    <row r="78" spans="1:37" x14ac:dyDescent="0.15">
      <c r="A78" s="5" t="s">
        <v>205</v>
      </c>
      <c r="B78" s="17"/>
      <c r="C78" s="21"/>
      <c r="D78" s="128"/>
      <c r="E78" s="54"/>
      <c r="F78" s="64"/>
      <c r="G78" s="69"/>
      <c r="H78" s="127"/>
      <c r="J78" s="21"/>
      <c r="K78" s="128"/>
      <c r="L78" s="54"/>
      <c r="M78" s="64"/>
      <c r="N78" s="69"/>
      <c r="O78" s="127"/>
      <c r="Q78" s="21"/>
      <c r="R78" s="128"/>
      <c r="S78" s="54"/>
      <c r="T78" s="64"/>
      <c r="U78" s="69"/>
      <c r="V78" s="127"/>
      <c r="X78" s="21"/>
      <c r="Y78" s="128"/>
      <c r="Z78" s="54"/>
      <c r="AA78" s="64"/>
      <c r="AB78" s="69"/>
      <c r="AC78" s="127"/>
      <c r="AE78" s="21"/>
      <c r="AF78" s="128"/>
      <c r="AG78" s="54"/>
      <c r="AH78" s="64"/>
      <c r="AI78" s="69"/>
      <c r="AJ78" s="127"/>
      <c r="AK78">
        <f t="shared" si="2"/>
        <v>0</v>
      </c>
    </row>
    <row r="79" spans="1:37" x14ac:dyDescent="0.15">
      <c r="A79" s="2" t="s">
        <v>213</v>
      </c>
      <c r="B79" s="17"/>
      <c r="C79" s="21"/>
      <c r="D79" s="128"/>
      <c r="E79" s="54"/>
      <c r="F79" s="64"/>
      <c r="G79" s="69"/>
      <c r="H79" s="127"/>
      <c r="J79" s="21"/>
      <c r="K79" s="128"/>
      <c r="L79" s="54"/>
      <c r="M79" s="64"/>
      <c r="N79" s="69"/>
      <c r="O79" s="127"/>
      <c r="Q79" s="21"/>
      <c r="R79" s="128"/>
      <c r="S79" s="54"/>
      <c r="T79" s="64"/>
      <c r="U79" s="69"/>
      <c r="V79" s="127"/>
      <c r="X79" s="21"/>
      <c r="Y79" s="128"/>
      <c r="Z79" s="54"/>
      <c r="AA79" s="64"/>
      <c r="AB79" s="69"/>
      <c r="AC79" s="127"/>
      <c r="AE79" s="21"/>
      <c r="AF79" s="128"/>
      <c r="AG79" s="54"/>
      <c r="AH79" s="64"/>
      <c r="AI79" s="69"/>
      <c r="AJ79" s="127"/>
      <c r="AK79">
        <f t="shared" si="2"/>
        <v>0</v>
      </c>
    </row>
    <row r="80" spans="1:37" x14ac:dyDescent="0.15">
      <c r="A80" s="5" t="s">
        <v>96</v>
      </c>
      <c r="B80" s="17"/>
      <c r="C80" s="21"/>
      <c r="D80" s="128"/>
      <c r="E80" s="54"/>
      <c r="F80" s="64"/>
      <c r="G80" s="69"/>
      <c r="H80" s="127"/>
      <c r="J80" s="21"/>
      <c r="K80" s="128"/>
      <c r="L80" s="54"/>
      <c r="M80" s="64"/>
      <c r="N80" s="69"/>
      <c r="O80" s="127"/>
      <c r="Q80" s="21"/>
      <c r="R80" s="128"/>
      <c r="S80" s="54"/>
      <c r="T80" s="64"/>
      <c r="U80" s="69"/>
      <c r="V80" s="127"/>
      <c r="X80" s="21"/>
      <c r="Y80" s="128"/>
      <c r="Z80" s="54"/>
      <c r="AA80" s="64"/>
      <c r="AB80" s="69"/>
      <c r="AC80" s="127"/>
      <c r="AE80" s="21"/>
      <c r="AF80" s="128"/>
      <c r="AG80" s="54"/>
      <c r="AH80" s="64"/>
      <c r="AI80" s="69"/>
      <c r="AJ80" s="127"/>
      <c r="AK80">
        <f t="shared" si="2"/>
        <v>0</v>
      </c>
    </row>
    <row r="81" spans="1:37" x14ac:dyDescent="0.15">
      <c r="A81" s="2" t="s">
        <v>175</v>
      </c>
      <c r="B81" s="17"/>
      <c r="C81" s="21"/>
      <c r="D81" s="128"/>
      <c r="E81" s="54"/>
      <c r="F81" s="64"/>
      <c r="G81" s="69"/>
      <c r="H81" s="127"/>
      <c r="J81" s="21"/>
      <c r="K81" s="128"/>
      <c r="L81" s="54"/>
      <c r="M81" s="64"/>
      <c r="N81" s="69"/>
      <c r="O81" s="127"/>
      <c r="Q81" s="21"/>
      <c r="R81" s="128"/>
      <c r="S81" s="54"/>
      <c r="T81" s="64"/>
      <c r="U81" s="69"/>
      <c r="V81" s="127"/>
      <c r="X81" s="21"/>
      <c r="Y81" s="128"/>
      <c r="Z81" s="54"/>
      <c r="AA81" s="64"/>
      <c r="AB81" s="69"/>
      <c r="AC81" s="127"/>
      <c r="AE81" s="21"/>
      <c r="AF81" s="128"/>
      <c r="AG81" s="54"/>
      <c r="AH81" s="64"/>
      <c r="AI81" s="69"/>
      <c r="AJ81" s="127"/>
      <c r="AK81">
        <f t="shared" si="2"/>
        <v>0</v>
      </c>
    </row>
    <row r="82" spans="1:37" x14ac:dyDescent="0.15">
      <c r="A82" s="2" t="s">
        <v>24</v>
      </c>
      <c r="B82">
        <v>1</v>
      </c>
      <c r="C82" s="21">
        <v>3</v>
      </c>
      <c r="D82" s="128">
        <v>2</v>
      </c>
      <c r="E82" s="54">
        <v>1</v>
      </c>
      <c r="F82" s="64">
        <v>2</v>
      </c>
      <c r="G82" s="69">
        <v>1</v>
      </c>
      <c r="H82" s="127"/>
      <c r="I82">
        <v>3</v>
      </c>
      <c r="J82" s="21">
        <v>2</v>
      </c>
      <c r="K82" s="128">
        <v>3</v>
      </c>
      <c r="L82" s="54">
        <v>1</v>
      </c>
      <c r="M82" s="64">
        <v>1</v>
      </c>
      <c r="N82" s="69">
        <v>1</v>
      </c>
      <c r="O82" s="127"/>
      <c r="P82">
        <v>2</v>
      </c>
      <c r="Q82" s="21">
        <v>2</v>
      </c>
      <c r="R82" s="128">
        <v>2</v>
      </c>
      <c r="S82" s="54">
        <v>1</v>
      </c>
      <c r="T82" s="64">
        <v>2</v>
      </c>
      <c r="U82" s="69">
        <v>1</v>
      </c>
      <c r="V82" s="127">
        <v>1</v>
      </c>
      <c r="W82">
        <v>2</v>
      </c>
      <c r="X82" s="21">
        <v>2</v>
      </c>
      <c r="Y82" s="128">
        <v>2</v>
      </c>
      <c r="Z82" s="54"/>
      <c r="AA82" s="64"/>
      <c r="AB82" s="69">
        <v>1</v>
      </c>
      <c r="AC82" s="127">
        <v>2</v>
      </c>
      <c r="AD82">
        <v>2</v>
      </c>
      <c r="AE82" s="21">
        <v>1</v>
      </c>
      <c r="AF82" s="128">
        <v>1</v>
      </c>
      <c r="AG82" s="54"/>
      <c r="AH82" s="64"/>
      <c r="AI82" s="69"/>
      <c r="AJ82" s="127"/>
      <c r="AK82">
        <f t="shared" si="2"/>
        <v>27</v>
      </c>
    </row>
    <row r="83" spans="1:37" x14ac:dyDescent="0.15">
      <c r="A83" s="2" t="s">
        <v>189</v>
      </c>
      <c r="B83" s="17"/>
      <c r="C83" s="21"/>
      <c r="D83" s="128">
        <v>1</v>
      </c>
      <c r="E83" s="54">
        <v>2</v>
      </c>
      <c r="F83" s="64">
        <v>1</v>
      </c>
      <c r="G83" s="69">
        <v>1</v>
      </c>
      <c r="H83" s="127"/>
      <c r="J83" s="21"/>
      <c r="K83" s="128"/>
      <c r="L83" s="54">
        <v>2</v>
      </c>
      <c r="M83" s="64">
        <v>2</v>
      </c>
      <c r="N83" s="69">
        <v>2</v>
      </c>
      <c r="O83" s="127"/>
      <c r="Q83" s="21"/>
      <c r="R83" s="128"/>
      <c r="S83" s="54">
        <v>1</v>
      </c>
      <c r="T83" s="64">
        <v>1</v>
      </c>
      <c r="U83" s="69">
        <v>2</v>
      </c>
      <c r="V83" s="127"/>
      <c r="X83" s="21"/>
      <c r="Y83" s="128"/>
      <c r="Z83" s="54">
        <v>1</v>
      </c>
      <c r="AA83" s="64">
        <v>2</v>
      </c>
      <c r="AB83" s="69">
        <v>2</v>
      </c>
      <c r="AC83" s="127">
        <v>2</v>
      </c>
      <c r="AE83" s="21"/>
      <c r="AF83" s="128"/>
      <c r="AG83" s="54">
        <v>1</v>
      </c>
      <c r="AH83" s="64">
        <v>2</v>
      </c>
      <c r="AI83" s="69">
        <v>2</v>
      </c>
      <c r="AJ83" s="127">
        <v>2</v>
      </c>
      <c r="AK83">
        <f t="shared" si="2"/>
        <v>18</v>
      </c>
    </row>
    <row r="84" spans="1:37" x14ac:dyDescent="0.15">
      <c r="A84" s="5" t="s">
        <v>202</v>
      </c>
      <c r="C84" s="21"/>
      <c r="D84" s="128"/>
      <c r="E84" s="54"/>
      <c r="F84" s="64"/>
      <c r="G84" s="69"/>
      <c r="H84" s="127"/>
      <c r="J84" s="21"/>
      <c r="K84" s="128"/>
      <c r="L84" s="54"/>
      <c r="M84" s="64"/>
      <c r="N84" s="69"/>
      <c r="O84" s="127"/>
      <c r="Q84" s="21"/>
      <c r="R84" s="128"/>
      <c r="S84" s="54"/>
      <c r="T84" s="64"/>
      <c r="U84" s="69"/>
      <c r="V84" s="127"/>
      <c r="X84" s="21"/>
      <c r="Y84" s="128"/>
      <c r="Z84" s="54"/>
      <c r="AA84" s="64"/>
      <c r="AB84" s="69"/>
      <c r="AC84" s="127"/>
      <c r="AE84" s="21"/>
      <c r="AF84" s="128"/>
      <c r="AG84" s="54"/>
      <c r="AH84" s="64"/>
      <c r="AI84" s="69"/>
      <c r="AJ84" s="127"/>
      <c r="AK84">
        <f t="shared" si="2"/>
        <v>0</v>
      </c>
    </row>
    <row r="85" spans="1:37" x14ac:dyDescent="0.15">
      <c r="A85" t="s">
        <v>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7" spans="1:37" x14ac:dyDescent="0.15">
      <c r="A87">
        <f>COUNTA(A6:A83)</f>
        <v>78</v>
      </c>
    </row>
    <row r="96" spans="1:37" x14ac:dyDescent="0.15">
      <c r="A96" s="3" t="s">
        <v>56</v>
      </c>
      <c r="B96" s="17"/>
      <c r="C96" s="21"/>
      <c r="D96" s="13"/>
      <c r="E96" s="54"/>
      <c r="F96" s="64"/>
      <c r="G96" s="69"/>
      <c r="H96" s="69"/>
      <c r="J96" s="21"/>
      <c r="K96" s="13"/>
      <c r="L96" s="54"/>
      <c r="M96" s="64">
        <v>1</v>
      </c>
      <c r="N96" s="69"/>
      <c r="O96" s="69"/>
      <c r="Q96" s="21"/>
      <c r="R96" s="13"/>
      <c r="S96" s="54"/>
      <c r="T96" s="64"/>
      <c r="U96" s="69"/>
      <c r="V96" s="69"/>
      <c r="X96" s="21"/>
      <c r="Y96" s="13"/>
      <c r="Z96" s="54"/>
      <c r="AA96" s="64"/>
      <c r="AB96" s="69"/>
      <c r="AC96" s="69"/>
      <c r="AE96" s="21"/>
      <c r="AF96" s="13"/>
      <c r="AG96" s="54"/>
      <c r="AH96" s="64">
        <v>1</v>
      </c>
      <c r="AI96" s="69"/>
      <c r="AJ96" s="69"/>
    </row>
    <row r="97" spans="1:36" x14ac:dyDescent="0.15">
      <c r="A97" s="5" t="s">
        <v>185</v>
      </c>
      <c r="B97" s="17"/>
      <c r="C97" s="21"/>
      <c r="D97" s="13"/>
      <c r="E97" s="54"/>
      <c r="F97" s="64"/>
      <c r="G97" s="69"/>
      <c r="H97" s="69"/>
      <c r="J97" s="21"/>
      <c r="K97" s="13"/>
      <c r="L97" s="54"/>
      <c r="M97" s="64"/>
      <c r="N97" s="69"/>
      <c r="O97" s="69"/>
      <c r="Q97" s="21"/>
      <c r="R97" s="13"/>
      <c r="S97" s="54"/>
      <c r="T97" s="64"/>
      <c r="U97" s="69"/>
      <c r="V97" s="69"/>
      <c r="X97" s="21"/>
      <c r="Y97" s="13"/>
      <c r="Z97" s="54"/>
      <c r="AA97" s="64"/>
      <c r="AB97" s="69"/>
      <c r="AC97" s="69"/>
      <c r="AE97" s="21"/>
      <c r="AF97" s="13"/>
      <c r="AG97" s="54"/>
      <c r="AH97" s="64"/>
      <c r="AI97" s="69"/>
      <c r="AJ97" s="69"/>
    </row>
    <row r="98" spans="1:36" x14ac:dyDescent="0.15">
      <c r="A98" s="7" t="s">
        <v>47</v>
      </c>
      <c r="B98" s="114"/>
      <c r="C98" s="115"/>
      <c r="D98" s="141"/>
      <c r="E98" s="112"/>
      <c r="F98" s="113"/>
      <c r="G98" s="145"/>
      <c r="H98" s="145"/>
      <c r="I98" s="114"/>
      <c r="J98" s="115"/>
      <c r="K98" s="141"/>
      <c r="L98" s="112"/>
      <c r="M98" s="113"/>
      <c r="N98" s="145"/>
      <c r="O98" s="145"/>
      <c r="P98" s="114"/>
      <c r="Q98" s="115"/>
      <c r="R98" s="141"/>
      <c r="S98" s="112"/>
      <c r="T98" s="113"/>
      <c r="U98" s="145"/>
      <c r="V98" s="145"/>
      <c r="W98" s="114"/>
      <c r="X98" s="115"/>
      <c r="Y98" s="141"/>
      <c r="Z98" s="112"/>
      <c r="AA98" s="113"/>
      <c r="AB98" s="145"/>
      <c r="AC98" s="145"/>
      <c r="AD98" s="114"/>
      <c r="AE98" s="115"/>
      <c r="AF98" s="141"/>
      <c r="AG98" s="112"/>
      <c r="AH98" s="113"/>
      <c r="AI98" s="145"/>
      <c r="AJ98" s="145"/>
    </row>
    <row r="99" spans="1:36" x14ac:dyDescent="0.15">
      <c r="A99" s="39" t="s">
        <v>29</v>
      </c>
      <c r="C99" s="21"/>
      <c r="D99" s="13"/>
      <c r="E99" s="54"/>
      <c r="F99" s="64"/>
      <c r="G99" s="69"/>
      <c r="H99" s="69"/>
      <c r="J99" s="21"/>
      <c r="K99" s="13"/>
      <c r="L99" s="54"/>
      <c r="M99" s="64"/>
      <c r="N99" s="69"/>
      <c r="O99" s="69"/>
      <c r="Q99" s="21"/>
      <c r="R99" s="13"/>
      <c r="S99" s="54"/>
      <c r="T99" s="64"/>
      <c r="U99" s="69"/>
      <c r="V99" s="69"/>
      <c r="X99" s="21"/>
      <c r="Y99" s="13"/>
      <c r="Z99" s="54"/>
      <c r="AA99" s="64"/>
      <c r="AB99" s="69"/>
      <c r="AC99" s="69"/>
      <c r="AE99" s="21"/>
      <c r="AF99" s="13"/>
      <c r="AG99" s="54"/>
      <c r="AH99" s="64"/>
      <c r="AI99" s="69"/>
      <c r="AJ99" s="69"/>
    </row>
    <row r="100" spans="1:36" x14ac:dyDescent="0.15">
      <c r="A100" s="5" t="s">
        <v>48</v>
      </c>
      <c r="B100" s="17"/>
      <c r="C100" s="21"/>
      <c r="D100" s="13"/>
      <c r="E100" s="54"/>
      <c r="F100" s="64"/>
      <c r="G100" s="69"/>
      <c r="H100" s="69"/>
      <c r="J100" s="21"/>
      <c r="K100" s="13"/>
      <c r="L100" s="54"/>
      <c r="M100" s="64"/>
      <c r="N100" s="69"/>
      <c r="O100" s="69"/>
      <c r="Q100" s="21"/>
      <c r="R100" s="13"/>
      <c r="S100" s="54"/>
      <c r="T100" s="64"/>
      <c r="U100" s="69"/>
      <c r="V100" s="69"/>
      <c r="X100" s="21"/>
      <c r="Y100" s="13"/>
      <c r="Z100" s="54"/>
      <c r="AA100" s="64"/>
      <c r="AB100" s="69"/>
      <c r="AC100" s="69"/>
      <c r="AE100" s="21"/>
      <c r="AF100" s="13"/>
      <c r="AG100" s="54"/>
      <c r="AH100" s="64"/>
      <c r="AI100" s="69"/>
      <c r="AJ100" s="69"/>
    </row>
    <row r="101" spans="1:36" x14ac:dyDescent="0.15">
      <c r="A101" s="5" t="s">
        <v>106</v>
      </c>
      <c r="C101" s="21"/>
      <c r="D101" s="13"/>
      <c r="E101" s="54"/>
      <c r="F101" s="64"/>
      <c r="G101" s="69"/>
      <c r="H101" s="69"/>
      <c r="J101" s="21"/>
      <c r="K101" s="13"/>
      <c r="L101" s="54"/>
      <c r="M101" s="64"/>
      <c r="N101" s="69"/>
      <c r="O101" s="69"/>
      <c r="Q101" s="21"/>
      <c r="R101" s="13"/>
      <c r="S101" s="54"/>
      <c r="T101" s="64"/>
      <c r="U101" s="69"/>
      <c r="V101" s="69"/>
      <c r="X101" s="21"/>
      <c r="Y101" s="13"/>
      <c r="Z101" s="54"/>
      <c r="AA101" s="64"/>
      <c r="AB101" s="69"/>
      <c r="AC101" s="69"/>
      <c r="AE101" s="21"/>
      <c r="AF101" s="13"/>
      <c r="AG101" s="54"/>
      <c r="AH101" s="64"/>
      <c r="AI101" s="69"/>
      <c r="AJ101" s="69"/>
    </row>
    <row r="102" spans="1:36" x14ac:dyDescent="0.15">
      <c r="A102" s="7" t="s">
        <v>186</v>
      </c>
      <c r="B102" s="17"/>
      <c r="C102" s="21"/>
      <c r="D102" s="13"/>
      <c r="E102" s="54"/>
      <c r="F102" s="64"/>
      <c r="G102" s="69"/>
      <c r="H102" s="69"/>
      <c r="J102" s="21"/>
      <c r="K102" s="13">
        <v>1</v>
      </c>
      <c r="L102" s="54"/>
      <c r="M102" s="64"/>
      <c r="N102" s="69"/>
      <c r="O102" s="69"/>
      <c r="Q102" s="21"/>
      <c r="R102" s="13"/>
      <c r="S102" s="54"/>
      <c r="T102" s="64"/>
      <c r="U102" s="69"/>
      <c r="V102" s="69"/>
      <c r="X102" s="21"/>
      <c r="Y102" s="13">
        <v>1</v>
      </c>
      <c r="Z102" s="54"/>
      <c r="AA102" s="64"/>
      <c r="AB102" s="69"/>
      <c r="AC102" s="69"/>
      <c r="AE102" s="21"/>
      <c r="AF102" s="13">
        <v>1</v>
      </c>
      <c r="AG102" s="54"/>
      <c r="AH102" s="64"/>
      <c r="AI102" s="69"/>
      <c r="AJ102" s="69"/>
    </row>
    <row r="103" spans="1:36" x14ac:dyDescent="0.15">
      <c r="A103" s="36" t="s">
        <v>94</v>
      </c>
      <c r="C103" s="21"/>
      <c r="D103" s="13"/>
      <c r="E103" s="54"/>
      <c r="F103" s="64"/>
      <c r="G103" s="69"/>
      <c r="H103" s="69"/>
      <c r="J103" s="21"/>
      <c r="K103" s="13"/>
      <c r="L103" s="54"/>
      <c r="M103" s="64"/>
      <c r="N103" s="69"/>
      <c r="O103" s="69"/>
      <c r="Q103" s="21"/>
      <c r="R103" s="13"/>
      <c r="S103" s="54"/>
      <c r="T103" s="64"/>
      <c r="U103" s="69"/>
      <c r="V103" s="69"/>
      <c r="X103" s="21"/>
      <c r="Y103" s="13"/>
      <c r="Z103" s="54"/>
      <c r="AA103" s="64"/>
      <c r="AB103" s="69"/>
      <c r="AC103" s="69"/>
      <c r="AE103" s="21"/>
      <c r="AF103" s="13"/>
      <c r="AG103" s="54"/>
      <c r="AH103" s="64"/>
      <c r="AI103" s="69"/>
      <c r="AJ103" s="69"/>
    </row>
    <row r="104" spans="1:36" x14ac:dyDescent="0.15">
      <c r="A104" s="40" t="s">
        <v>91</v>
      </c>
      <c r="C104" s="21"/>
      <c r="D104" s="13"/>
      <c r="E104" s="54"/>
      <c r="F104" s="64"/>
      <c r="G104" s="69"/>
      <c r="H104" s="69"/>
      <c r="J104" s="21"/>
      <c r="K104" s="13"/>
      <c r="L104" s="54"/>
      <c r="M104" s="64"/>
      <c r="N104" s="69"/>
      <c r="O104" s="69"/>
      <c r="Q104" s="21"/>
      <c r="R104" s="13"/>
      <c r="S104" s="54"/>
      <c r="T104" s="64"/>
      <c r="U104" s="69"/>
      <c r="V104" s="69"/>
      <c r="X104" s="21"/>
      <c r="Y104" s="13"/>
      <c r="Z104" s="54"/>
      <c r="AA104" s="64"/>
      <c r="AB104" s="69"/>
      <c r="AC104" s="69"/>
      <c r="AE104" s="21"/>
      <c r="AF104" s="13"/>
      <c r="AG104" s="54"/>
      <c r="AH104" s="64"/>
      <c r="AI104" s="69"/>
      <c r="AJ104" s="69"/>
    </row>
    <row r="105" spans="1:36" x14ac:dyDescent="0.15">
      <c r="A105" s="39" t="s">
        <v>69</v>
      </c>
      <c r="C105" s="21"/>
      <c r="D105" s="13"/>
      <c r="E105" s="54"/>
      <c r="F105" s="64"/>
      <c r="G105" s="69"/>
      <c r="H105" s="69"/>
      <c r="J105" s="21"/>
      <c r="K105" s="13"/>
      <c r="L105" s="54"/>
      <c r="M105" s="64"/>
      <c r="N105" s="69"/>
      <c r="O105" s="69"/>
      <c r="Q105" s="21"/>
      <c r="R105" s="13"/>
      <c r="S105" s="54"/>
      <c r="T105" s="64"/>
      <c r="U105" s="69"/>
      <c r="V105" s="69"/>
      <c r="X105" s="21"/>
      <c r="Y105" s="13"/>
      <c r="Z105" s="54"/>
      <c r="AA105" s="64"/>
      <c r="AB105" s="69"/>
      <c r="AC105" s="69"/>
      <c r="AE105" s="21"/>
      <c r="AF105" s="13"/>
      <c r="AG105" s="54"/>
      <c r="AH105" s="64"/>
      <c r="AI105" s="69"/>
      <c r="AJ105" s="69"/>
    </row>
    <row r="106" spans="1:36" x14ac:dyDescent="0.15">
      <c r="A106" s="39" t="s">
        <v>67</v>
      </c>
      <c r="C106" s="21"/>
      <c r="D106" s="13"/>
      <c r="E106" s="54"/>
      <c r="F106" s="64"/>
      <c r="G106" s="69"/>
      <c r="H106" s="69"/>
      <c r="J106" s="21"/>
      <c r="K106" s="13"/>
      <c r="L106" s="54"/>
      <c r="M106" s="64"/>
      <c r="N106" s="69"/>
      <c r="O106" s="69"/>
      <c r="Q106" s="21"/>
      <c r="R106" s="13"/>
      <c r="S106" s="54"/>
      <c r="T106" s="64"/>
      <c r="U106" s="69"/>
      <c r="V106" s="69"/>
      <c r="X106" s="21"/>
      <c r="Y106" s="13"/>
      <c r="Z106" s="54"/>
      <c r="AA106" s="64"/>
      <c r="AB106" s="69"/>
      <c r="AC106" s="69"/>
      <c r="AE106" s="21"/>
      <c r="AF106" s="13"/>
      <c r="AG106" s="54"/>
      <c r="AH106" s="64"/>
      <c r="AI106" s="69"/>
      <c r="AJ106" s="69"/>
    </row>
    <row r="107" spans="1:36" x14ac:dyDescent="0.15">
      <c r="A107" s="41" t="s">
        <v>66</v>
      </c>
      <c r="B107" s="17"/>
      <c r="C107" s="21"/>
      <c r="D107" s="13"/>
      <c r="E107" s="54"/>
      <c r="F107" s="64"/>
      <c r="G107" s="69"/>
      <c r="H107" s="69"/>
      <c r="J107" s="21"/>
      <c r="K107" s="13"/>
      <c r="L107" s="54"/>
      <c r="M107" s="64"/>
      <c r="N107" s="69"/>
      <c r="O107" s="69"/>
      <c r="Q107" s="21"/>
      <c r="R107" s="13"/>
      <c r="S107" s="54"/>
      <c r="T107" s="64"/>
      <c r="U107" s="69"/>
      <c r="V107" s="69"/>
      <c r="X107" s="21"/>
      <c r="Y107" s="13"/>
      <c r="Z107" s="54"/>
      <c r="AA107" s="64"/>
      <c r="AB107" s="69"/>
      <c r="AC107" s="69"/>
      <c r="AD107">
        <v>1</v>
      </c>
      <c r="AE107" s="21"/>
      <c r="AF107" s="13"/>
      <c r="AG107" s="54"/>
      <c r="AH107" s="64"/>
      <c r="AI107" s="69"/>
      <c r="AJ107" s="69"/>
    </row>
    <row r="108" spans="1:36" x14ac:dyDescent="0.15">
      <c r="A108" s="58" t="s">
        <v>104</v>
      </c>
      <c r="C108" s="21"/>
      <c r="D108" s="13"/>
      <c r="E108" s="54"/>
      <c r="F108" s="64"/>
      <c r="G108" s="69"/>
      <c r="H108" s="69"/>
      <c r="J108" s="21"/>
      <c r="K108" s="13"/>
      <c r="L108" s="54"/>
      <c r="M108" s="64"/>
      <c r="N108" s="69"/>
      <c r="O108" s="69"/>
      <c r="Q108" s="21"/>
      <c r="R108" s="13"/>
      <c r="S108" s="54"/>
      <c r="T108" s="64"/>
      <c r="U108" s="69"/>
      <c r="V108" s="69"/>
      <c r="X108" s="21"/>
      <c r="Y108" s="13"/>
      <c r="Z108" s="54"/>
      <c r="AA108" s="64"/>
      <c r="AB108" s="69"/>
      <c r="AC108" s="69"/>
      <c r="AE108" s="21"/>
      <c r="AF108" s="13"/>
      <c r="AG108" s="54"/>
      <c r="AH108" s="64"/>
      <c r="AI108" s="69"/>
      <c r="AJ108" s="69"/>
    </row>
  </sheetData>
  <mergeCells count="10">
    <mergeCell ref="AD2:AJ2"/>
    <mergeCell ref="AD3:AJ3"/>
    <mergeCell ref="B2:H2"/>
    <mergeCell ref="I2:O2"/>
    <mergeCell ref="P2:V2"/>
    <mergeCell ref="W2:AC2"/>
    <mergeCell ref="B3:H3"/>
    <mergeCell ref="I3:O3"/>
    <mergeCell ref="P3:V3"/>
    <mergeCell ref="W3:AC3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C333-EA8D-4184-8949-6187DCC46C03}">
  <dimension ref="A1:AD108"/>
  <sheetViews>
    <sheetView zoomScale="80" zoomScaleNormal="80" workbookViewId="0">
      <selection activeCell="AF12" sqref="AF12"/>
    </sheetView>
  </sheetViews>
  <sheetFormatPr defaultRowHeight="13.5" x14ac:dyDescent="0.15"/>
  <cols>
    <col min="1" max="1" width="26.375" customWidth="1"/>
    <col min="2" max="5" width="3.5" customWidth="1"/>
    <col min="6" max="8" width="3.25" customWidth="1"/>
    <col min="9" max="12" width="3.625" customWidth="1"/>
    <col min="13" max="15" width="3.25" customWidth="1"/>
    <col min="16" max="19" width="3.5" customWidth="1"/>
    <col min="20" max="22" width="3.25" customWidth="1"/>
    <col min="23" max="26" width="3.625" customWidth="1"/>
    <col min="27" max="29" width="3.25" customWidth="1"/>
  </cols>
  <sheetData>
    <row r="1" spans="1:30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0" x14ac:dyDescent="0.15">
      <c r="A2" s="194" t="s">
        <v>0</v>
      </c>
      <c r="B2" s="246">
        <v>6</v>
      </c>
      <c r="C2" s="246"/>
      <c r="D2" s="246"/>
      <c r="E2" s="246"/>
      <c r="F2" s="246"/>
      <c r="G2" s="246"/>
      <c r="H2" s="246"/>
      <c r="I2" s="246">
        <v>7</v>
      </c>
      <c r="J2" s="246"/>
      <c r="K2" s="246"/>
      <c r="L2" s="246"/>
      <c r="M2" s="246"/>
      <c r="N2" s="246"/>
      <c r="O2" s="246"/>
      <c r="P2" s="246">
        <v>8</v>
      </c>
      <c r="Q2" s="246"/>
      <c r="R2" s="246"/>
      <c r="S2" s="246"/>
      <c r="T2" s="246"/>
      <c r="U2" s="246"/>
      <c r="V2" s="246"/>
      <c r="W2" s="246">
        <v>9</v>
      </c>
      <c r="X2" s="246"/>
      <c r="Y2" s="246"/>
      <c r="Z2" s="246"/>
      <c r="AA2" s="246"/>
      <c r="AB2" s="246"/>
      <c r="AC2" s="246"/>
    </row>
    <row r="3" spans="1:30" x14ac:dyDescent="0.15">
      <c r="A3" s="6" t="s">
        <v>1</v>
      </c>
      <c r="B3" s="243" t="s">
        <v>227</v>
      </c>
      <c r="C3" s="243"/>
      <c r="D3" s="243"/>
      <c r="E3" s="243"/>
      <c r="F3" s="243"/>
      <c r="G3" s="243"/>
      <c r="H3" s="243"/>
      <c r="I3" s="243" t="s">
        <v>230</v>
      </c>
      <c r="J3" s="243"/>
      <c r="K3" s="243"/>
      <c r="L3" s="243"/>
      <c r="M3" s="243"/>
      <c r="N3" s="243"/>
      <c r="O3" s="243"/>
      <c r="P3" s="243" t="s">
        <v>127</v>
      </c>
      <c r="Q3" s="243"/>
      <c r="R3" s="243"/>
      <c r="S3" s="243"/>
      <c r="T3" s="243"/>
      <c r="U3" s="243"/>
      <c r="V3" s="243"/>
      <c r="W3" s="243" t="s">
        <v>233</v>
      </c>
      <c r="X3" s="243"/>
      <c r="Y3" s="243"/>
      <c r="Z3" s="243"/>
      <c r="AA3" s="243"/>
      <c r="AB3" s="243"/>
      <c r="AC3" s="243"/>
    </row>
    <row r="4" spans="1:30" x14ac:dyDescent="0.15">
      <c r="A4" s="8"/>
      <c r="B4" s="94" t="s">
        <v>65</v>
      </c>
      <c r="C4" s="95" t="s">
        <v>63</v>
      </c>
      <c r="D4" s="96" t="s">
        <v>64</v>
      </c>
      <c r="E4" s="97" t="s">
        <v>100</v>
      </c>
      <c r="F4" s="98" t="s">
        <v>114</v>
      </c>
      <c r="G4" s="144" t="s">
        <v>187</v>
      </c>
      <c r="H4" s="168" t="s">
        <v>220</v>
      </c>
      <c r="I4" s="94" t="s">
        <v>65</v>
      </c>
      <c r="J4" s="95" t="s">
        <v>63</v>
      </c>
      <c r="K4" s="96" t="s">
        <v>64</v>
      </c>
      <c r="L4" s="97" t="s">
        <v>100</v>
      </c>
      <c r="M4" s="98" t="s">
        <v>114</v>
      </c>
      <c r="N4" s="144" t="s">
        <v>187</v>
      </c>
      <c r="O4" s="168" t="s">
        <v>220</v>
      </c>
      <c r="P4" s="94" t="s">
        <v>65</v>
      </c>
      <c r="Q4" s="95" t="s">
        <v>63</v>
      </c>
      <c r="R4" s="96" t="s">
        <v>64</v>
      </c>
      <c r="S4" s="97" t="s">
        <v>100</v>
      </c>
      <c r="T4" s="98" t="s">
        <v>114</v>
      </c>
      <c r="U4" s="144" t="s">
        <v>187</v>
      </c>
      <c r="V4" s="168" t="s">
        <v>220</v>
      </c>
      <c r="W4" s="94" t="s">
        <v>65</v>
      </c>
      <c r="X4" s="95" t="s">
        <v>63</v>
      </c>
      <c r="Y4" s="96" t="s">
        <v>64</v>
      </c>
      <c r="Z4" s="97" t="s">
        <v>100</v>
      </c>
      <c r="AA4" s="98" t="s">
        <v>114</v>
      </c>
      <c r="AB4" s="144" t="s">
        <v>187</v>
      </c>
      <c r="AC4" s="168" t="s">
        <v>220</v>
      </c>
    </row>
    <row r="5" spans="1:30" ht="14.25" x14ac:dyDescent="0.15">
      <c r="A5" s="26" t="s">
        <v>59</v>
      </c>
      <c r="B5" s="42">
        <f t="shared" ref="B5:AC5" si="0">COUNT(B6:B84)</f>
        <v>13</v>
      </c>
      <c r="C5" s="43">
        <f t="shared" si="0"/>
        <v>23</v>
      </c>
      <c r="D5" s="102">
        <f t="shared" si="0"/>
        <v>17</v>
      </c>
      <c r="E5" s="52">
        <f t="shared" si="0"/>
        <v>26</v>
      </c>
      <c r="F5" s="62">
        <f t="shared" si="0"/>
        <v>28</v>
      </c>
      <c r="G5" s="68">
        <f t="shared" si="0"/>
        <v>32</v>
      </c>
      <c r="H5" s="110">
        <f t="shared" si="0"/>
        <v>27</v>
      </c>
      <c r="I5" s="42">
        <f t="shared" si="0"/>
        <v>6</v>
      </c>
      <c r="J5" s="43">
        <f t="shared" si="0"/>
        <v>11</v>
      </c>
      <c r="K5" s="102">
        <f t="shared" si="0"/>
        <v>13</v>
      </c>
      <c r="L5" s="52">
        <f t="shared" si="0"/>
        <v>15</v>
      </c>
      <c r="M5" s="62">
        <f t="shared" si="0"/>
        <v>18</v>
      </c>
      <c r="N5" s="68">
        <f t="shared" si="0"/>
        <v>22</v>
      </c>
      <c r="O5" s="110">
        <f>COUNT(O6:O84)</f>
        <v>23</v>
      </c>
      <c r="P5" s="42">
        <f t="shared" si="0"/>
        <v>7</v>
      </c>
      <c r="Q5" s="43">
        <f t="shared" si="0"/>
        <v>12</v>
      </c>
      <c r="R5" s="102">
        <f t="shared" si="0"/>
        <v>15</v>
      </c>
      <c r="S5" s="52">
        <f t="shared" si="0"/>
        <v>19</v>
      </c>
      <c r="T5" s="62">
        <f t="shared" si="0"/>
        <v>20</v>
      </c>
      <c r="U5" s="68">
        <f t="shared" si="0"/>
        <v>21</v>
      </c>
      <c r="V5" s="110">
        <f t="shared" si="0"/>
        <v>22</v>
      </c>
      <c r="W5" s="42">
        <f t="shared" si="0"/>
        <v>16</v>
      </c>
      <c r="X5" s="43">
        <f t="shared" si="0"/>
        <v>11</v>
      </c>
      <c r="Y5" s="102">
        <f t="shared" si="0"/>
        <v>14</v>
      </c>
      <c r="Z5" s="52">
        <f t="shared" si="0"/>
        <v>17</v>
      </c>
      <c r="AA5" s="62">
        <f t="shared" si="0"/>
        <v>18</v>
      </c>
      <c r="AB5" s="68">
        <f t="shared" si="0"/>
        <v>17</v>
      </c>
      <c r="AC5" s="110">
        <f t="shared" si="0"/>
        <v>19</v>
      </c>
      <c r="AD5" t="s">
        <v>240</v>
      </c>
    </row>
    <row r="6" spans="1:30" x14ac:dyDescent="0.15">
      <c r="A6" s="27" t="s">
        <v>60</v>
      </c>
      <c r="B6" s="114"/>
      <c r="C6" s="115"/>
      <c r="D6" s="111"/>
      <c r="E6" s="112"/>
      <c r="F6" s="118">
        <v>1</v>
      </c>
      <c r="G6" s="146"/>
      <c r="H6" s="170"/>
      <c r="I6" s="114"/>
      <c r="J6" s="115"/>
      <c r="K6" s="111"/>
      <c r="L6" s="112"/>
      <c r="M6" s="113"/>
      <c r="N6" s="145"/>
      <c r="O6" s="169"/>
      <c r="P6" s="114"/>
      <c r="Q6" s="115"/>
      <c r="R6" s="111"/>
      <c r="S6" s="117">
        <v>1</v>
      </c>
      <c r="T6" s="118">
        <v>1</v>
      </c>
      <c r="U6" s="146"/>
      <c r="V6" s="170">
        <v>1</v>
      </c>
      <c r="W6" s="114"/>
      <c r="X6" s="115"/>
      <c r="Y6" s="111"/>
      <c r="Z6" s="112"/>
      <c r="AA6" s="113"/>
      <c r="AB6" s="145"/>
      <c r="AC6" s="169"/>
      <c r="AD6">
        <f>COUNTA(B6:AC6)</f>
        <v>4</v>
      </c>
    </row>
    <row r="7" spans="1:30" x14ac:dyDescent="0.15">
      <c r="A7" s="27" t="s">
        <v>105</v>
      </c>
      <c r="B7" s="114"/>
      <c r="C7" s="115"/>
      <c r="D7" s="111"/>
      <c r="E7" s="112"/>
      <c r="F7" s="113"/>
      <c r="G7" s="145"/>
      <c r="H7" s="169"/>
      <c r="I7" s="114"/>
      <c r="J7" s="115"/>
      <c r="K7" s="111"/>
      <c r="L7" s="112"/>
      <c r="M7" s="113"/>
      <c r="N7" s="145"/>
      <c r="O7" s="169"/>
      <c r="P7" s="114"/>
      <c r="Q7" s="115"/>
      <c r="R7" s="111"/>
      <c r="S7" s="117"/>
      <c r="T7" s="118"/>
      <c r="U7" s="146"/>
      <c r="V7" s="170"/>
      <c r="W7" s="114"/>
      <c r="X7" s="115"/>
      <c r="Y7" s="111"/>
      <c r="Z7" s="117">
        <v>1</v>
      </c>
      <c r="AA7" s="113"/>
      <c r="AB7" s="145"/>
      <c r="AC7" s="169"/>
      <c r="AD7">
        <f t="shared" ref="AD7:AD70" si="1">COUNTA(B7:AC7)</f>
        <v>1</v>
      </c>
    </row>
    <row r="8" spans="1:30" x14ac:dyDescent="0.15">
      <c r="A8" s="2" t="s">
        <v>43</v>
      </c>
      <c r="C8" s="21"/>
      <c r="D8" s="128"/>
      <c r="E8" s="54"/>
      <c r="F8" s="64"/>
      <c r="G8" s="69">
        <v>1</v>
      </c>
      <c r="H8" s="127">
        <v>1</v>
      </c>
      <c r="J8" s="21"/>
      <c r="K8" s="128"/>
      <c r="L8" s="54"/>
      <c r="M8" s="64"/>
      <c r="N8" s="69"/>
      <c r="O8" s="127"/>
      <c r="Q8" s="21"/>
      <c r="R8" s="128"/>
      <c r="S8" s="54"/>
      <c r="T8" s="64"/>
      <c r="U8" s="69"/>
      <c r="V8" s="127"/>
      <c r="X8" s="21"/>
      <c r="Y8" s="128"/>
      <c r="Z8" s="54"/>
      <c r="AA8" s="64"/>
      <c r="AB8" s="69"/>
      <c r="AC8" s="127"/>
      <c r="AD8">
        <f t="shared" si="1"/>
        <v>2</v>
      </c>
    </row>
    <row r="9" spans="1:30" x14ac:dyDescent="0.15">
      <c r="A9" s="27" t="s">
        <v>53</v>
      </c>
      <c r="B9" s="114"/>
      <c r="C9" s="115"/>
      <c r="D9" s="111"/>
      <c r="E9" s="112"/>
      <c r="F9" s="118">
        <v>2</v>
      </c>
      <c r="G9" s="146">
        <v>1</v>
      </c>
      <c r="H9" s="170">
        <v>2</v>
      </c>
      <c r="I9" s="114"/>
      <c r="J9" s="115"/>
      <c r="K9" s="111"/>
      <c r="L9" s="112"/>
      <c r="M9" s="118">
        <v>1</v>
      </c>
      <c r="N9" s="146">
        <v>1</v>
      </c>
      <c r="O9" s="170">
        <v>2</v>
      </c>
      <c r="P9" s="114"/>
      <c r="Q9" s="115"/>
      <c r="R9" s="111"/>
      <c r="S9" s="117">
        <v>1</v>
      </c>
      <c r="T9" s="118"/>
      <c r="U9" s="146">
        <v>1</v>
      </c>
      <c r="V9" s="170">
        <v>1</v>
      </c>
      <c r="W9" s="114"/>
      <c r="X9" s="115"/>
      <c r="Y9" s="111"/>
      <c r="Z9" s="112"/>
      <c r="AA9" s="113"/>
      <c r="AB9" s="145"/>
      <c r="AC9" s="169">
        <v>1</v>
      </c>
      <c r="AD9">
        <f t="shared" si="1"/>
        <v>10</v>
      </c>
    </row>
    <row r="10" spans="1:30" x14ac:dyDescent="0.15">
      <c r="A10" s="2" t="s">
        <v>12</v>
      </c>
      <c r="C10" s="21">
        <v>2</v>
      </c>
      <c r="D10" s="128">
        <v>1</v>
      </c>
      <c r="E10" s="54">
        <v>1</v>
      </c>
      <c r="F10" s="64">
        <v>2</v>
      </c>
      <c r="G10" s="69">
        <v>1</v>
      </c>
      <c r="H10" s="127">
        <v>1</v>
      </c>
      <c r="I10">
        <v>1</v>
      </c>
      <c r="J10" s="21">
        <v>1</v>
      </c>
      <c r="K10" s="128">
        <v>1</v>
      </c>
      <c r="L10" s="54">
        <v>1</v>
      </c>
      <c r="M10" s="64"/>
      <c r="N10" s="69">
        <v>1</v>
      </c>
      <c r="O10" s="127">
        <v>1</v>
      </c>
      <c r="Q10" s="21"/>
      <c r="R10" s="128">
        <v>1</v>
      </c>
      <c r="S10" s="54">
        <v>1</v>
      </c>
      <c r="T10" s="64">
        <v>1</v>
      </c>
      <c r="U10" s="69">
        <v>1</v>
      </c>
      <c r="V10" s="127">
        <v>1</v>
      </c>
      <c r="X10" s="21"/>
      <c r="Y10" s="128"/>
      <c r="Z10" s="54"/>
      <c r="AA10" s="64"/>
      <c r="AB10" s="69"/>
      <c r="AC10" s="127"/>
      <c r="AD10">
        <f t="shared" si="1"/>
        <v>17</v>
      </c>
    </row>
    <row r="11" spans="1:30" x14ac:dyDescent="0.15">
      <c r="A11" s="2" t="s">
        <v>93</v>
      </c>
      <c r="C11" s="21"/>
      <c r="D11" s="128"/>
      <c r="E11" s="54"/>
      <c r="F11" s="64">
        <v>1</v>
      </c>
      <c r="G11" s="69">
        <v>1</v>
      </c>
      <c r="H11" s="127"/>
      <c r="J11" s="21"/>
      <c r="K11" s="128">
        <v>1</v>
      </c>
      <c r="L11" s="54">
        <v>1</v>
      </c>
      <c r="M11" s="64">
        <v>1</v>
      </c>
      <c r="N11" s="69">
        <v>1</v>
      </c>
      <c r="O11" s="127">
        <v>1</v>
      </c>
      <c r="Q11" s="21"/>
      <c r="R11" s="128"/>
      <c r="S11" s="54"/>
      <c r="T11" s="64"/>
      <c r="U11" s="69">
        <v>1</v>
      </c>
      <c r="V11" s="127">
        <v>1</v>
      </c>
      <c r="X11" s="21"/>
      <c r="Y11" s="128"/>
      <c r="Z11" s="54"/>
      <c r="AA11" s="64"/>
      <c r="AB11" s="69">
        <v>1</v>
      </c>
      <c r="AC11" s="127">
        <v>1</v>
      </c>
      <c r="AD11">
        <f t="shared" si="1"/>
        <v>11</v>
      </c>
    </row>
    <row r="12" spans="1:30" x14ac:dyDescent="0.15">
      <c r="A12" s="2" t="s">
        <v>33</v>
      </c>
      <c r="C12" s="21"/>
      <c r="D12" s="128"/>
      <c r="E12" s="54"/>
      <c r="F12" s="64"/>
      <c r="G12" s="69"/>
      <c r="H12" s="127"/>
      <c r="J12" s="21"/>
      <c r="K12" s="128"/>
      <c r="L12" s="54"/>
      <c r="M12" s="64"/>
      <c r="N12" s="69"/>
      <c r="O12" s="127"/>
      <c r="Q12" s="21"/>
      <c r="R12" s="128"/>
      <c r="S12" s="54"/>
      <c r="T12" s="64"/>
      <c r="U12" s="69"/>
      <c r="V12" s="127"/>
      <c r="X12" s="21"/>
      <c r="Y12" s="128">
        <v>1</v>
      </c>
      <c r="Z12" s="54">
        <v>1</v>
      </c>
      <c r="AA12" s="64">
        <v>1</v>
      </c>
      <c r="AB12" s="69">
        <v>1</v>
      </c>
      <c r="AC12" s="127">
        <v>1</v>
      </c>
      <c r="AD12">
        <f t="shared" si="1"/>
        <v>5</v>
      </c>
    </row>
    <row r="13" spans="1:30" x14ac:dyDescent="0.15">
      <c r="A13" s="2" t="s">
        <v>13</v>
      </c>
      <c r="C13" s="21"/>
      <c r="D13" s="128"/>
      <c r="E13" s="54"/>
      <c r="F13" s="64"/>
      <c r="G13" s="69"/>
      <c r="H13" s="127"/>
      <c r="J13" s="21"/>
      <c r="K13" s="128"/>
      <c r="L13" s="54"/>
      <c r="M13" s="64"/>
      <c r="N13" s="69"/>
      <c r="O13" s="127"/>
      <c r="Q13" s="21"/>
      <c r="R13" s="128"/>
      <c r="S13" s="54"/>
      <c r="T13" s="64">
        <v>1</v>
      </c>
      <c r="U13" s="69">
        <v>1</v>
      </c>
      <c r="V13" s="127">
        <v>1</v>
      </c>
      <c r="X13" s="21"/>
      <c r="Y13" s="128"/>
      <c r="Z13" s="54"/>
      <c r="AA13" s="64"/>
      <c r="AB13" s="69"/>
      <c r="AC13" s="127"/>
      <c r="AD13">
        <f t="shared" si="1"/>
        <v>3</v>
      </c>
    </row>
    <row r="14" spans="1:30" x14ac:dyDescent="0.15">
      <c r="A14" s="2" t="s">
        <v>190</v>
      </c>
      <c r="C14" s="21"/>
      <c r="D14" s="128"/>
      <c r="E14" s="54"/>
      <c r="F14" s="64"/>
      <c r="G14" s="69"/>
      <c r="H14" s="127"/>
      <c r="J14" s="21"/>
      <c r="K14" s="128"/>
      <c r="L14" s="54"/>
      <c r="M14" s="64"/>
      <c r="N14" s="69"/>
      <c r="O14" s="127"/>
      <c r="Q14" s="21"/>
      <c r="R14" s="128"/>
      <c r="S14" s="54"/>
      <c r="T14" s="64"/>
      <c r="U14" s="69"/>
      <c r="V14" s="127">
        <v>1</v>
      </c>
      <c r="X14" s="21"/>
      <c r="Y14" s="128"/>
      <c r="Z14" s="54"/>
      <c r="AA14" s="64"/>
      <c r="AB14" s="69"/>
      <c r="AC14" s="127"/>
      <c r="AD14">
        <f t="shared" si="1"/>
        <v>1</v>
      </c>
    </row>
    <row r="15" spans="1:30" x14ac:dyDescent="0.15">
      <c r="A15" s="2" t="s">
        <v>14</v>
      </c>
      <c r="B15">
        <v>2</v>
      </c>
      <c r="C15" s="21">
        <v>1</v>
      </c>
      <c r="D15" s="128">
        <v>1</v>
      </c>
      <c r="E15" s="54">
        <v>1</v>
      </c>
      <c r="F15" s="64">
        <v>1</v>
      </c>
      <c r="G15" s="69">
        <v>2</v>
      </c>
      <c r="H15" s="127"/>
      <c r="I15">
        <v>1</v>
      </c>
      <c r="J15" s="21">
        <v>1</v>
      </c>
      <c r="K15" s="128"/>
      <c r="L15" s="54"/>
      <c r="M15" s="64">
        <v>1</v>
      </c>
      <c r="N15" s="69"/>
      <c r="O15" s="127">
        <v>1</v>
      </c>
      <c r="P15">
        <v>1</v>
      </c>
      <c r="Q15" s="21">
        <v>1</v>
      </c>
      <c r="R15" s="128"/>
      <c r="S15" s="54">
        <v>1</v>
      </c>
      <c r="T15" s="64">
        <v>1</v>
      </c>
      <c r="U15" s="69">
        <v>1</v>
      </c>
      <c r="V15" s="127"/>
      <c r="W15">
        <v>3</v>
      </c>
      <c r="X15" s="21">
        <v>1</v>
      </c>
      <c r="Y15" s="128">
        <v>1</v>
      </c>
      <c r="Z15" s="54">
        <v>2</v>
      </c>
      <c r="AA15" s="64">
        <v>2</v>
      </c>
      <c r="AB15" s="69">
        <v>2</v>
      </c>
      <c r="AC15" s="127">
        <v>2</v>
      </c>
      <c r="AD15">
        <f t="shared" si="1"/>
        <v>22</v>
      </c>
    </row>
    <row r="16" spans="1:30" x14ac:dyDescent="0.15">
      <c r="A16" s="2" t="s">
        <v>26</v>
      </c>
      <c r="B16">
        <v>1</v>
      </c>
      <c r="C16" s="21">
        <v>1</v>
      </c>
      <c r="D16" s="128">
        <v>1</v>
      </c>
      <c r="E16" s="54">
        <v>1</v>
      </c>
      <c r="F16" s="64">
        <v>2</v>
      </c>
      <c r="G16" s="69">
        <v>2</v>
      </c>
      <c r="H16" s="127">
        <v>1</v>
      </c>
      <c r="J16" s="21"/>
      <c r="K16" s="128"/>
      <c r="L16" s="54"/>
      <c r="M16" s="64"/>
      <c r="N16" s="69"/>
      <c r="O16" s="127"/>
      <c r="Q16" s="21"/>
      <c r="R16" s="128"/>
      <c r="S16" s="54"/>
      <c r="T16" s="64"/>
      <c r="U16" s="69"/>
      <c r="V16" s="127">
        <v>1</v>
      </c>
      <c r="X16" s="21"/>
      <c r="Y16" s="128"/>
      <c r="Z16" s="54"/>
      <c r="AA16" s="64"/>
      <c r="AB16" s="69"/>
      <c r="AC16" s="127"/>
      <c r="AD16">
        <f t="shared" si="1"/>
        <v>8</v>
      </c>
    </row>
    <row r="17" spans="1:30" x14ac:dyDescent="0.15">
      <c r="A17" s="2" t="s">
        <v>51</v>
      </c>
      <c r="C17" s="21"/>
      <c r="D17" s="128">
        <v>1</v>
      </c>
      <c r="E17" s="54">
        <v>1</v>
      </c>
      <c r="F17" s="64">
        <v>1</v>
      </c>
      <c r="G17" s="69">
        <v>1</v>
      </c>
      <c r="H17" s="127">
        <v>1</v>
      </c>
      <c r="J17" s="21"/>
      <c r="K17" s="128">
        <v>1</v>
      </c>
      <c r="L17" s="54">
        <v>1</v>
      </c>
      <c r="M17" s="64">
        <v>1</v>
      </c>
      <c r="N17" s="69">
        <v>1</v>
      </c>
      <c r="O17" s="127">
        <v>1</v>
      </c>
      <c r="Q17" s="21"/>
      <c r="R17" s="128">
        <v>1</v>
      </c>
      <c r="S17" s="54">
        <v>1</v>
      </c>
      <c r="T17" s="64">
        <v>1</v>
      </c>
      <c r="U17" s="69">
        <v>1</v>
      </c>
      <c r="V17" s="127">
        <v>1</v>
      </c>
      <c r="X17" s="21"/>
      <c r="Y17" s="128"/>
      <c r="Z17" s="54"/>
      <c r="AA17" s="64"/>
      <c r="AB17" s="69"/>
      <c r="AC17" s="127"/>
      <c r="AD17">
        <f t="shared" si="1"/>
        <v>15</v>
      </c>
    </row>
    <row r="18" spans="1:30" x14ac:dyDescent="0.15">
      <c r="A18" s="2" t="s">
        <v>44</v>
      </c>
      <c r="C18" s="21"/>
      <c r="D18" s="128"/>
      <c r="E18" s="54"/>
      <c r="F18" s="64">
        <v>1</v>
      </c>
      <c r="G18" s="69"/>
      <c r="H18" s="127"/>
      <c r="J18" s="21"/>
      <c r="K18" s="128"/>
      <c r="L18" s="54"/>
      <c r="M18" s="64">
        <v>2</v>
      </c>
      <c r="N18" s="69">
        <v>1</v>
      </c>
      <c r="O18" s="127">
        <v>1</v>
      </c>
      <c r="Q18" s="21"/>
      <c r="R18" s="128"/>
      <c r="S18" s="54"/>
      <c r="T18" s="64"/>
      <c r="U18" s="69"/>
      <c r="V18" s="127"/>
      <c r="X18" s="21"/>
      <c r="Y18" s="128"/>
      <c r="Z18" s="54"/>
      <c r="AA18" s="64"/>
      <c r="AB18" s="69"/>
      <c r="AC18" s="127"/>
      <c r="AD18">
        <f t="shared" si="1"/>
        <v>4</v>
      </c>
    </row>
    <row r="19" spans="1:30" x14ac:dyDescent="0.15">
      <c r="A19" s="2" t="s">
        <v>4</v>
      </c>
      <c r="B19">
        <v>3</v>
      </c>
      <c r="C19" s="21">
        <v>1</v>
      </c>
      <c r="D19" s="128">
        <v>1</v>
      </c>
      <c r="E19" s="54">
        <v>2</v>
      </c>
      <c r="F19" s="64">
        <v>2</v>
      </c>
      <c r="G19" s="69">
        <v>1</v>
      </c>
      <c r="H19" s="127">
        <v>2</v>
      </c>
      <c r="J19" s="21"/>
      <c r="K19" s="128"/>
      <c r="L19" s="54"/>
      <c r="M19" s="64"/>
      <c r="N19" s="69">
        <v>1</v>
      </c>
      <c r="O19" s="127">
        <v>1</v>
      </c>
      <c r="P19">
        <v>3</v>
      </c>
      <c r="Q19" s="21">
        <v>2</v>
      </c>
      <c r="R19" s="128">
        <v>2</v>
      </c>
      <c r="S19" s="54">
        <v>2</v>
      </c>
      <c r="T19" s="64">
        <v>2</v>
      </c>
      <c r="U19" s="69">
        <v>3</v>
      </c>
      <c r="V19" s="127">
        <v>2</v>
      </c>
      <c r="W19">
        <v>2</v>
      </c>
      <c r="X19" s="21">
        <v>2</v>
      </c>
      <c r="Y19" s="128">
        <v>2</v>
      </c>
      <c r="Z19" s="54">
        <v>2</v>
      </c>
      <c r="AA19" s="64">
        <v>1</v>
      </c>
      <c r="AB19" s="69">
        <v>1</v>
      </c>
      <c r="AC19" s="127">
        <v>2</v>
      </c>
      <c r="AD19">
        <f t="shared" si="1"/>
        <v>23</v>
      </c>
    </row>
    <row r="20" spans="1:30" x14ac:dyDescent="0.15">
      <c r="A20" s="2" t="s">
        <v>232</v>
      </c>
      <c r="C20" s="21"/>
      <c r="D20" s="128"/>
      <c r="E20" s="54"/>
      <c r="F20" s="64"/>
      <c r="G20" s="69"/>
      <c r="H20" s="127"/>
      <c r="J20" s="21"/>
      <c r="K20" s="128"/>
      <c r="L20" s="54"/>
      <c r="M20" s="64"/>
      <c r="N20" s="69"/>
      <c r="O20" s="127">
        <v>1</v>
      </c>
      <c r="Q20" s="21"/>
      <c r="R20" s="128"/>
      <c r="S20" s="54"/>
      <c r="T20" s="64"/>
      <c r="U20" s="69"/>
      <c r="V20" s="127"/>
      <c r="X20" s="21"/>
      <c r="Y20" s="128"/>
      <c r="Z20" s="54"/>
      <c r="AA20" s="64"/>
      <c r="AB20" s="69"/>
      <c r="AC20" s="127"/>
      <c r="AD20">
        <f t="shared" si="1"/>
        <v>1</v>
      </c>
    </row>
    <row r="21" spans="1:30" x14ac:dyDescent="0.15">
      <c r="A21" s="2" t="s">
        <v>15</v>
      </c>
      <c r="C21" s="21">
        <v>2</v>
      </c>
      <c r="D21" s="128"/>
      <c r="E21" s="54"/>
      <c r="F21" s="64"/>
      <c r="G21" s="69">
        <v>1</v>
      </c>
      <c r="H21" s="127"/>
      <c r="J21" s="21"/>
      <c r="K21" s="128"/>
      <c r="L21" s="54"/>
      <c r="M21" s="64"/>
      <c r="N21" s="69"/>
      <c r="O21" s="127"/>
      <c r="Q21" s="21">
        <v>2</v>
      </c>
      <c r="R21" s="128"/>
      <c r="S21" s="54"/>
      <c r="T21" s="64"/>
      <c r="U21" s="69"/>
      <c r="V21" s="127"/>
      <c r="X21" s="21"/>
      <c r="Y21" s="128"/>
      <c r="Z21" s="54"/>
      <c r="AA21" s="64"/>
      <c r="AB21" s="69"/>
      <c r="AC21" s="127"/>
      <c r="AD21">
        <f t="shared" si="1"/>
        <v>3</v>
      </c>
    </row>
    <row r="22" spans="1:30" x14ac:dyDescent="0.15">
      <c r="A22" s="2" t="s">
        <v>5</v>
      </c>
      <c r="C22" s="21">
        <v>3</v>
      </c>
      <c r="D22" s="128">
        <v>3</v>
      </c>
      <c r="E22" s="54">
        <v>1</v>
      </c>
      <c r="F22" s="64">
        <v>1</v>
      </c>
      <c r="G22" s="69">
        <v>1</v>
      </c>
      <c r="H22" s="127">
        <v>1</v>
      </c>
      <c r="J22" s="21">
        <v>4</v>
      </c>
      <c r="K22" s="128">
        <v>4</v>
      </c>
      <c r="L22" s="54">
        <v>2</v>
      </c>
      <c r="M22" s="64">
        <v>1</v>
      </c>
      <c r="N22" s="69">
        <v>1</v>
      </c>
      <c r="O22" s="127">
        <v>1</v>
      </c>
      <c r="P22">
        <v>3</v>
      </c>
      <c r="Q22" s="21">
        <v>2</v>
      </c>
      <c r="R22" s="128">
        <v>2</v>
      </c>
      <c r="S22" s="54">
        <v>2</v>
      </c>
      <c r="T22" s="64">
        <v>2</v>
      </c>
      <c r="U22" s="69">
        <v>2</v>
      </c>
      <c r="V22" s="127">
        <v>1</v>
      </c>
      <c r="W22">
        <v>2</v>
      </c>
      <c r="X22" s="21">
        <v>2</v>
      </c>
      <c r="Y22" s="128">
        <v>1</v>
      </c>
      <c r="Z22" s="54">
        <v>1</v>
      </c>
      <c r="AA22" s="64">
        <v>1</v>
      </c>
      <c r="AB22" s="69">
        <v>1</v>
      </c>
      <c r="AC22" s="127">
        <v>1</v>
      </c>
      <c r="AD22">
        <f t="shared" si="1"/>
        <v>26</v>
      </c>
    </row>
    <row r="23" spans="1:30" x14ac:dyDescent="0.15">
      <c r="A23" s="2" t="s">
        <v>46</v>
      </c>
      <c r="B23">
        <v>1</v>
      </c>
      <c r="C23" s="21">
        <v>1</v>
      </c>
      <c r="D23" s="128"/>
      <c r="E23" s="54">
        <v>1</v>
      </c>
      <c r="F23" s="64">
        <v>1</v>
      </c>
      <c r="G23" s="69">
        <v>2</v>
      </c>
      <c r="H23" s="127">
        <v>1</v>
      </c>
      <c r="I23">
        <v>1</v>
      </c>
      <c r="J23" s="21">
        <v>1</v>
      </c>
      <c r="K23" s="128"/>
      <c r="L23" s="54">
        <v>2</v>
      </c>
      <c r="M23" s="64">
        <v>1</v>
      </c>
      <c r="N23" s="69">
        <v>1</v>
      </c>
      <c r="O23" s="127">
        <v>1</v>
      </c>
      <c r="Q23" s="21"/>
      <c r="R23" s="128"/>
      <c r="S23" s="54"/>
      <c r="T23" s="64"/>
      <c r="U23" s="69">
        <v>1</v>
      </c>
      <c r="V23" s="127"/>
      <c r="W23">
        <v>1</v>
      </c>
      <c r="X23" s="21"/>
      <c r="Y23" s="128"/>
      <c r="Z23" s="54"/>
      <c r="AA23" s="64">
        <v>1</v>
      </c>
      <c r="AB23" s="69">
        <v>1</v>
      </c>
      <c r="AC23" s="127">
        <v>1</v>
      </c>
      <c r="AD23">
        <f t="shared" si="1"/>
        <v>17</v>
      </c>
    </row>
    <row r="24" spans="1:30" x14ac:dyDescent="0.15">
      <c r="A24" s="2" t="s">
        <v>228</v>
      </c>
      <c r="C24" s="21"/>
      <c r="D24" s="128"/>
      <c r="E24" s="54"/>
      <c r="F24" s="64"/>
      <c r="G24" s="69"/>
      <c r="H24" s="127">
        <v>1</v>
      </c>
      <c r="J24" s="21"/>
      <c r="K24" s="128"/>
      <c r="L24" s="54"/>
      <c r="M24" s="64"/>
      <c r="N24" s="69"/>
      <c r="O24" s="127"/>
      <c r="Q24" s="21"/>
      <c r="R24" s="128"/>
      <c r="S24" s="54"/>
      <c r="T24" s="64"/>
      <c r="U24" s="69"/>
      <c r="V24" s="127"/>
      <c r="X24" s="21"/>
      <c r="Y24" s="128"/>
      <c r="Z24" s="54"/>
      <c r="AA24" s="64"/>
      <c r="AB24" s="69"/>
      <c r="AC24" s="127"/>
      <c r="AD24">
        <f t="shared" si="1"/>
        <v>1</v>
      </c>
    </row>
    <row r="25" spans="1:30" x14ac:dyDescent="0.15">
      <c r="A25" s="5" t="s">
        <v>133</v>
      </c>
      <c r="C25" s="21"/>
      <c r="D25" s="128"/>
      <c r="E25" s="54"/>
      <c r="F25" s="64"/>
      <c r="G25" s="69"/>
      <c r="H25" s="127"/>
      <c r="J25" s="21"/>
      <c r="K25" s="128"/>
      <c r="L25" s="54"/>
      <c r="M25" s="64"/>
      <c r="N25" s="69"/>
      <c r="O25" s="127"/>
      <c r="Q25" s="21"/>
      <c r="R25" s="128"/>
      <c r="S25" s="54"/>
      <c r="T25" s="64"/>
      <c r="U25" s="69"/>
      <c r="V25" s="127"/>
      <c r="X25" s="21"/>
      <c r="Y25" s="128"/>
      <c r="Z25" s="54"/>
      <c r="AA25" s="64"/>
      <c r="AB25" s="69"/>
      <c r="AC25" s="127"/>
      <c r="AD25">
        <f t="shared" si="1"/>
        <v>0</v>
      </c>
    </row>
    <row r="26" spans="1:30" x14ac:dyDescent="0.15">
      <c r="A26" s="5" t="s">
        <v>212</v>
      </c>
      <c r="C26" s="21"/>
      <c r="D26" s="128"/>
      <c r="E26" s="54"/>
      <c r="F26" s="64"/>
      <c r="G26" s="69"/>
      <c r="H26" s="127"/>
      <c r="J26" s="21"/>
      <c r="K26" s="128"/>
      <c r="L26" s="54"/>
      <c r="M26" s="64"/>
      <c r="N26" s="69"/>
      <c r="O26" s="127"/>
      <c r="Q26" s="21"/>
      <c r="R26" s="128"/>
      <c r="S26" s="54"/>
      <c r="T26" s="64"/>
      <c r="U26" s="69"/>
      <c r="V26" s="127"/>
      <c r="X26" s="21"/>
      <c r="Y26" s="128"/>
      <c r="Z26" s="54"/>
      <c r="AA26" s="64"/>
      <c r="AB26" s="69"/>
      <c r="AC26" s="127"/>
      <c r="AD26">
        <f t="shared" si="1"/>
        <v>0</v>
      </c>
    </row>
    <row r="27" spans="1:30" x14ac:dyDescent="0.15">
      <c r="A27" s="2" t="s">
        <v>45</v>
      </c>
      <c r="C27" s="21"/>
      <c r="D27" s="128"/>
      <c r="E27" s="54"/>
      <c r="F27" s="64"/>
      <c r="G27" s="69"/>
      <c r="H27" s="127">
        <v>1</v>
      </c>
      <c r="J27" s="21"/>
      <c r="K27" s="128">
        <v>1</v>
      </c>
      <c r="L27" s="54"/>
      <c r="M27" s="64">
        <v>1</v>
      </c>
      <c r="N27" s="69"/>
      <c r="O27" s="127"/>
      <c r="Q27" s="21"/>
      <c r="R27" s="128"/>
      <c r="S27" s="54">
        <v>1</v>
      </c>
      <c r="T27" s="64">
        <v>1</v>
      </c>
      <c r="U27" s="69"/>
      <c r="V27" s="127"/>
      <c r="X27" s="21"/>
      <c r="Y27" s="128"/>
      <c r="Z27" s="54"/>
      <c r="AA27" s="64"/>
      <c r="AB27" s="69"/>
      <c r="AC27" s="127"/>
      <c r="AD27">
        <f t="shared" si="1"/>
        <v>5</v>
      </c>
    </row>
    <row r="28" spans="1:30" x14ac:dyDescent="0.15">
      <c r="A28" s="2" t="s">
        <v>16</v>
      </c>
      <c r="C28" s="21">
        <v>1</v>
      </c>
      <c r="D28" s="128"/>
      <c r="E28" s="54">
        <v>1</v>
      </c>
      <c r="F28" s="64">
        <v>1</v>
      </c>
      <c r="G28" s="69">
        <v>1</v>
      </c>
      <c r="H28" s="127">
        <v>2</v>
      </c>
      <c r="J28" s="21"/>
      <c r="K28" s="128"/>
      <c r="L28" s="54"/>
      <c r="M28" s="64"/>
      <c r="N28" s="69"/>
      <c r="O28" s="127"/>
      <c r="Q28" s="21"/>
      <c r="R28" s="128"/>
      <c r="S28" s="54"/>
      <c r="T28" s="64">
        <v>1</v>
      </c>
      <c r="U28" s="69">
        <v>1</v>
      </c>
      <c r="V28" s="127">
        <v>1</v>
      </c>
      <c r="W28">
        <v>1</v>
      </c>
      <c r="X28" s="21"/>
      <c r="Y28" s="128">
        <v>1</v>
      </c>
      <c r="Z28" s="54"/>
      <c r="AA28" s="64"/>
      <c r="AB28" s="69"/>
      <c r="AC28" s="127"/>
      <c r="AD28">
        <f t="shared" si="1"/>
        <v>10</v>
      </c>
    </row>
    <row r="29" spans="1:30" x14ac:dyDescent="0.15">
      <c r="A29" s="2" t="s">
        <v>219</v>
      </c>
      <c r="C29" s="21"/>
      <c r="D29" s="128"/>
      <c r="E29" s="54"/>
      <c r="F29" s="64"/>
      <c r="G29" s="69"/>
      <c r="H29" s="127"/>
      <c r="J29" s="21"/>
      <c r="K29" s="128"/>
      <c r="L29" s="54"/>
      <c r="M29" s="64"/>
      <c r="N29" s="69"/>
      <c r="O29" s="127"/>
      <c r="Q29" s="21"/>
      <c r="R29" s="128"/>
      <c r="S29" s="54"/>
      <c r="T29" s="64"/>
      <c r="U29" s="69"/>
      <c r="V29" s="127"/>
      <c r="X29" s="21"/>
      <c r="Y29" s="128"/>
      <c r="Z29" s="54"/>
      <c r="AA29" s="64"/>
      <c r="AB29" s="69"/>
      <c r="AC29" s="127"/>
      <c r="AD29">
        <f t="shared" si="1"/>
        <v>0</v>
      </c>
    </row>
    <row r="30" spans="1:30" x14ac:dyDescent="0.15">
      <c r="A30" s="5" t="s">
        <v>70</v>
      </c>
      <c r="C30" s="21"/>
      <c r="D30" s="128"/>
      <c r="E30" s="54"/>
      <c r="F30" s="64"/>
      <c r="G30" s="69"/>
      <c r="H30" s="127"/>
      <c r="J30" s="21"/>
      <c r="K30" s="128"/>
      <c r="L30" s="54"/>
      <c r="M30" s="64"/>
      <c r="N30" s="69"/>
      <c r="O30" s="127"/>
      <c r="Q30" s="21"/>
      <c r="R30" s="128">
        <v>1</v>
      </c>
      <c r="S30" s="54"/>
      <c r="T30" s="64"/>
      <c r="U30" s="69"/>
      <c r="V30" s="127"/>
      <c r="X30" s="21"/>
      <c r="Y30" s="128"/>
      <c r="Z30" s="54"/>
      <c r="AA30" s="64"/>
      <c r="AB30" s="69"/>
      <c r="AC30" s="127"/>
      <c r="AD30">
        <f t="shared" si="1"/>
        <v>1</v>
      </c>
    </row>
    <row r="31" spans="1:30" x14ac:dyDescent="0.15">
      <c r="A31" s="5" t="s">
        <v>221</v>
      </c>
      <c r="C31" s="21"/>
      <c r="D31" s="128"/>
      <c r="E31" s="54"/>
      <c r="F31" s="64"/>
      <c r="G31" s="69"/>
      <c r="H31" s="127"/>
      <c r="J31" s="21"/>
      <c r="K31" s="128"/>
      <c r="L31" s="54"/>
      <c r="M31" s="64"/>
      <c r="N31" s="69"/>
      <c r="O31" s="127"/>
      <c r="Q31" s="21"/>
      <c r="R31" s="128"/>
      <c r="S31" s="54"/>
      <c r="T31" s="64"/>
      <c r="U31" s="69"/>
      <c r="V31" s="127"/>
      <c r="X31" s="21"/>
      <c r="Y31" s="128"/>
      <c r="Z31" s="54"/>
      <c r="AA31" s="64"/>
      <c r="AB31" s="69"/>
      <c r="AC31" s="127"/>
      <c r="AD31">
        <f t="shared" si="1"/>
        <v>0</v>
      </c>
    </row>
    <row r="32" spans="1:30" x14ac:dyDescent="0.15">
      <c r="A32" s="5" t="s">
        <v>199</v>
      </c>
      <c r="C32" s="21"/>
      <c r="D32" s="128"/>
      <c r="E32" s="54"/>
      <c r="F32" s="64">
        <v>1</v>
      </c>
      <c r="G32" s="69">
        <v>1</v>
      </c>
      <c r="H32" s="127"/>
      <c r="J32" s="21"/>
      <c r="K32" s="128"/>
      <c r="L32" s="54"/>
      <c r="M32" s="64"/>
      <c r="N32" s="69"/>
      <c r="O32" s="127"/>
      <c r="Q32" s="21"/>
      <c r="R32" s="128"/>
      <c r="S32" s="54"/>
      <c r="T32" s="64"/>
      <c r="U32" s="69"/>
      <c r="V32" s="127"/>
      <c r="X32" s="21"/>
      <c r="Y32" s="128"/>
      <c r="Z32" s="54"/>
      <c r="AA32" s="64"/>
      <c r="AB32" s="69"/>
      <c r="AC32" s="127"/>
      <c r="AD32">
        <f t="shared" si="1"/>
        <v>2</v>
      </c>
    </row>
    <row r="33" spans="1:30" x14ac:dyDescent="0.15">
      <c r="A33" s="5" t="s">
        <v>222</v>
      </c>
      <c r="C33" s="21"/>
      <c r="D33" s="128"/>
      <c r="E33" s="54"/>
      <c r="F33" s="64"/>
      <c r="G33" s="69"/>
      <c r="H33" s="127"/>
      <c r="J33" s="21"/>
      <c r="K33" s="128"/>
      <c r="L33" s="54"/>
      <c r="M33" s="64"/>
      <c r="N33" s="69"/>
      <c r="O33" s="127"/>
      <c r="Q33" s="21"/>
      <c r="R33" s="128"/>
      <c r="S33" s="54"/>
      <c r="T33" s="64"/>
      <c r="U33" s="69"/>
      <c r="V33" s="127"/>
      <c r="X33" s="21"/>
      <c r="Y33" s="128"/>
      <c r="Z33" s="54"/>
      <c r="AA33" s="64"/>
      <c r="AB33" s="69"/>
      <c r="AC33" s="127"/>
      <c r="AD33">
        <f t="shared" si="1"/>
        <v>0</v>
      </c>
    </row>
    <row r="34" spans="1:30" x14ac:dyDescent="0.15">
      <c r="A34" s="2" t="s">
        <v>62</v>
      </c>
      <c r="C34" s="21">
        <v>1</v>
      </c>
      <c r="D34" s="128">
        <v>1</v>
      </c>
      <c r="E34" s="54">
        <v>1</v>
      </c>
      <c r="F34" s="64">
        <v>2</v>
      </c>
      <c r="G34" s="69">
        <v>2</v>
      </c>
      <c r="H34" s="127">
        <v>2</v>
      </c>
      <c r="J34" s="21">
        <v>1</v>
      </c>
      <c r="K34" s="128">
        <v>1</v>
      </c>
      <c r="L34" s="54">
        <v>1</v>
      </c>
      <c r="M34" s="64">
        <v>2</v>
      </c>
      <c r="N34" s="69">
        <v>1</v>
      </c>
      <c r="O34" s="127">
        <v>2</v>
      </c>
      <c r="Q34" s="21"/>
      <c r="R34" s="128"/>
      <c r="S34" s="54"/>
      <c r="T34" s="64"/>
      <c r="U34" s="69"/>
      <c r="V34" s="127"/>
      <c r="X34" s="21"/>
      <c r="Y34" s="128"/>
      <c r="Z34" s="54"/>
      <c r="AA34" s="64"/>
      <c r="AB34" s="69"/>
      <c r="AC34" s="127"/>
      <c r="AD34">
        <f t="shared" si="1"/>
        <v>12</v>
      </c>
    </row>
    <row r="35" spans="1:30" x14ac:dyDescent="0.15">
      <c r="A35" s="2" t="s">
        <v>17</v>
      </c>
      <c r="C35" s="21"/>
      <c r="D35" s="128"/>
      <c r="E35" s="54"/>
      <c r="F35" s="64"/>
      <c r="G35" s="69"/>
      <c r="H35" s="127"/>
      <c r="J35" s="21"/>
      <c r="K35" s="128"/>
      <c r="L35" s="54"/>
      <c r="M35" s="64"/>
      <c r="N35" s="69"/>
      <c r="O35" s="127"/>
      <c r="Q35" s="21"/>
      <c r="R35" s="128"/>
      <c r="S35" s="54"/>
      <c r="T35" s="64"/>
      <c r="U35" s="69"/>
      <c r="V35" s="127"/>
      <c r="X35" s="21"/>
      <c r="Y35" s="128"/>
      <c r="Z35" s="54"/>
      <c r="AA35" s="64"/>
      <c r="AB35" s="69"/>
      <c r="AC35" s="127"/>
      <c r="AD35">
        <f t="shared" si="1"/>
        <v>0</v>
      </c>
    </row>
    <row r="36" spans="1:30" x14ac:dyDescent="0.15">
      <c r="A36" s="2" t="s">
        <v>49</v>
      </c>
      <c r="C36" s="21"/>
      <c r="D36" s="128">
        <v>3</v>
      </c>
      <c r="E36" s="54">
        <v>3</v>
      </c>
      <c r="F36" s="64">
        <v>3</v>
      </c>
      <c r="G36" s="69">
        <v>2</v>
      </c>
      <c r="H36" s="127">
        <v>2</v>
      </c>
      <c r="J36" s="21"/>
      <c r="K36" s="128">
        <v>1</v>
      </c>
      <c r="L36" s="54">
        <v>2</v>
      </c>
      <c r="M36" s="64">
        <v>3</v>
      </c>
      <c r="N36" s="69">
        <v>2</v>
      </c>
      <c r="O36" s="127">
        <v>2</v>
      </c>
      <c r="Q36" s="21"/>
      <c r="R36" s="128">
        <v>1</v>
      </c>
      <c r="S36" s="54">
        <v>2</v>
      </c>
      <c r="T36" s="64">
        <v>2</v>
      </c>
      <c r="U36" s="69">
        <v>2</v>
      </c>
      <c r="V36" s="127">
        <v>1</v>
      </c>
      <c r="X36" s="21"/>
      <c r="Y36" s="128">
        <v>2</v>
      </c>
      <c r="Z36" s="54">
        <v>2</v>
      </c>
      <c r="AA36" s="64">
        <v>1</v>
      </c>
      <c r="AB36" s="69">
        <v>2</v>
      </c>
      <c r="AC36" s="127">
        <v>1</v>
      </c>
      <c r="AD36">
        <f t="shared" si="1"/>
        <v>20</v>
      </c>
    </row>
    <row r="37" spans="1:30" x14ac:dyDescent="0.15">
      <c r="A37" s="2" t="s">
        <v>6</v>
      </c>
      <c r="C37" s="21"/>
      <c r="D37" s="128"/>
      <c r="E37" s="54"/>
      <c r="F37" s="64"/>
      <c r="G37" s="69"/>
      <c r="H37" s="127"/>
      <c r="J37" s="21"/>
      <c r="K37" s="128"/>
      <c r="L37" s="54"/>
      <c r="M37" s="64"/>
      <c r="N37" s="69"/>
      <c r="O37" s="127"/>
      <c r="Q37" s="21"/>
      <c r="R37" s="128"/>
      <c r="S37" s="54"/>
      <c r="T37" s="64"/>
      <c r="U37" s="69"/>
      <c r="V37" s="127"/>
      <c r="X37" s="21"/>
      <c r="Y37" s="128"/>
      <c r="Z37" s="54"/>
      <c r="AA37" s="64"/>
      <c r="AB37" s="69"/>
      <c r="AC37" s="127"/>
      <c r="AD37">
        <f t="shared" si="1"/>
        <v>0</v>
      </c>
    </row>
    <row r="38" spans="1:30" x14ac:dyDescent="0.15">
      <c r="A38" s="2" t="s">
        <v>19</v>
      </c>
      <c r="B38">
        <v>3</v>
      </c>
      <c r="C38" s="21">
        <v>3</v>
      </c>
      <c r="D38" s="128">
        <v>3</v>
      </c>
      <c r="E38" s="54">
        <v>3</v>
      </c>
      <c r="F38" s="64">
        <v>3</v>
      </c>
      <c r="G38" s="69">
        <v>2</v>
      </c>
      <c r="H38" s="127">
        <v>2</v>
      </c>
      <c r="I38">
        <v>2</v>
      </c>
      <c r="J38" s="21">
        <v>4</v>
      </c>
      <c r="K38" s="128">
        <v>4</v>
      </c>
      <c r="L38" s="54">
        <v>4</v>
      </c>
      <c r="M38" s="64">
        <v>3</v>
      </c>
      <c r="N38" s="69">
        <v>3</v>
      </c>
      <c r="O38" s="127">
        <v>3</v>
      </c>
      <c r="Q38" s="21">
        <v>2</v>
      </c>
      <c r="R38" s="128">
        <v>1</v>
      </c>
      <c r="S38" s="54">
        <v>2</v>
      </c>
      <c r="T38" s="64">
        <v>2</v>
      </c>
      <c r="U38" s="69">
        <v>1</v>
      </c>
      <c r="V38" s="127">
        <v>2</v>
      </c>
      <c r="W38">
        <v>3</v>
      </c>
      <c r="X38" s="21">
        <v>2</v>
      </c>
      <c r="Y38" s="128">
        <v>1</v>
      </c>
      <c r="Z38" s="54">
        <v>2</v>
      </c>
      <c r="AA38" s="64">
        <v>2</v>
      </c>
      <c r="AB38" s="69">
        <v>1</v>
      </c>
      <c r="AC38" s="127">
        <v>2</v>
      </c>
      <c r="AD38">
        <f t="shared" si="1"/>
        <v>27</v>
      </c>
    </row>
    <row r="39" spans="1:30" x14ac:dyDescent="0.15">
      <c r="A39" s="2" t="s">
        <v>68</v>
      </c>
      <c r="C39" s="21"/>
      <c r="D39" s="128"/>
      <c r="E39" s="54"/>
      <c r="F39" s="64"/>
      <c r="G39" s="69"/>
      <c r="H39" s="127"/>
      <c r="J39" s="21"/>
      <c r="K39" s="128"/>
      <c r="L39" s="54"/>
      <c r="M39" s="64"/>
      <c r="N39" s="69"/>
      <c r="O39" s="127"/>
      <c r="Q39" s="21"/>
      <c r="R39" s="128"/>
      <c r="S39" s="54"/>
      <c r="T39" s="64"/>
      <c r="U39" s="69"/>
      <c r="V39" s="127"/>
      <c r="X39" s="21"/>
      <c r="Y39" s="128"/>
      <c r="Z39" s="54"/>
      <c r="AA39" s="64"/>
      <c r="AB39" s="69"/>
      <c r="AC39" s="127"/>
      <c r="AD39">
        <f t="shared" si="1"/>
        <v>0</v>
      </c>
    </row>
    <row r="40" spans="1:30" x14ac:dyDescent="0.15">
      <c r="A40" s="2" t="s">
        <v>37</v>
      </c>
      <c r="C40" s="21"/>
      <c r="D40" s="128"/>
      <c r="E40" s="54"/>
      <c r="F40" s="64"/>
      <c r="G40" s="69"/>
      <c r="H40" s="127"/>
      <c r="J40" s="21"/>
      <c r="K40" s="128"/>
      <c r="L40" s="54"/>
      <c r="M40" s="64"/>
      <c r="N40" s="69"/>
      <c r="O40" s="127"/>
      <c r="Q40" s="21"/>
      <c r="R40" s="128"/>
      <c r="S40" s="54"/>
      <c r="T40" s="64"/>
      <c r="U40" s="69"/>
      <c r="V40" s="127"/>
      <c r="X40" s="21"/>
      <c r="Y40" s="128"/>
      <c r="Z40" s="54"/>
      <c r="AA40" s="64"/>
      <c r="AB40" s="69"/>
      <c r="AC40" s="127"/>
      <c r="AD40">
        <f t="shared" si="1"/>
        <v>0</v>
      </c>
    </row>
    <row r="41" spans="1:30" x14ac:dyDescent="0.15">
      <c r="A41" s="2" t="s">
        <v>20</v>
      </c>
      <c r="B41">
        <v>3</v>
      </c>
      <c r="C41" s="21">
        <v>2</v>
      </c>
      <c r="D41" s="128">
        <v>3</v>
      </c>
      <c r="E41" s="54">
        <v>2</v>
      </c>
      <c r="F41" s="64">
        <v>3</v>
      </c>
      <c r="G41" s="69">
        <v>2</v>
      </c>
      <c r="H41" s="127">
        <v>1</v>
      </c>
      <c r="J41" s="21"/>
      <c r="K41" s="128"/>
      <c r="L41" s="54"/>
      <c r="M41" s="64"/>
      <c r="N41" s="69"/>
      <c r="O41" s="127"/>
      <c r="P41">
        <v>3</v>
      </c>
      <c r="Q41" s="21">
        <v>3</v>
      </c>
      <c r="R41" s="128">
        <v>2</v>
      </c>
      <c r="S41" s="54">
        <v>2</v>
      </c>
      <c r="T41" s="64">
        <v>2</v>
      </c>
      <c r="U41" s="69">
        <v>2</v>
      </c>
      <c r="V41" s="127">
        <v>2</v>
      </c>
      <c r="W41">
        <v>3</v>
      </c>
      <c r="X41" s="21">
        <v>3</v>
      </c>
      <c r="Y41" s="128">
        <v>3</v>
      </c>
      <c r="Z41" s="54">
        <v>3</v>
      </c>
      <c r="AA41" s="64">
        <v>2</v>
      </c>
      <c r="AB41" s="69">
        <v>2</v>
      </c>
      <c r="AC41" s="127">
        <v>1</v>
      </c>
      <c r="AD41">
        <f t="shared" si="1"/>
        <v>21</v>
      </c>
    </row>
    <row r="42" spans="1:30" x14ac:dyDescent="0.15">
      <c r="A42" s="2" t="s">
        <v>11</v>
      </c>
      <c r="C42" s="21">
        <v>1</v>
      </c>
      <c r="D42" s="128"/>
      <c r="E42" s="54">
        <v>1</v>
      </c>
      <c r="F42" s="64">
        <v>1</v>
      </c>
      <c r="G42" s="69">
        <v>1</v>
      </c>
      <c r="H42" s="127">
        <v>1</v>
      </c>
      <c r="J42" s="21"/>
      <c r="K42" s="128"/>
      <c r="L42" s="54"/>
      <c r="M42" s="64"/>
      <c r="N42" s="69"/>
      <c r="O42" s="127"/>
      <c r="Q42" s="21"/>
      <c r="R42" s="128"/>
      <c r="S42" s="54"/>
      <c r="T42" s="64">
        <v>1</v>
      </c>
      <c r="U42" s="69">
        <v>1</v>
      </c>
      <c r="V42" s="127">
        <v>1</v>
      </c>
      <c r="X42" s="21"/>
      <c r="Y42" s="128">
        <v>1</v>
      </c>
      <c r="Z42" s="54"/>
      <c r="AA42" s="64">
        <v>1</v>
      </c>
      <c r="AB42" s="69">
        <v>1</v>
      </c>
      <c r="AC42" s="127">
        <v>1</v>
      </c>
      <c r="AD42">
        <f t="shared" si="1"/>
        <v>12</v>
      </c>
    </row>
    <row r="43" spans="1:30" x14ac:dyDescent="0.15">
      <c r="A43" s="2" t="s">
        <v>21</v>
      </c>
      <c r="B43">
        <v>2</v>
      </c>
      <c r="C43" s="21">
        <v>2</v>
      </c>
      <c r="D43" s="128">
        <v>1</v>
      </c>
      <c r="E43" s="54">
        <v>2</v>
      </c>
      <c r="F43" s="64">
        <v>2</v>
      </c>
      <c r="G43" s="69">
        <v>2</v>
      </c>
      <c r="H43" s="127">
        <v>3</v>
      </c>
      <c r="J43" s="21"/>
      <c r="K43" s="128">
        <v>1</v>
      </c>
      <c r="L43" s="54"/>
      <c r="M43" s="64"/>
      <c r="N43" s="69">
        <v>1</v>
      </c>
      <c r="O43" s="127">
        <v>1</v>
      </c>
      <c r="P43">
        <v>2</v>
      </c>
      <c r="Q43" s="21">
        <v>2</v>
      </c>
      <c r="R43" s="128">
        <v>1</v>
      </c>
      <c r="S43" s="54">
        <v>1</v>
      </c>
      <c r="T43" s="64">
        <v>1</v>
      </c>
      <c r="U43" s="69">
        <v>1</v>
      </c>
      <c r="V43" s="127">
        <v>1</v>
      </c>
      <c r="W43">
        <v>2</v>
      </c>
      <c r="X43" s="21">
        <v>2</v>
      </c>
      <c r="Y43" s="128">
        <v>2</v>
      </c>
      <c r="Z43" s="54">
        <v>2</v>
      </c>
      <c r="AA43" s="64">
        <v>1</v>
      </c>
      <c r="AB43" s="69">
        <v>2</v>
      </c>
      <c r="AC43" s="127">
        <v>2</v>
      </c>
      <c r="AD43">
        <f t="shared" si="1"/>
        <v>24</v>
      </c>
    </row>
    <row r="44" spans="1:30" x14ac:dyDescent="0.15">
      <c r="A44" s="2" t="s">
        <v>197</v>
      </c>
      <c r="C44" s="21"/>
      <c r="D44" s="128"/>
      <c r="E44" s="54"/>
      <c r="F44" s="64"/>
      <c r="G44" s="69">
        <v>1</v>
      </c>
      <c r="H44" s="127"/>
      <c r="J44" s="21"/>
      <c r="K44" s="128"/>
      <c r="L44" s="54"/>
      <c r="M44" s="64"/>
      <c r="N44" s="69"/>
      <c r="O44" s="127"/>
      <c r="Q44" s="21"/>
      <c r="R44" s="128">
        <v>1</v>
      </c>
      <c r="S44" s="54">
        <v>1</v>
      </c>
      <c r="T44" s="64"/>
      <c r="U44" s="69"/>
      <c r="V44" s="127"/>
      <c r="X44" s="21"/>
      <c r="Y44" s="128"/>
      <c r="Z44" s="54"/>
      <c r="AA44" s="64"/>
      <c r="AB44" s="69"/>
      <c r="AC44" s="127"/>
      <c r="AD44">
        <f t="shared" si="1"/>
        <v>3</v>
      </c>
    </row>
    <row r="45" spans="1:30" x14ac:dyDescent="0.15">
      <c r="A45" s="2" t="s">
        <v>196</v>
      </c>
      <c r="C45" s="21">
        <v>2</v>
      </c>
      <c r="D45" s="128">
        <v>2</v>
      </c>
      <c r="E45" s="54">
        <v>2</v>
      </c>
      <c r="F45" s="64">
        <v>3</v>
      </c>
      <c r="G45" s="69">
        <v>3</v>
      </c>
      <c r="H45" s="127">
        <v>2</v>
      </c>
      <c r="J45" s="21"/>
      <c r="K45" s="128"/>
      <c r="L45" s="54"/>
      <c r="M45" s="64"/>
      <c r="N45" s="69"/>
      <c r="O45" s="127"/>
      <c r="Q45" s="21"/>
      <c r="R45" s="128"/>
      <c r="S45" s="54"/>
      <c r="T45" s="64"/>
      <c r="U45" s="69">
        <v>1</v>
      </c>
      <c r="V45" s="127">
        <v>1</v>
      </c>
      <c r="X45" s="21"/>
      <c r="Y45" s="128"/>
      <c r="Z45" s="54"/>
      <c r="AA45" s="64">
        <v>1</v>
      </c>
      <c r="AB45" s="69">
        <v>1</v>
      </c>
      <c r="AC45" s="127">
        <v>1</v>
      </c>
      <c r="AD45">
        <f t="shared" si="1"/>
        <v>11</v>
      </c>
    </row>
    <row r="46" spans="1:30" x14ac:dyDescent="0.15">
      <c r="A46" s="5" t="s">
        <v>198</v>
      </c>
      <c r="C46" s="21">
        <v>2</v>
      </c>
      <c r="D46" s="128">
        <v>2</v>
      </c>
      <c r="E46" s="54">
        <v>2</v>
      </c>
      <c r="F46" s="64">
        <v>2</v>
      </c>
      <c r="G46" s="69">
        <v>2</v>
      </c>
      <c r="H46" s="127">
        <v>1</v>
      </c>
      <c r="J46" s="21"/>
      <c r="K46" s="128"/>
      <c r="L46" s="54"/>
      <c r="M46" s="64">
        <v>1</v>
      </c>
      <c r="N46" s="69">
        <v>1</v>
      </c>
      <c r="O46" s="127">
        <v>1</v>
      </c>
      <c r="Q46" s="21"/>
      <c r="R46" s="128"/>
      <c r="S46" s="54">
        <v>1</v>
      </c>
      <c r="T46" s="64">
        <v>1</v>
      </c>
      <c r="U46" s="69"/>
      <c r="V46" s="127"/>
      <c r="X46" s="21"/>
      <c r="Y46" s="128"/>
      <c r="Z46" s="54"/>
      <c r="AA46" s="64">
        <v>1</v>
      </c>
      <c r="AB46" s="69"/>
      <c r="AC46" s="127">
        <v>1</v>
      </c>
      <c r="AD46">
        <f t="shared" si="1"/>
        <v>13</v>
      </c>
    </row>
    <row r="47" spans="1:30" x14ac:dyDescent="0.15">
      <c r="A47" s="2" t="s">
        <v>35</v>
      </c>
      <c r="B47">
        <v>2</v>
      </c>
      <c r="C47" s="21"/>
      <c r="D47" s="128">
        <v>1</v>
      </c>
      <c r="E47" s="54">
        <v>1</v>
      </c>
      <c r="F47" s="64"/>
      <c r="G47" s="69">
        <v>1</v>
      </c>
      <c r="H47" s="127"/>
      <c r="J47" s="21"/>
      <c r="K47" s="128"/>
      <c r="L47" s="54"/>
      <c r="M47" s="64"/>
      <c r="N47" s="69">
        <v>1</v>
      </c>
      <c r="O47" s="127"/>
      <c r="Q47" s="21">
        <v>1</v>
      </c>
      <c r="R47" s="128">
        <v>1</v>
      </c>
      <c r="S47" s="54">
        <v>1</v>
      </c>
      <c r="T47" s="64">
        <v>1</v>
      </c>
      <c r="U47" s="69">
        <v>1</v>
      </c>
      <c r="V47" s="127"/>
      <c r="W47">
        <v>1</v>
      </c>
      <c r="X47" s="21">
        <v>1</v>
      </c>
      <c r="Y47" s="128">
        <v>1</v>
      </c>
      <c r="Z47" s="54">
        <v>1</v>
      </c>
      <c r="AA47" s="64">
        <v>1</v>
      </c>
      <c r="AB47" s="69">
        <v>1</v>
      </c>
      <c r="AC47" s="127">
        <v>2</v>
      </c>
      <c r="AD47">
        <f t="shared" si="1"/>
        <v>17</v>
      </c>
    </row>
    <row r="48" spans="1:30" x14ac:dyDescent="0.15">
      <c r="A48" s="2" t="s">
        <v>110</v>
      </c>
      <c r="C48" s="21"/>
      <c r="D48" s="128"/>
      <c r="E48" s="54"/>
      <c r="F48" s="64"/>
      <c r="G48" s="69"/>
      <c r="H48" s="127"/>
      <c r="J48" s="21"/>
      <c r="K48" s="128"/>
      <c r="L48" s="54"/>
      <c r="M48" s="64"/>
      <c r="N48" s="69"/>
      <c r="O48" s="127"/>
      <c r="Q48" s="21"/>
      <c r="R48" s="128"/>
      <c r="S48" s="54"/>
      <c r="T48" s="64"/>
      <c r="U48" s="69"/>
      <c r="V48" s="127"/>
      <c r="X48" s="21"/>
      <c r="Y48" s="128"/>
      <c r="Z48" s="54"/>
      <c r="AA48" s="64"/>
      <c r="AB48" s="69"/>
      <c r="AC48" s="127"/>
      <c r="AD48">
        <f t="shared" si="1"/>
        <v>0</v>
      </c>
    </row>
    <row r="49" spans="1:30" x14ac:dyDescent="0.15">
      <c r="A49" s="2" t="s">
        <v>25</v>
      </c>
      <c r="B49">
        <v>1</v>
      </c>
      <c r="C49" s="21">
        <v>1</v>
      </c>
      <c r="D49" s="128"/>
      <c r="E49" s="54"/>
      <c r="F49" s="64">
        <v>1</v>
      </c>
      <c r="G49" s="69">
        <v>2</v>
      </c>
      <c r="H49" s="127">
        <v>1</v>
      </c>
      <c r="I49">
        <v>5</v>
      </c>
      <c r="J49" s="21">
        <v>5</v>
      </c>
      <c r="K49" s="128">
        <v>5</v>
      </c>
      <c r="L49" s="54">
        <v>4</v>
      </c>
      <c r="M49" s="64">
        <v>4</v>
      </c>
      <c r="N49" s="69">
        <v>3</v>
      </c>
      <c r="O49" s="127">
        <v>5</v>
      </c>
      <c r="Q49" s="21"/>
      <c r="R49" s="128"/>
      <c r="S49" s="54"/>
      <c r="T49" s="64"/>
      <c r="U49" s="69"/>
      <c r="V49" s="127"/>
      <c r="X49" s="21"/>
      <c r="Y49" s="128"/>
      <c r="Z49" s="54"/>
      <c r="AA49" s="64"/>
      <c r="AB49" s="69"/>
      <c r="AC49" s="127"/>
      <c r="AD49">
        <f t="shared" si="1"/>
        <v>12</v>
      </c>
    </row>
    <row r="50" spans="1:30" x14ac:dyDescent="0.15">
      <c r="A50" s="2" t="s">
        <v>38</v>
      </c>
      <c r="B50">
        <v>1</v>
      </c>
      <c r="C50" s="21">
        <v>1</v>
      </c>
      <c r="D50" s="128"/>
      <c r="E50" s="54"/>
      <c r="F50" s="64"/>
      <c r="G50" s="69"/>
      <c r="H50" s="127"/>
      <c r="J50" s="21"/>
      <c r="K50" s="128"/>
      <c r="L50" s="54"/>
      <c r="M50" s="64"/>
      <c r="N50" s="69"/>
      <c r="O50" s="127"/>
      <c r="Q50" s="21"/>
      <c r="R50" s="128"/>
      <c r="S50" s="54"/>
      <c r="T50" s="64"/>
      <c r="U50" s="69"/>
      <c r="V50" s="127"/>
      <c r="X50" s="21"/>
      <c r="Y50" s="128"/>
      <c r="Z50" s="54">
        <v>1</v>
      </c>
      <c r="AA50" s="64"/>
      <c r="AB50" s="69"/>
      <c r="AC50" s="127">
        <v>1</v>
      </c>
      <c r="AD50">
        <f t="shared" si="1"/>
        <v>4</v>
      </c>
    </row>
    <row r="51" spans="1:30" x14ac:dyDescent="0.15">
      <c r="A51" s="2" t="s">
        <v>27</v>
      </c>
      <c r="C51" s="21">
        <v>1</v>
      </c>
      <c r="D51" s="128"/>
      <c r="E51" s="54">
        <v>2</v>
      </c>
      <c r="F51" s="64">
        <v>1</v>
      </c>
      <c r="G51" s="69">
        <v>1</v>
      </c>
      <c r="H51" s="127">
        <v>1</v>
      </c>
      <c r="J51" s="21"/>
      <c r="K51" s="128"/>
      <c r="L51" s="54">
        <v>1</v>
      </c>
      <c r="M51" s="64">
        <v>1</v>
      </c>
      <c r="N51" s="69">
        <v>1</v>
      </c>
      <c r="O51" s="127">
        <v>1</v>
      </c>
      <c r="Q51" s="21">
        <v>1</v>
      </c>
      <c r="R51" s="128"/>
      <c r="S51" s="54"/>
      <c r="T51" s="64">
        <v>1</v>
      </c>
      <c r="U51" s="69"/>
      <c r="V51" s="127"/>
      <c r="X51" s="21"/>
      <c r="Y51" s="128"/>
      <c r="Z51" s="54">
        <v>1</v>
      </c>
      <c r="AA51" s="64"/>
      <c r="AB51" s="69"/>
      <c r="AC51" s="127"/>
      <c r="AD51">
        <f t="shared" si="1"/>
        <v>12</v>
      </c>
    </row>
    <row r="52" spans="1:30" x14ac:dyDescent="0.15">
      <c r="A52" s="2" t="s">
        <v>229</v>
      </c>
      <c r="C52" s="21"/>
      <c r="D52" s="128"/>
      <c r="E52" s="54"/>
      <c r="F52" s="64"/>
      <c r="G52" s="69">
        <v>1</v>
      </c>
      <c r="H52" s="127">
        <v>1</v>
      </c>
      <c r="J52" s="21"/>
      <c r="K52" s="128"/>
      <c r="L52" s="54"/>
      <c r="M52" s="64"/>
      <c r="N52" s="69"/>
      <c r="O52" s="127"/>
      <c r="Q52" s="21"/>
      <c r="R52" s="128"/>
      <c r="S52" s="54"/>
      <c r="T52" s="64"/>
      <c r="U52" s="69"/>
      <c r="V52" s="127"/>
      <c r="X52" s="21"/>
      <c r="Y52" s="128"/>
      <c r="Z52" s="54"/>
      <c r="AA52" s="64"/>
      <c r="AB52" s="69"/>
      <c r="AC52" s="127"/>
      <c r="AD52">
        <f t="shared" si="1"/>
        <v>2</v>
      </c>
    </row>
    <row r="53" spans="1:30" x14ac:dyDescent="0.15">
      <c r="A53" s="2" t="s">
        <v>36</v>
      </c>
      <c r="C53" s="21"/>
      <c r="D53" s="128"/>
      <c r="E53" s="54"/>
      <c r="F53" s="64"/>
      <c r="G53" s="69"/>
      <c r="H53" s="127"/>
      <c r="J53" s="21"/>
      <c r="K53" s="128"/>
      <c r="L53" s="54"/>
      <c r="M53" s="64"/>
      <c r="N53" s="69"/>
      <c r="O53" s="127"/>
      <c r="Q53" s="21"/>
      <c r="R53" s="128"/>
      <c r="S53" s="54"/>
      <c r="T53" s="64"/>
      <c r="U53" s="69"/>
      <c r="V53" s="127"/>
      <c r="W53">
        <v>1</v>
      </c>
      <c r="X53" s="21">
        <v>1</v>
      </c>
      <c r="Y53" s="128"/>
      <c r="Z53" s="54"/>
      <c r="AA53" s="64"/>
      <c r="AB53" s="69"/>
      <c r="AC53" s="127"/>
      <c r="AD53">
        <f t="shared" si="1"/>
        <v>2</v>
      </c>
    </row>
    <row r="54" spans="1:30" x14ac:dyDescent="0.15">
      <c r="A54" s="2" t="s">
        <v>50</v>
      </c>
      <c r="C54" s="21"/>
      <c r="D54" s="128"/>
      <c r="E54" s="54">
        <v>2</v>
      </c>
      <c r="F54" s="64">
        <v>2</v>
      </c>
      <c r="G54" s="69">
        <v>1</v>
      </c>
      <c r="H54" s="127">
        <v>1</v>
      </c>
      <c r="J54" s="21"/>
      <c r="K54" s="128"/>
      <c r="L54" s="54"/>
      <c r="M54" s="64"/>
      <c r="N54" s="69"/>
      <c r="O54" s="127">
        <v>1</v>
      </c>
      <c r="Q54" s="21"/>
      <c r="R54" s="128"/>
      <c r="S54" s="54"/>
      <c r="T54" s="64"/>
      <c r="U54" s="69"/>
      <c r="V54" s="127"/>
      <c r="X54" s="21"/>
      <c r="Y54" s="128"/>
      <c r="Z54" s="54">
        <v>1</v>
      </c>
      <c r="AA54" s="64"/>
      <c r="AB54" s="69"/>
      <c r="AC54" s="127"/>
      <c r="AD54">
        <f t="shared" si="1"/>
        <v>6</v>
      </c>
    </row>
    <row r="55" spans="1:30" x14ac:dyDescent="0.15">
      <c r="A55" s="2" t="s">
        <v>231</v>
      </c>
      <c r="C55" s="21"/>
      <c r="D55" s="128"/>
      <c r="E55" s="54"/>
      <c r="F55" s="64"/>
      <c r="G55" s="69">
        <v>1</v>
      </c>
      <c r="H55" s="127"/>
      <c r="J55" s="21"/>
      <c r="K55" s="128"/>
      <c r="L55" s="54"/>
      <c r="M55" s="64"/>
      <c r="N55" s="69"/>
      <c r="O55" s="127">
        <v>1</v>
      </c>
      <c r="Q55" s="21"/>
      <c r="R55" s="128"/>
      <c r="S55" s="54"/>
      <c r="T55" s="64"/>
      <c r="U55" s="69"/>
      <c r="V55" s="127"/>
      <c r="X55" s="21"/>
      <c r="Y55" s="128"/>
      <c r="Z55" s="54"/>
      <c r="AA55" s="64"/>
      <c r="AB55" s="69"/>
      <c r="AC55" s="127"/>
      <c r="AD55">
        <f t="shared" si="1"/>
        <v>2</v>
      </c>
    </row>
    <row r="56" spans="1:30" x14ac:dyDescent="0.15">
      <c r="A56" s="2" t="s">
        <v>190</v>
      </c>
      <c r="C56" s="21"/>
      <c r="D56" s="128"/>
      <c r="E56" s="54"/>
      <c r="F56" s="64"/>
      <c r="G56" s="69"/>
      <c r="H56" s="127"/>
      <c r="J56" s="21"/>
      <c r="K56" s="128"/>
      <c r="L56" s="54"/>
      <c r="M56" s="64"/>
      <c r="N56" s="69"/>
      <c r="O56" s="127"/>
      <c r="Q56" s="21"/>
      <c r="R56" s="128"/>
      <c r="S56" s="54">
        <v>1</v>
      </c>
      <c r="T56" s="64">
        <v>1</v>
      </c>
      <c r="U56" s="69"/>
      <c r="V56" s="127"/>
      <c r="X56" s="21"/>
      <c r="Y56" s="128"/>
      <c r="Z56" s="54"/>
      <c r="AA56" s="64"/>
      <c r="AB56" s="69"/>
      <c r="AC56" s="127"/>
      <c r="AD56">
        <f t="shared" si="1"/>
        <v>2</v>
      </c>
    </row>
    <row r="57" spans="1:30" x14ac:dyDescent="0.15">
      <c r="A57" s="2" t="s">
        <v>58</v>
      </c>
      <c r="C57" s="21"/>
      <c r="D57" s="128"/>
      <c r="E57" s="54">
        <v>1</v>
      </c>
      <c r="F57" s="64">
        <v>1</v>
      </c>
      <c r="G57" s="69">
        <v>1</v>
      </c>
      <c r="H57" s="127"/>
      <c r="J57" s="21"/>
      <c r="K57" s="128"/>
      <c r="L57" s="54"/>
      <c r="M57" s="64"/>
      <c r="N57" s="69"/>
      <c r="O57" s="127"/>
      <c r="Q57" s="21"/>
      <c r="R57" s="128"/>
      <c r="S57" s="54"/>
      <c r="T57" s="64"/>
      <c r="U57" s="69"/>
      <c r="V57" s="127"/>
      <c r="X57" s="21"/>
      <c r="Y57" s="128"/>
      <c r="Z57" s="54">
        <v>1</v>
      </c>
      <c r="AA57" s="64"/>
      <c r="AB57" s="69"/>
      <c r="AC57" s="127"/>
      <c r="AD57">
        <f t="shared" si="1"/>
        <v>4</v>
      </c>
    </row>
    <row r="58" spans="1:30" x14ac:dyDescent="0.15">
      <c r="A58" s="2" t="s">
        <v>57</v>
      </c>
      <c r="C58" s="21"/>
      <c r="D58" s="128"/>
      <c r="E58" s="54"/>
      <c r="F58" s="64"/>
      <c r="G58" s="69"/>
      <c r="H58" s="127"/>
      <c r="J58" s="21"/>
      <c r="K58" s="128"/>
      <c r="L58" s="54"/>
      <c r="M58" s="64"/>
      <c r="N58" s="69"/>
      <c r="O58" s="127"/>
      <c r="Q58" s="21"/>
      <c r="R58" s="128"/>
      <c r="S58" s="54"/>
      <c r="T58" s="64"/>
      <c r="U58" s="69"/>
      <c r="V58" s="127"/>
      <c r="X58" s="21"/>
      <c r="Y58" s="128"/>
      <c r="Z58" s="54"/>
      <c r="AA58" s="64"/>
      <c r="AB58" s="69"/>
      <c r="AC58" s="127"/>
      <c r="AD58">
        <f t="shared" si="1"/>
        <v>0</v>
      </c>
    </row>
    <row r="59" spans="1:30" x14ac:dyDescent="0.15">
      <c r="A59" s="2" t="s">
        <v>28</v>
      </c>
      <c r="B59">
        <v>1</v>
      </c>
      <c r="C59" s="21">
        <v>1</v>
      </c>
      <c r="D59" s="128"/>
      <c r="E59" s="54"/>
      <c r="F59" s="64"/>
      <c r="G59" s="69" t="s">
        <v>192</v>
      </c>
      <c r="H59" s="127"/>
      <c r="J59" s="21"/>
      <c r="K59" s="128"/>
      <c r="L59" s="54"/>
      <c r="M59" s="64"/>
      <c r="N59" s="69"/>
      <c r="O59" s="127"/>
      <c r="Q59" s="21"/>
      <c r="R59" s="128"/>
      <c r="S59" s="54"/>
      <c r="T59" s="64"/>
      <c r="U59" s="69"/>
      <c r="V59" s="127"/>
      <c r="X59" s="21"/>
      <c r="Y59" s="128"/>
      <c r="Z59" s="54"/>
      <c r="AA59" s="64"/>
      <c r="AB59" s="69"/>
      <c r="AC59" s="127"/>
      <c r="AD59">
        <f t="shared" si="1"/>
        <v>3</v>
      </c>
    </row>
    <row r="60" spans="1:30" x14ac:dyDescent="0.15">
      <c r="A60" s="2" t="s">
        <v>194</v>
      </c>
      <c r="C60" s="21">
        <v>1</v>
      </c>
      <c r="D60" s="128"/>
      <c r="E60" s="54">
        <v>1</v>
      </c>
      <c r="F60" s="64"/>
      <c r="G60" s="69">
        <v>1</v>
      </c>
      <c r="H60" s="127">
        <v>1</v>
      </c>
      <c r="J60" s="21">
        <v>3</v>
      </c>
      <c r="K60" s="128"/>
      <c r="L60" s="54">
        <v>3</v>
      </c>
      <c r="M60" s="64">
        <v>3</v>
      </c>
      <c r="N60" s="69">
        <v>2</v>
      </c>
      <c r="O60" s="127">
        <v>1</v>
      </c>
      <c r="Q60" s="21"/>
      <c r="R60" s="128"/>
      <c r="S60" s="54"/>
      <c r="T60" s="64"/>
      <c r="U60" s="69"/>
      <c r="V60" s="127"/>
      <c r="X60" s="21"/>
      <c r="Y60" s="128"/>
      <c r="Z60" s="54"/>
      <c r="AA60" s="64"/>
      <c r="AB60" s="69"/>
      <c r="AC60" s="127"/>
      <c r="AD60">
        <f t="shared" si="1"/>
        <v>9</v>
      </c>
    </row>
    <row r="61" spans="1:30" x14ac:dyDescent="0.15">
      <c r="A61" s="2" t="s">
        <v>10</v>
      </c>
      <c r="C61" s="21"/>
      <c r="D61" s="128"/>
      <c r="E61" s="54"/>
      <c r="F61" s="64"/>
      <c r="G61" s="69"/>
      <c r="H61" s="127"/>
      <c r="J61" s="21"/>
      <c r="K61" s="128"/>
      <c r="L61" s="54"/>
      <c r="M61" s="64"/>
      <c r="N61" s="69"/>
      <c r="O61" s="127"/>
      <c r="Q61" s="21"/>
      <c r="R61" s="128"/>
      <c r="S61" s="54"/>
      <c r="T61" s="64"/>
      <c r="U61" s="69"/>
      <c r="V61" s="127"/>
      <c r="W61">
        <v>1</v>
      </c>
      <c r="X61" s="21"/>
      <c r="Y61" s="128"/>
      <c r="Z61" s="54"/>
      <c r="AA61" s="64"/>
      <c r="AB61" s="69"/>
      <c r="AC61" s="127"/>
      <c r="AD61">
        <f t="shared" si="1"/>
        <v>1</v>
      </c>
    </row>
    <row r="62" spans="1:30" x14ac:dyDescent="0.15">
      <c r="A62" s="5" t="s">
        <v>174</v>
      </c>
      <c r="B62" s="4"/>
      <c r="C62" s="138">
        <v>1</v>
      </c>
      <c r="D62" s="128"/>
      <c r="E62" s="54">
        <v>1</v>
      </c>
      <c r="F62" s="118"/>
      <c r="G62" s="146"/>
      <c r="H62" s="170"/>
      <c r="I62" s="4"/>
      <c r="J62" s="138">
        <v>1</v>
      </c>
      <c r="K62" s="128">
        <v>1</v>
      </c>
      <c r="L62" s="54">
        <v>1</v>
      </c>
      <c r="M62" s="113"/>
      <c r="N62" s="145">
        <v>1</v>
      </c>
      <c r="O62" s="169">
        <v>2</v>
      </c>
      <c r="P62" s="4"/>
      <c r="Q62" s="138"/>
      <c r="R62" s="128">
        <v>1</v>
      </c>
      <c r="S62" s="54">
        <v>1</v>
      </c>
      <c r="T62" s="118"/>
      <c r="U62" s="146"/>
      <c r="V62" s="170">
        <v>1</v>
      </c>
      <c r="W62" s="4">
        <v>1</v>
      </c>
      <c r="X62" s="138">
        <v>2</v>
      </c>
      <c r="Y62" s="128">
        <v>1</v>
      </c>
      <c r="Z62" s="54">
        <v>1</v>
      </c>
      <c r="AA62" s="113"/>
      <c r="AB62" s="145"/>
      <c r="AC62" s="169">
        <v>1</v>
      </c>
      <c r="AD62">
        <f t="shared" si="1"/>
        <v>15</v>
      </c>
    </row>
    <row r="63" spans="1:30" x14ac:dyDescent="0.15">
      <c r="A63" s="2" t="s">
        <v>22</v>
      </c>
      <c r="C63" s="21"/>
      <c r="D63" s="128"/>
      <c r="E63" s="54"/>
      <c r="F63" s="64"/>
      <c r="G63" s="69"/>
      <c r="H63" s="127"/>
      <c r="J63" s="21">
        <v>1</v>
      </c>
      <c r="K63" s="128"/>
      <c r="L63" s="54"/>
      <c r="M63" s="64"/>
      <c r="N63" s="69">
        <v>1</v>
      </c>
      <c r="O63" s="127"/>
      <c r="Q63" s="21">
        <v>1</v>
      </c>
      <c r="R63" s="128"/>
      <c r="S63" s="54"/>
      <c r="T63" s="64"/>
      <c r="U63" s="69">
        <v>1</v>
      </c>
      <c r="V63" s="127">
        <v>1</v>
      </c>
      <c r="X63" s="21"/>
      <c r="Y63" s="128"/>
      <c r="Z63" s="54"/>
      <c r="AA63" s="64">
        <v>1</v>
      </c>
      <c r="AB63" s="69">
        <v>1</v>
      </c>
      <c r="AC63" s="127"/>
      <c r="AD63">
        <f t="shared" si="1"/>
        <v>7</v>
      </c>
    </row>
    <row r="64" spans="1:30" x14ac:dyDescent="0.15">
      <c r="A64" s="5" t="s">
        <v>132</v>
      </c>
      <c r="C64" s="21"/>
      <c r="D64" s="128"/>
      <c r="E64" s="54"/>
      <c r="F64" s="64">
        <v>1</v>
      </c>
      <c r="G64" s="69"/>
      <c r="H64" s="127"/>
      <c r="J64" s="21"/>
      <c r="K64" s="128"/>
      <c r="L64" s="54"/>
      <c r="M64" s="64"/>
      <c r="N64" s="69"/>
      <c r="O64" s="127"/>
      <c r="Q64" s="21"/>
      <c r="R64" s="128"/>
      <c r="S64" s="54"/>
      <c r="T64" s="64"/>
      <c r="U64" s="69"/>
      <c r="V64" s="127"/>
      <c r="X64" s="21"/>
      <c r="Y64" s="128"/>
      <c r="Z64" s="54"/>
      <c r="AA64" s="64"/>
      <c r="AB64" s="69"/>
      <c r="AC64" s="127"/>
      <c r="AD64">
        <f t="shared" si="1"/>
        <v>1</v>
      </c>
    </row>
    <row r="65" spans="1:30" x14ac:dyDescent="0.15">
      <c r="A65" s="5" t="s">
        <v>191</v>
      </c>
      <c r="C65" s="21"/>
      <c r="D65" s="128"/>
      <c r="E65" s="54"/>
      <c r="F65" s="64"/>
      <c r="G65" s="69"/>
      <c r="H65" s="127"/>
      <c r="J65" s="21"/>
      <c r="K65" s="128"/>
      <c r="L65" s="54"/>
      <c r="M65" s="64"/>
      <c r="N65" s="69"/>
      <c r="O65" s="127"/>
      <c r="Q65" s="21"/>
      <c r="R65" s="128"/>
      <c r="S65" s="54"/>
      <c r="T65" s="64"/>
      <c r="U65" s="69"/>
      <c r="V65" s="127"/>
      <c r="X65" s="21"/>
      <c r="Y65" s="128"/>
      <c r="Z65" s="54"/>
      <c r="AA65" s="64"/>
      <c r="AB65" s="69"/>
      <c r="AC65" s="127"/>
      <c r="AD65">
        <f t="shared" si="1"/>
        <v>0</v>
      </c>
    </row>
    <row r="66" spans="1:30" x14ac:dyDescent="0.15">
      <c r="A66" s="5" t="s">
        <v>218</v>
      </c>
      <c r="C66" s="21"/>
      <c r="D66" s="128"/>
      <c r="E66" s="54"/>
      <c r="F66" s="64"/>
      <c r="G66" s="69"/>
      <c r="H66" s="127"/>
      <c r="J66" s="21"/>
      <c r="K66" s="128"/>
      <c r="L66" s="54"/>
      <c r="M66" s="64">
        <v>1</v>
      </c>
      <c r="N66" s="69">
        <v>1</v>
      </c>
      <c r="O66" s="127"/>
      <c r="Q66" s="21"/>
      <c r="R66" s="128"/>
      <c r="S66" s="54"/>
      <c r="T66" s="64"/>
      <c r="U66" s="69"/>
      <c r="V66" s="127">
        <v>1</v>
      </c>
      <c r="X66" s="21"/>
      <c r="Y66" s="128"/>
      <c r="Z66" s="54"/>
      <c r="AA66" s="64"/>
      <c r="AB66" s="69"/>
      <c r="AC66" s="127"/>
      <c r="AD66">
        <f t="shared" si="1"/>
        <v>3</v>
      </c>
    </row>
    <row r="67" spans="1:30" x14ac:dyDescent="0.15">
      <c r="A67" s="5" t="s">
        <v>203</v>
      </c>
      <c r="C67" s="21"/>
      <c r="D67" s="128"/>
      <c r="E67" s="54"/>
      <c r="F67" s="64"/>
      <c r="G67" s="69"/>
      <c r="H67" s="127"/>
      <c r="J67" s="21"/>
      <c r="K67" s="128"/>
      <c r="L67" s="54"/>
      <c r="M67" s="64"/>
      <c r="N67" s="69"/>
      <c r="O67" s="127"/>
      <c r="Q67" s="21"/>
      <c r="R67" s="128"/>
      <c r="S67" s="54"/>
      <c r="T67" s="64"/>
      <c r="U67" s="69"/>
      <c r="V67" s="127"/>
      <c r="X67" s="21"/>
      <c r="Y67" s="128"/>
      <c r="Z67" s="54"/>
      <c r="AA67" s="64"/>
      <c r="AB67" s="69"/>
      <c r="AC67" s="127"/>
      <c r="AD67">
        <f t="shared" si="1"/>
        <v>0</v>
      </c>
    </row>
    <row r="68" spans="1:30" x14ac:dyDescent="0.15">
      <c r="A68" s="2" t="s">
        <v>23</v>
      </c>
      <c r="C68" s="21"/>
      <c r="D68" s="128"/>
      <c r="E68" s="54"/>
      <c r="F68" s="64"/>
      <c r="G68" s="69"/>
      <c r="H68" s="127"/>
      <c r="J68" s="21"/>
      <c r="K68" s="128"/>
      <c r="L68" s="54"/>
      <c r="M68" s="64"/>
      <c r="N68" s="69"/>
      <c r="O68" s="127"/>
      <c r="Q68" s="21"/>
      <c r="R68" s="128"/>
      <c r="S68" s="54"/>
      <c r="T68" s="64"/>
      <c r="U68" s="69"/>
      <c r="V68" s="127"/>
      <c r="X68" s="21"/>
      <c r="Y68" s="128"/>
      <c r="Z68" s="54"/>
      <c r="AA68" s="64"/>
      <c r="AB68" s="69"/>
      <c r="AC68" s="127"/>
      <c r="AD68">
        <f t="shared" si="1"/>
        <v>0</v>
      </c>
    </row>
    <row r="69" spans="1:30" x14ac:dyDescent="0.15">
      <c r="A69" s="2" t="s">
        <v>208</v>
      </c>
      <c r="C69" s="21"/>
      <c r="D69" s="128"/>
      <c r="E69" s="54"/>
      <c r="F69" s="64"/>
      <c r="G69" s="69"/>
      <c r="H69" s="127">
        <v>1</v>
      </c>
      <c r="J69" s="21"/>
      <c r="K69" s="128"/>
      <c r="L69" s="54"/>
      <c r="M69" s="64"/>
      <c r="N69" s="69"/>
      <c r="O69" s="127"/>
      <c r="Q69" s="21"/>
      <c r="R69" s="128"/>
      <c r="S69" s="54"/>
      <c r="T69" s="64"/>
      <c r="U69" s="69"/>
      <c r="V69" s="127"/>
      <c r="X69" s="21"/>
      <c r="Y69" s="128"/>
      <c r="Z69" s="54"/>
      <c r="AA69" s="64"/>
      <c r="AB69" s="69"/>
      <c r="AC69" s="127"/>
      <c r="AD69">
        <f t="shared" si="1"/>
        <v>1</v>
      </c>
    </row>
    <row r="70" spans="1:30" x14ac:dyDescent="0.15">
      <c r="A70" s="2" t="s">
        <v>41</v>
      </c>
      <c r="C70" s="21"/>
      <c r="D70" s="128"/>
      <c r="E70" s="54"/>
      <c r="F70" s="64"/>
      <c r="G70" s="69"/>
      <c r="H70" s="127"/>
      <c r="J70" s="21"/>
      <c r="K70" s="128"/>
      <c r="L70" s="54"/>
      <c r="M70" s="64"/>
      <c r="N70" s="69"/>
      <c r="O70" s="127"/>
      <c r="Q70" s="21"/>
      <c r="R70" s="128"/>
      <c r="S70" s="54"/>
      <c r="T70" s="64"/>
      <c r="U70" s="69"/>
      <c r="V70" s="127"/>
      <c r="W70">
        <v>1</v>
      </c>
      <c r="X70" s="21"/>
      <c r="Y70" s="128"/>
      <c r="Z70" s="54"/>
      <c r="AA70" s="64">
        <v>1</v>
      </c>
      <c r="AB70" s="69"/>
      <c r="AC70" s="127"/>
      <c r="AD70">
        <f t="shared" si="1"/>
        <v>2</v>
      </c>
    </row>
    <row r="71" spans="1:30" x14ac:dyDescent="0.15">
      <c r="A71" s="5" t="s">
        <v>95</v>
      </c>
      <c r="C71" s="21"/>
      <c r="D71" s="128"/>
      <c r="E71" s="54"/>
      <c r="F71" s="64"/>
      <c r="G71" s="69"/>
      <c r="H71" s="127"/>
      <c r="J71" s="21"/>
      <c r="K71" s="128"/>
      <c r="L71" s="54"/>
      <c r="M71" s="64"/>
      <c r="N71" s="69"/>
      <c r="O71" s="127"/>
      <c r="Q71" s="21"/>
      <c r="R71" s="128"/>
      <c r="S71" s="54"/>
      <c r="T71" s="64"/>
      <c r="U71" s="69"/>
      <c r="V71" s="127"/>
      <c r="X71" s="21"/>
      <c r="Y71" s="128"/>
      <c r="Z71" s="54"/>
      <c r="AA71" s="64"/>
      <c r="AB71" s="69"/>
      <c r="AC71" s="127"/>
      <c r="AD71">
        <f t="shared" ref="AD71:AD84" si="2">COUNTA(B71:AC71)</f>
        <v>0</v>
      </c>
    </row>
    <row r="72" spans="1:30" x14ac:dyDescent="0.15">
      <c r="A72" s="5" t="s">
        <v>111</v>
      </c>
      <c r="C72" s="21"/>
      <c r="D72" s="128"/>
      <c r="E72" s="54"/>
      <c r="F72" s="64"/>
      <c r="G72" s="69"/>
      <c r="H72" s="127"/>
      <c r="J72" s="21"/>
      <c r="K72" s="128"/>
      <c r="L72" s="54"/>
      <c r="M72" s="64"/>
      <c r="N72" s="69"/>
      <c r="O72" s="127"/>
      <c r="Q72" s="21"/>
      <c r="R72" s="128"/>
      <c r="S72" s="54"/>
      <c r="T72" s="64"/>
      <c r="U72" s="69"/>
      <c r="V72" s="127"/>
      <c r="X72" s="21"/>
      <c r="Y72" s="128"/>
      <c r="Z72" s="54"/>
      <c r="AA72" s="64"/>
      <c r="AB72" s="69"/>
      <c r="AC72" s="127"/>
      <c r="AD72">
        <f t="shared" si="2"/>
        <v>0</v>
      </c>
    </row>
    <row r="73" spans="1:30" x14ac:dyDescent="0.15">
      <c r="A73" s="2" t="s">
        <v>7</v>
      </c>
      <c r="B73">
        <v>2</v>
      </c>
      <c r="C73" s="21">
        <v>1</v>
      </c>
      <c r="D73" s="128">
        <v>1</v>
      </c>
      <c r="E73" s="54">
        <v>1</v>
      </c>
      <c r="F73" s="64">
        <v>1</v>
      </c>
      <c r="G73" s="69">
        <v>1</v>
      </c>
      <c r="H73" s="127">
        <v>1</v>
      </c>
      <c r="J73" s="21"/>
      <c r="K73" s="128">
        <v>1</v>
      </c>
      <c r="L73" s="54"/>
      <c r="M73" s="64">
        <v>1</v>
      </c>
      <c r="N73" s="69">
        <v>1</v>
      </c>
      <c r="O73" s="127">
        <v>1</v>
      </c>
      <c r="P73">
        <v>1</v>
      </c>
      <c r="Q73" s="21">
        <v>2</v>
      </c>
      <c r="R73" s="128">
        <v>1</v>
      </c>
      <c r="S73" s="54">
        <v>2</v>
      </c>
      <c r="T73" s="64">
        <v>2</v>
      </c>
      <c r="U73" s="69">
        <v>1</v>
      </c>
      <c r="V73" s="127">
        <v>1</v>
      </c>
      <c r="W73">
        <v>2</v>
      </c>
      <c r="X73" s="21">
        <v>2</v>
      </c>
      <c r="Y73" s="128">
        <v>1</v>
      </c>
      <c r="Z73" s="54">
        <v>1</v>
      </c>
      <c r="AA73" s="64"/>
      <c r="AB73" s="69">
        <v>1</v>
      </c>
      <c r="AC73" s="127">
        <v>1</v>
      </c>
      <c r="AD73">
        <f t="shared" si="2"/>
        <v>24</v>
      </c>
    </row>
    <row r="74" spans="1:30" x14ac:dyDescent="0.15">
      <c r="A74" s="2" t="s">
        <v>32</v>
      </c>
      <c r="B74">
        <v>1</v>
      </c>
      <c r="C74" s="21"/>
      <c r="D74" s="128"/>
      <c r="E74" s="54"/>
      <c r="F74" s="64"/>
      <c r="G74" s="69"/>
      <c r="H74" s="127"/>
      <c r="J74" s="21"/>
      <c r="K74" s="128"/>
      <c r="L74" s="54"/>
      <c r="M74" s="64"/>
      <c r="N74" s="69"/>
      <c r="O74" s="127"/>
      <c r="Q74" s="21"/>
      <c r="R74" s="128"/>
      <c r="S74" s="54"/>
      <c r="T74" s="64"/>
      <c r="U74" s="69"/>
      <c r="V74" s="127"/>
      <c r="W74">
        <v>1</v>
      </c>
      <c r="X74" s="21"/>
      <c r="Y74" s="128"/>
      <c r="Z74" s="54"/>
      <c r="AA74" s="64"/>
      <c r="AB74" s="69"/>
      <c r="AC74" s="127"/>
      <c r="AD74">
        <f t="shared" si="2"/>
        <v>2</v>
      </c>
    </row>
    <row r="75" spans="1:30" x14ac:dyDescent="0.15">
      <c r="A75" s="5" t="s">
        <v>72</v>
      </c>
      <c r="C75" s="21"/>
      <c r="D75" s="128">
        <v>1</v>
      </c>
      <c r="E75" s="54">
        <v>1</v>
      </c>
      <c r="F75" s="64"/>
      <c r="G75" s="69"/>
      <c r="H75" s="127"/>
      <c r="J75" s="21"/>
      <c r="K75" s="128"/>
      <c r="L75" s="54">
        <v>1</v>
      </c>
      <c r="M75" s="64"/>
      <c r="N75" s="69"/>
      <c r="O75" s="127"/>
      <c r="Q75" s="21"/>
      <c r="R75" s="128">
        <v>1</v>
      </c>
      <c r="S75" s="54"/>
      <c r="T75" s="64"/>
      <c r="U75" s="69"/>
      <c r="V75" s="127"/>
      <c r="X75" s="21"/>
      <c r="Y75" s="128"/>
      <c r="Z75" s="54"/>
      <c r="AA75" s="64"/>
      <c r="AB75" s="69"/>
      <c r="AC75" s="127"/>
      <c r="AD75">
        <f t="shared" si="2"/>
        <v>4</v>
      </c>
    </row>
    <row r="76" spans="1:30" x14ac:dyDescent="0.15">
      <c r="A76" s="5" t="s">
        <v>61</v>
      </c>
      <c r="C76" s="21"/>
      <c r="D76" s="128"/>
      <c r="E76" s="54"/>
      <c r="F76" s="64"/>
      <c r="G76" s="69"/>
      <c r="H76" s="127"/>
      <c r="J76" s="21"/>
      <c r="K76" s="128"/>
      <c r="L76" s="54"/>
      <c r="M76" s="64"/>
      <c r="N76" s="69"/>
      <c r="O76" s="127"/>
      <c r="Q76" s="21"/>
      <c r="R76" s="128"/>
      <c r="S76" s="54"/>
      <c r="T76" s="64"/>
      <c r="U76" s="69"/>
      <c r="V76" s="127"/>
      <c r="X76" s="21"/>
      <c r="Y76" s="128"/>
      <c r="Z76" s="54"/>
      <c r="AA76" s="64"/>
      <c r="AB76" s="69"/>
      <c r="AC76" s="127"/>
      <c r="AD76">
        <f t="shared" si="2"/>
        <v>0</v>
      </c>
    </row>
    <row r="77" spans="1:30" x14ac:dyDescent="0.15">
      <c r="A77" s="5" t="s">
        <v>42</v>
      </c>
      <c r="C77" s="21"/>
      <c r="D77" s="128"/>
      <c r="E77" s="54"/>
      <c r="F77" s="64"/>
      <c r="G77" s="69"/>
      <c r="H77" s="127"/>
      <c r="J77" s="21"/>
      <c r="K77" s="128"/>
      <c r="L77" s="54">
        <v>1</v>
      </c>
      <c r="M77" s="64"/>
      <c r="N77" s="69"/>
      <c r="O77" s="127"/>
      <c r="Q77" s="21"/>
      <c r="R77" s="128"/>
      <c r="S77" s="54"/>
      <c r="T77" s="64"/>
      <c r="U77" s="69"/>
      <c r="V77" s="127"/>
      <c r="X77" s="21"/>
      <c r="Y77" s="128"/>
      <c r="Z77" s="54"/>
      <c r="AA77" s="64"/>
      <c r="AB77" s="69"/>
      <c r="AC77" s="127"/>
      <c r="AD77">
        <f t="shared" si="2"/>
        <v>1</v>
      </c>
    </row>
    <row r="78" spans="1:30" x14ac:dyDescent="0.15">
      <c r="A78" s="5" t="s">
        <v>205</v>
      </c>
      <c r="C78" s="21"/>
      <c r="D78" s="128"/>
      <c r="E78" s="54"/>
      <c r="F78" s="64"/>
      <c r="G78" s="69"/>
      <c r="H78" s="127"/>
      <c r="J78" s="21"/>
      <c r="K78" s="128"/>
      <c r="L78" s="54"/>
      <c r="M78" s="64"/>
      <c r="N78" s="69"/>
      <c r="O78" s="127"/>
      <c r="Q78" s="21"/>
      <c r="R78" s="128"/>
      <c r="S78" s="54"/>
      <c r="T78" s="64"/>
      <c r="U78" s="69"/>
      <c r="V78" s="127"/>
      <c r="X78" s="21"/>
      <c r="Y78" s="128"/>
      <c r="Z78" s="54"/>
      <c r="AA78" s="64"/>
      <c r="AB78" s="69"/>
      <c r="AC78" s="127"/>
      <c r="AD78">
        <f t="shared" si="2"/>
        <v>0</v>
      </c>
    </row>
    <row r="79" spans="1:30" x14ac:dyDescent="0.15">
      <c r="A79" s="2" t="s">
        <v>213</v>
      </c>
      <c r="C79" s="21"/>
      <c r="D79" s="128"/>
      <c r="E79" s="54"/>
      <c r="F79" s="64"/>
      <c r="G79" s="69"/>
      <c r="H79" s="127"/>
      <c r="J79" s="21"/>
      <c r="K79" s="128"/>
      <c r="L79" s="54"/>
      <c r="M79" s="64"/>
      <c r="N79" s="69"/>
      <c r="O79" s="127"/>
      <c r="Q79" s="21"/>
      <c r="R79" s="128"/>
      <c r="S79" s="54"/>
      <c r="T79" s="64"/>
      <c r="U79" s="69"/>
      <c r="V79" s="127"/>
      <c r="X79" s="21"/>
      <c r="Y79" s="128"/>
      <c r="Z79" s="54"/>
      <c r="AA79" s="64"/>
      <c r="AB79" s="69"/>
      <c r="AC79" s="127"/>
      <c r="AD79">
        <f t="shared" si="2"/>
        <v>0</v>
      </c>
    </row>
    <row r="80" spans="1:30" x14ac:dyDescent="0.15">
      <c r="A80" s="5" t="s">
        <v>96</v>
      </c>
      <c r="C80" s="21"/>
      <c r="D80" s="128"/>
      <c r="E80" s="54">
        <v>1</v>
      </c>
      <c r="F80" s="64"/>
      <c r="G80" s="69"/>
      <c r="H80" s="127"/>
      <c r="J80" s="21"/>
      <c r="K80" s="128"/>
      <c r="L80" s="54"/>
      <c r="M80" s="64"/>
      <c r="N80" s="69"/>
      <c r="O80" s="127"/>
      <c r="Q80" s="21"/>
      <c r="R80" s="128"/>
      <c r="S80" s="54"/>
      <c r="T80" s="64"/>
      <c r="U80" s="69"/>
      <c r="V80" s="127"/>
      <c r="X80" s="21"/>
      <c r="Y80" s="128"/>
      <c r="Z80" s="54"/>
      <c r="AA80" s="64">
        <v>1</v>
      </c>
      <c r="AB80" s="69"/>
      <c r="AC80" s="127"/>
      <c r="AD80">
        <f t="shared" si="2"/>
        <v>2</v>
      </c>
    </row>
    <row r="81" spans="1:30" x14ac:dyDescent="0.15">
      <c r="A81" s="2" t="s">
        <v>175</v>
      </c>
      <c r="C81" s="21"/>
      <c r="D81" s="128"/>
      <c r="E81" s="54"/>
      <c r="F81" s="64"/>
      <c r="G81" s="69"/>
      <c r="H81" s="127"/>
      <c r="J81" s="21"/>
      <c r="K81" s="128"/>
      <c r="L81" s="54"/>
      <c r="M81" s="64"/>
      <c r="N81" s="69"/>
      <c r="O81" s="127"/>
      <c r="Q81" s="21"/>
      <c r="R81" s="128"/>
      <c r="S81" s="54"/>
      <c r="T81" s="64"/>
      <c r="U81" s="69"/>
      <c r="V81" s="127"/>
      <c r="X81" s="21"/>
      <c r="Y81" s="128"/>
      <c r="Z81" s="54"/>
      <c r="AA81" s="64"/>
      <c r="AB81" s="69"/>
      <c r="AC81" s="127"/>
      <c r="AD81">
        <f t="shared" si="2"/>
        <v>0</v>
      </c>
    </row>
    <row r="82" spans="1:30" x14ac:dyDescent="0.15">
      <c r="A82" s="2" t="s">
        <v>24</v>
      </c>
      <c r="C82" s="21">
        <v>2</v>
      </c>
      <c r="D82" s="128">
        <v>1</v>
      </c>
      <c r="E82" s="54"/>
      <c r="F82" s="64"/>
      <c r="G82" s="69"/>
      <c r="H82" s="127"/>
      <c r="I82">
        <v>2</v>
      </c>
      <c r="J82" s="21">
        <v>2</v>
      </c>
      <c r="K82" s="128">
        <v>1</v>
      </c>
      <c r="L82" s="54"/>
      <c r="M82" s="64"/>
      <c r="N82" s="69"/>
      <c r="O82" s="127"/>
      <c r="P82">
        <v>2</v>
      </c>
      <c r="Q82" s="21">
        <v>2</v>
      </c>
      <c r="R82" s="128">
        <v>2</v>
      </c>
      <c r="S82" s="54">
        <v>1</v>
      </c>
      <c r="T82" s="64"/>
      <c r="U82" s="69">
        <v>1</v>
      </c>
      <c r="V82" s="127"/>
      <c r="W82">
        <v>2</v>
      </c>
      <c r="X82" s="21">
        <v>1</v>
      </c>
      <c r="Y82" s="128">
        <v>2</v>
      </c>
      <c r="Z82" s="54"/>
      <c r="AA82" s="64">
        <v>1</v>
      </c>
      <c r="AB82" s="69">
        <v>1</v>
      </c>
      <c r="AC82" s="127"/>
      <c r="AD82">
        <f t="shared" si="2"/>
        <v>15</v>
      </c>
    </row>
    <row r="83" spans="1:30" x14ac:dyDescent="0.15">
      <c r="A83" s="2" t="s">
        <v>189</v>
      </c>
      <c r="C83" s="21"/>
      <c r="D83" s="128"/>
      <c r="E83" s="54">
        <v>1</v>
      </c>
      <c r="F83" s="64">
        <v>1</v>
      </c>
      <c r="G83" s="69">
        <v>1</v>
      </c>
      <c r="H83" s="127">
        <v>1</v>
      </c>
      <c r="J83" s="21"/>
      <c r="K83" s="128"/>
      <c r="L83" s="54">
        <v>1</v>
      </c>
      <c r="M83" s="64">
        <v>1</v>
      </c>
      <c r="N83" s="69">
        <v>1</v>
      </c>
      <c r="O83" s="127">
        <v>1</v>
      </c>
      <c r="Q83" s="21"/>
      <c r="R83" s="128"/>
      <c r="S83" s="54"/>
      <c r="T83" s="64">
        <v>2</v>
      </c>
      <c r="U83" s="69">
        <v>2</v>
      </c>
      <c r="V83" s="127">
        <v>1</v>
      </c>
      <c r="X83" s="21"/>
      <c r="Y83" s="128"/>
      <c r="Z83" s="54">
        <v>2</v>
      </c>
      <c r="AA83" s="64">
        <v>2</v>
      </c>
      <c r="AB83" s="69">
        <v>2</v>
      </c>
      <c r="AC83" s="127">
        <v>1</v>
      </c>
      <c r="AD83">
        <f t="shared" si="2"/>
        <v>15</v>
      </c>
    </row>
    <row r="84" spans="1:30" x14ac:dyDescent="0.15">
      <c r="A84" s="5" t="s">
        <v>202</v>
      </c>
      <c r="C84" s="21"/>
      <c r="D84" s="128"/>
      <c r="E84" s="54"/>
      <c r="F84" s="64"/>
      <c r="G84" s="69"/>
      <c r="H84" s="127"/>
      <c r="J84" s="21"/>
      <c r="K84" s="128"/>
      <c r="L84" s="54"/>
      <c r="M84" s="64"/>
      <c r="N84" s="69"/>
      <c r="O84" s="127"/>
      <c r="Q84" s="21"/>
      <c r="R84" s="128"/>
      <c r="S84" s="54"/>
      <c r="T84" s="64"/>
      <c r="U84" s="69"/>
      <c r="V84" s="127"/>
      <c r="X84" s="21"/>
      <c r="Y84" s="128"/>
      <c r="Z84" s="54"/>
      <c r="AA84" s="64"/>
      <c r="AB84" s="69"/>
      <c r="AC84" s="127"/>
      <c r="AD84">
        <f t="shared" si="2"/>
        <v>0</v>
      </c>
    </row>
    <row r="85" spans="1:30" x14ac:dyDescent="0.15">
      <c r="A85" t="s">
        <v>8</v>
      </c>
      <c r="B85" s="1"/>
      <c r="C85" s="1"/>
      <c r="D85" s="1"/>
      <c r="E85" s="1"/>
      <c r="F85" s="1"/>
      <c r="G85" s="1"/>
      <c r="H85" s="1"/>
      <c r="I85" s="1"/>
      <c r="J85" s="1"/>
      <c r="R85" s="1"/>
      <c r="S85" s="1"/>
      <c r="T85" s="1"/>
      <c r="U85" s="1"/>
      <c r="V85" s="1"/>
      <c r="W85" s="1"/>
      <c r="X85" s="1"/>
    </row>
    <row r="87" spans="1:30" x14ac:dyDescent="0.15">
      <c r="A87">
        <f>COUNTA(A6:A83)</f>
        <v>78</v>
      </c>
      <c r="G87" t="s">
        <v>193</v>
      </c>
    </row>
    <row r="96" spans="1:30" x14ac:dyDescent="0.15">
      <c r="A96" s="3" t="s">
        <v>56</v>
      </c>
      <c r="C96" s="21"/>
      <c r="D96" s="13"/>
      <c r="E96" s="54"/>
      <c r="F96" s="64"/>
      <c r="G96" s="69"/>
      <c r="H96" s="69"/>
      <c r="J96" s="21"/>
      <c r="K96" s="13"/>
      <c r="L96" s="54"/>
      <c r="M96" s="64"/>
      <c r="N96" s="69"/>
      <c r="O96" s="69"/>
      <c r="Q96" s="21"/>
      <c r="R96" s="13"/>
      <c r="S96" s="54"/>
      <c r="T96" s="64"/>
      <c r="U96" s="69"/>
      <c r="V96" s="69"/>
      <c r="X96" s="21"/>
      <c r="Y96" s="13"/>
      <c r="Z96" s="54"/>
      <c r="AA96" s="64"/>
      <c r="AB96" s="69"/>
      <c r="AC96" s="69"/>
    </row>
    <row r="97" spans="1:29" x14ac:dyDescent="0.15">
      <c r="A97" s="5" t="s">
        <v>185</v>
      </c>
      <c r="C97" s="21"/>
      <c r="D97" s="13"/>
      <c r="E97" s="54"/>
      <c r="F97" s="64"/>
      <c r="G97" s="69"/>
      <c r="H97" s="69"/>
      <c r="J97" s="21"/>
      <c r="K97" s="13"/>
      <c r="L97" s="54"/>
      <c r="M97" s="64"/>
      <c r="N97" s="69"/>
      <c r="O97" s="69"/>
      <c r="Q97" s="21"/>
      <c r="R97" s="13"/>
      <c r="S97" s="54"/>
      <c r="T97" s="64"/>
      <c r="U97" s="69"/>
      <c r="V97" s="69"/>
      <c r="X97" s="21"/>
      <c r="Y97" s="13"/>
      <c r="Z97" s="54"/>
      <c r="AA97" s="64"/>
      <c r="AB97" s="69"/>
      <c r="AC97" s="69"/>
    </row>
    <row r="98" spans="1:29" x14ac:dyDescent="0.15">
      <c r="A98" s="7" t="s">
        <v>47</v>
      </c>
      <c r="B98" s="114"/>
      <c r="C98" s="115"/>
      <c r="D98" s="141"/>
      <c r="E98" s="112"/>
      <c r="F98" s="113"/>
      <c r="G98" s="145"/>
      <c r="H98" s="145"/>
      <c r="I98" s="114"/>
      <c r="J98" s="115"/>
      <c r="K98" s="141"/>
      <c r="L98" s="112"/>
      <c r="M98" s="113"/>
      <c r="N98" s="145"/>
      <c r="O98" s="145"/>
      <c r="P98" s="114"/>
      <c r="Q98" s="115"/>
      <c r="R98" s="141"/>
      <c r="S98" s="112"/>
      <c r="T98" s="113"/>
      <c r="U98" s="145"/>
      <c r="V98" s="145"/>
      <c r="W98" s="114"/>
      <c r="X98" s="115"/>
      <c r="Y98" s="141"/>
      <c r="Z98" s="112"/>
      <c r="AA98" s="113"/>
      <c r="AB98" s="145"/>
      <c r="AC98" s="145"/>
    </row>
    <row r="99" spans="1:29" x14ac:dyDescent="0.15">
      <c r="A99" s="39" t="s">
        <v>29</v>
      </c>
      <c r="B99">
        <v>1</v>
      </c>
      <c r="C99" s="21">
        <v>1</v>
      </c>
      <c r="D99" s="13"/>
      <c r="E99" s="54"/>
      <c r="F99" s="64"/>
      <c r="G99" s="69"/>
      <c r="H99" s="69"/>
      <c r="J99" s="21"/>
      <c r="K99" s="13"/>
      <c r="L99" s="54"/>
      <c r="M99" s="64"/>
      <c r="N99" s="69"/>
      <c r="O99" s="69"/>
      <c r="Q99" s="21"/>
      <c r="R99" s="13"/>
      <c r="S99" s="54"/>
      <c r="T99" s="64"/>
      <c r="U99" s="69"/>
      <c r="V99" s="69"/>
      <c r="X99" s="21"/>
      <c r="Y99" s="13"/>
      <c r="Z99" s="54"/>
      <c r="AA99" s="64"/>
      <c r="AB99" s="69"/>
      <c r="AC99" s="69"/>
    </row>
    <row r="100" spans="1:29" x14ac:dyDescent="0.15">
      <c r="A100" s="5" t="s">
        <v>48</v>
      </c>
      <c r="C100" s="21"/>
      <c r="D100" s="13"/>
      <c r="E100" s="54"/>
      <c r="F100" s="64"/>
      <c r="G100" s="69"/>
      <c r="H100" s="69"/>
      <c r="J100" s="21"/>
      <c r="K100" s="13"/>
      <c r="L100" s="54"/>
      <c r="M100" s="64"/>
      <c r="N100" s="69"/>
      <c r="O100" s="69"/>
      <c r="Q100" s="21"/>
      <c r="R100" s="13"/>
      <c r="S100" s="54"/>
      <c r="T100" s="64"/>
      <c r="U100" s="69"/>
      <c r="V100" s="69"/>
      <c r="X100" s="21"/>
      <c r="Y100" s="13"/>
      <c r="Z100" s="54"/>
      <c r="AA100" s="64"/>
      <c r="AB100" s="69"/>
      <c r="AC100" s="69"/>
    </row>
    <row r="101" spans="1:29" x14ac:dyDescent="0.15">
      <c r="A101" s="5" t="s">
        <v>106</v>
      </c>
      <c r="C101" s="21"/>
      <c r="D101" s="13"/>
      <c r="E101" s="54"/>
      <c r="F101" s="64"/>
      <c r="G101" s="69"/>
      <c r="H101" s="69"/>
      <c r="J101" s="21"/>
      <c r="K101" s="13"/>
      <c r="L101" s="54"/>
      <c r="M101" s="64"/>
      <c r="N101" s="69"/>
      <c r="O101" s="69"/>
      <c r="Q101" s="21"/>
      <c r="R101" s="13"/>
      <c r="S101" s="54"/>
      <c r="T101" s="64"/>
      <c r="U101" s="69"/>
      <c r="V101" s="69"/>
      <c r="X101" s="21"/>
      <c r="Y101" s="13"/>
      <c r="Z101" s="54"/>
      <c r="AA101" s="64"/>
      <c r="AB101" s="69"/>
      <c r="AC101" s="69"/>
    </row>
    <row r="102" spans="1:29" x14ac:dyDescent="0.15">
      <c r="A102" s="7" t="s">
        <v>186</v>
      </c>
      <c r="C102" s="21"/>
      <c r="D102" s="13"/>
      <c r="E102" s="54"/>
      <c r="F102" s="64"/>
      <c r="G102" s="69"/>
      <c r="H102" s="69"/>
      <c r="J102" s="21"/>
      <c r="K102" s="13"/>
      <c r="L102" s="54"/>
      <c r="M102" s="64"/>
      <c r="N102" s="69"/>
      <c r="O102" s="69"/>
      <c r="Q102" s="21"/>
      <c r="R102" s="13"/>
      <c r="S102" s="54"/>
      <c r="T102" s="64"/>
      <c r="U102" s="69"/>
      <c r="V102" s="69"/>
      <c r="X102" s="21"/>
      <c r="Y102" s="13"/>
      <c r="Z102" s="54"/>
      <c r="AA102" s="64"/>
      <c r="AB102" s="69"/>
      <c r="AC102" s="69"/>
    </row>
    <row r="103" spans="1:29" x14ac:dyDescent="0.15">
      <c r="A103" s="36" t="s">
        <v>94</v>
      </c>
      <c r="C103" s="21"/>
      <c r="D103" s="13"/>
      <c r="E103" s="54"/>
      <c r="F103" s="64"/>
      <c r="G103" s="69"/>
      <c r="H103" s="69"/>
      <c r="J103" s="21"/>
      <c r="K103" s="13"/>
      <c r="L103" s="54"/>
      <c r="M103" s="64"/>
      <c r="N103" s="69"/>
      <c r="O103" s="69"/>
      <c r="Q103" s="21"/>
      <c r="R103" s="13"/>
      <c r="S103" s="54"/>
      <c r="T103" s="64"/>
      <c r="U103" s="69"/>
      <c r="V103" s="69"/>
      <c r="X103" s="21"/>
      <c r="Y103" s="13"/>
      <c r="Z103" s="54"/>
      <c r="AA103" s="64"/>
      <c r="AB103" s="69"/>
      <c r="AC103" s="69"/>
    </row>
    <row r="104" spans="1:29" x14ac:dyDescent="0.15">
      <c r="A104" s="40" t="s">
        <v>91</v>
      </c>
      <c r="C104" s="21"/>
      <c r="D104" s="13"/>
      <c r="E104" s="54"/>
      <c r="F104" s="64"/>
      <c r="G104" s="69"/>
      <c r="H104" s="69"/>
      <c r="J104" s="21"/>
      <c r="K104" s="13"/>
      <c r="L104" s="54"/>
      <c r="M104" s="64"/>
      <c r="N104" s="69"/>
      <c r="O104" s="69"/>
      <c r="Q104" s="21"/>
      <c r="R104" s="13"/>
      <c r="S104" s="54"/>
      <c r="T104" s="64"/>
      <c r="U104" s="69"/>
      <c r="V104" s="69"/>
      <c r="X104" s="21"/>
      <c r="Y104" s="13"/>
      <c r="Z104" s="54"/>
      <c r="AA104" s="64"/>
      <c r="AB104" s="69"/>
      <c r="AC104" s="69"/>
    </row>
    <row r="105" spans="1:29" x14ac:dyDescent="0.15">
      <c r="A105" s="39" t="s">
        <v>69</v>
      </c>
      <c r="C105" s="21"/>
      <c r="D105" s="13"/>
      <c r="E105" s="54"/>
      <c r="F105" s="64"/>
      <c r="G105" s="69"/>
      <c r="H105" s="69"/>
      <c r="J105" s="21"/>
      <c r="K105" s="13"/>
      <c r="L105" s="54"/>
      <c r="M105" s="64"/>
      <c r="N105" s="69"/>
      <c r="O105" s="69"/>
      <c r="Q105" s="21"/>
      <c r="R105" s="13"/>
      <c r="S105" s="54"/>
      <c r="T105" s="64"/>
      <c r="U105" s="69"/>
      <c r="V105" s="69"/>
      <c r="X105" s="21"/>
      <c r="Y105" s="13"/>
      <c r="Z105" s="54"/>
      <c r="AA105" s="64"/>
      <c r="AB105" s="69"/>
      <c r="AC105" s="69"/>
    </row>
    <row r="106" spans="1:29" x14ac:dyDescent="0.15">
      <c r="A106" s="39" t="s">
        <v>67</v>
      </c>
      <c r="C106" s="21"/>
      <c r="D106" s="13"/>
      <c r="E106" s="54"/>
      <c r="F106" s="64"/>
      <c r="G106" s="69"/>
      <c r="H106" s="69"/>
      <c r="J106" s="21"/>
      <c r="K106" s="13"/>
      <c r="L106" s="54"/>
      <c r="M106" s="64"/>
      <c r="N106" s="69"/>
      <c r="O106" s="69"/>
      <c r="Q106" s="21"/>
      <c r="R106" s="13"/>
      <c r="S106" s="54"/>
      <c r="T106" s="64"/>
      <c r="U106" s="69"/>
      <c r="V106" s="69"/>
      <c r="W106">
        <v>1</v>
      </c>
      <c r="X106" s="21"/>
      <c r="Y106" s="13"/>
      <c r="Z106" s="54"/>
      <c r="AA106" s="64"/>
      <c r="AB106" s="69"/>
      <c r="AC106" s="69"/>
    </row>
    <row r="107" spans="1:29" x14ac:dyDescent="0.15">
      <c r="A107" s="41" t="s">
        <v>66</v>
      </c>
      <c r="C107" s="21"/>
      <c r="D107" s="13"/>
      <c r="E107" s="54"/>
      <c r="F107" s="64"/>
      <c r="G107" s="69"/>
      <c r="H107" s="69"/>
      <c r="J107" s="21"/>
      <c r="K107" s="13"/>
      <c r="L107" s="54"/>
      <c r="M107" s="64"/>
      <c r="N107" s="69"/>
      <c r="O107" s="69"/>
      <c r="Q107" s="21"/>
      <c r="R107" s="13"/>
      <c r="S107" s="54"/>
      <c r="T107" s="64"/>
      <c r="U107" s="69"/>
      <c r="V107" s="69"/>
      <c r="X107" s="21"/>
      <c r="Y107" s="13"/>
      <c r="Z107" s="54"/>
      <c r="AA107" s="64"/>
      <c r="AB107" s="69"/>
      <c r="AC107" s="69"/>
    </row>
    <row r="108" spans="1:29" x14ac:dyDescent="0.15">
      <c r="A108" s="58" t="s">
        <v>104</v>
      </c>
      <c r="C108" s="21"/>
      <c r="D108" s="13"/>
      <c r="E108" s="54"/>
      <c r="F108" s="64"/>
      <c r="G108" s="69"/>
      <c r="H108" s="69"/>
      <c r="J108" s="21"/>
      <c r="K108" s="13"/>
      <c r="L108" s="77"/>
      <c r="M108" s="64"/>
      <c r="N108" s="69"/>
      <c r="O108" s="69"/>
      <c r="Q108" s="21"/>
      <c r="R108" s="13"/>
      <c r="S108" s="54"/>
      <c r="T108" s="64"/>
      <c r="U108" s="69"/>
      <c r="V108" s="69"/>
      <c r="X108" s="21"/>
      <c r="Y108" s="13"/>
      <c r="Z108" s="54"/>
      <c r="AA108" s="64"/>
      <c r="AB108" s="69"/>
      <c r="AC108" s="69"/>
    </row>
  </sheetData>
  <mergeCells count="8">
    <mergeCell ref="B2:H2"/>
    <mergeCell ref="I2:O2"/>
    <mergeCell ref="P2:V2"/>
    <mergeCell ref="W2:AC2"/>
    <mergeCell ref="B3:H3"/>
    <mergeCell ref="I3:O3"/>
    <mergeCell ref="P3:V3"/>
    <mergeCell ref="W3:AC3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B02D-FD06-4B4E-A651-81B34091E941}">
  <dimension ref="A1:AD108"/>
  <sheetViews>
    <sheetView zoomScale="90" zoomScaleNormal="90" workbookViewId="0">
      <selection activeCell="A2" sqref="A2:AC2"/>
    </sheetView>
  </sheetViews>
  <sheetFormatPr defaultRowHeight="13.5" x14ac:dyDescent="0.15"/>
  <cols>
    <col min="1" max="1" width="26.375" customWidth="1"/>
    <col min="2" max="5" width="3.5" customWidth="1"/>
    <col min="6" max="8" width="3.25" customWidth="1"/>
    <col min="9" max="12" width="3.375" customWidth="1"/>
    <col min="13" max="15" width="3.25" customWidth="1"/>
    <col min="16" max="19" width="3.625" customWidth="1"/>
    <col min="20" max="22" width="3.25" customWidth="1"/>
    <col min="23" max="26" width="3.375" customWidth="1"/>
    <col min="27" max="29" width="3.25" customWidth="1"/>
  </cols>
  <sheetData>
    <row r="1" spans="1:30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0" x14ac:dyDescent="0.15">
      <c r="A2" s="194" t="s">
        <v>0</v>
      </c>
      <c r="B2" s="246">
        <v>10</v>
      </c>
      <c r="C2" s="246"/>
      <c r="D2" s="246"/>
      <c r="E2" s="246"/>
      <c r="F2" s="246"/>
      <c r="G2" s="246"/>
      <c r="H2" s="246"/>
      <c r="I2" s="246">
        <v>11</v>
      </c>
      <c r="J2" s="246"/>
      <c r="K2" s="246"/>
      <c r="L2" s="246"/>
      <c r="M2" s="246"/>
      <c r="N2" s="246"/>
      <c r="O2" s="246"/>
      <c r="P2" s="246">
        <v>12</v>
      </c>
      <c r="Q2" s="246"/>
      <c r="R2" s="246"/>
      <c r="S2" s="246"/>
      <c r="T2" s="246"/>
      <c r="U2" s="246"/>
      <c r="V2" s="246"/>
      <c r="W2" s="246">
        <v>13</v>
      </c>
      <c r="X2" s="246"/>
      <c r="Y2" s="246"/>
      <c r="Z2" s="246"/>
      <c r="AA2" s="246"/>
      <c r="AB2" s="246"/>
      <c r="AC2" s="246"/>
    </row>
    <row r="3" spans="1:30" x14ac:dyDescent="0.15">
      <c r="A3" s="6" t="s">
        <v>1</v>
      </c>
      <c r="B3" s="243" t="s">
        <v>128</v>
      </c>
      <c r="C3" s="243"/>
      <c r="D3" s="243"/>
      <c r="E3" s="243"/>
      <c r="F3" s="243"/>
      <c r="G3" s="243"/>
      <c r="H3" s="243"/>
      <c r="I3" s="243" t="s">
        <v>129</v>
      </c>
      <c r="J3" s="243"/>
      <c r="K3" s="243"/>
      <c r="L3" s="243"/>
      <c r="M3" s="243"/>
      <c r="N3" s="243"/>
      <c r="O3" s="243"/>
      <c r="P3" s="243" t="s">
        <v>234</v>
      </c>
      <c r="Q3" s="243"/>
      <c r="R3" s="243"/>
      <c r="S3" s="243"/>
      <c r="T3" s="243"/>
      <c r="U3" s="243"/>
      <c r="V3" s="243"/>
      <c r="W3" s="243" t="s">
        <v>235</v>
      </c>
      <c r="X3" s="243"/>
      <c r="Y3" s="243"/>
      <c r="Z3" s="243"/>
      <c r="AA3" s="243"/>
      <c r="AB3" s="243"/>
      <c r="AC3" s="243"/>
    </row>
    <row r="4" spans="1:30" x14ac:dyDescent="0.15">
      <c r="A4" s="8"/>
      <c r="B4" s="94" t="s">
        <v>65</v>
      </c>
      <c r="C4" s="95" t="s">
        <v>63</v>
      </c>
      <c r="D4" s="96" t="s">
        <v>64</v>
      </c>
      <c r="E4" s="97" t="s">
        <v>100</v>
      </c>
      <c r="F4" s="98" t="s">
        <v>114</v>
      </c>
      <c r="G4" s="144" t="s">
        <v>187</v>
      </c>
      <c r="H4" s="168" t="s">
        <v>220</v>
      </c>
      <c r="I4" s="94" t="s">
        <v>65</v>
      </c>
      <c r="J4" s="95" t="s">
        <v>63</v>
      </c>
      <c r="K4" s="96" t="s">
        <v>64</v>
      </c>
      <c r="L4" s="97" t="s">
        <v>100</v>
      </c>
      <c r="M4" s="98" t="s">
        <v>114</v>
      </c>
      <c r="N4" s="144" t="s">
        <v>187</v>
      </c>
      <c r="O4" s="168" t="s">
        <v>220</v>
      </c>
      <c r="P4" s="94" t="s">
        <v>65</v>
      </c>
      <c r="Q4" s="95" t="s">
        <v>63</v>
      </c>
      <c r="R4" s="96" t="s">
        <v>64</v>
      </c>
      <c r="S4" s="97" t="s">
        <v>100</v>
      </c>
      <c r="T4" s="98" t="s">
        <v>114</v>
      </c>
      <c r="U4" s="144" t="s">
        <v>187</v>
      </c>
      <c r="V4" s="168" t="s">
        <v>220</v>
      </c>
      <c r="W4" s="94" t="s">
        <v>65</v>
      </c>
      <c r="X4" s="95" t="s">
        <v>63</v>
      </c>
      <c r="Y4" s="96" t="s">
        <v>64</v>
      </c>
      <c r="Z4" s="97" t="s">
        <v>100</v>
      </c>
      <c r="AA4" s="98" t="s">
        <v>114</v>
      </c>
      <c r="AB4" s="144" t="s">
        <v>187</v>
      </c>
      <c r="AC4" s="168" t="s">
        <v>220</v>
      </c>
    </row>
    <row r="5" spans="1:30" ht="14.25" x14ac:dyDescent="0.15">
      <c r="A5" s="26" t="s">
        <v>59</v>
      </c>
      <c r="B5" s="42">
        <f t="shared" ref="B5:E5" si="0">COUNT(B6:B84)</f>
        <v>2</v>
      </c>
      <c r="C5" s="43">
        <f t="shared" si="0"/>
        <v>5</v>
      </c>
      <c r="D5" s="102">
        <f t="shared" si="0"/>
        <v>9</v>
      </c>
      <c r="E5" s="52">
        <f t="shared" si="0"/>
        <v>8</v>
      </c>
      <c r="F5" s="62">
        <f>COUNT(F6:F85)</f>
        <v>17</v>
      </c>
      <c r="G5" s="68">
        <f>COUNT(G6:G85)</f>
        <v>18</v>
      </c>
      <c r="H5" s="110">
        <f>COUNT(H6:H85)</f>
        <v>15</v>
      </c>
      <c r="I5" s="42">
        <f t="shared" ref="I5:AC5" si="1">COUNT(I6:I84)</f>
        <v>7</v>
      </c>
      <c r="J5" s="43">
        <f t="shared" si="1"/>
        <v>9</v>
      </c>
      <c r="K5" s="102">
        <f t="shared" si="1"/>
        <v>16</v>
      </c>
      <c r="L5" s="52">
        <f t="shared" si="1"/>
        <v>21</v>
      </c>
      <c r="M5" s="62">
        <f t="shared" si="1"/>
        <v>23</v>
      </c>
      <c r="N5" s="68">
        <f t="shared" si="1"/>
        <v>22</v>
      </c>
      <c r="O5" s="110">
        <f t="shared" si="1"/>
        <v>21</v>
      </c>
      <c r="P5" s="42">
        <f t="shared" si="1"/>
        <v>10</v>
      </c>
      <c r="Q5" s="43">
        <f t="shared" si="1"/>
        <v>17</v>
      </c>
      <c r="R5" s="102">
        <f t="shared" si="1"/>
        <v>18</v>
      </c>
      <c r="S5" s="52">
        <f t="shared" si="1"/>
        <v>17</v>
      </c>
      <c r="T5" s="62">
        <f t="shared" si="1"/>
        <v>17</v>
      </c>
      <c r="U5" s="68">
        <f t="shared" si="1"/>
        <v>17</v>
      </c>
      <c r="V5" s="110">
        <f t="shared" si="1"/>
        <v>19</v>
      </c>
      <c r="W5" s="42">
        <f t="shared" si="1"/>
        <v>8</v>
      </c>
      <c r="X5" s="43">
        <f t="shared" si="1"/>
        <v>11</v>
      </c>
      <c r="Y5" s="102">
        <f t="shared" si="1"/>
        <v>12</v>
      </c>
      <c r="Z5" s="52">
        <f t="shared" si="1"/>
        <v>13</v>
      </c>
      <c r="AA5" s="62">
        <f t="shared" si="1"/>
        <v>12</v>
      </c>
      <c r="AB5" s="68">
        <f t="shared" si="1"/>
        <v>15</v>
      </c>
      <c r="AC5" s="110">
        <f t="shared" si="1"/>
        <v>13</v>
      </c>
      <c r="AD5" t="s">
        <v>240</v>
      </c>
    </row>
    <row r="6" spans="1:30" x14ac:dyDescent="0.15">
      <c r="A6" s="27" t="s">
        <v>60</v>
      </c>
      <c r="B6" s="114"/>
      <c r="C6" s="115"/>
      <c r="D6" s="111"/>
      <c r="E6" s="112"/>
      <c r="F6" s="113"/>
      <c r="G6" s="145"/>
      <c r="H6" s="169"/>
      <c r="I6" s="114"/>
      <c r="J6" s="115"/>
      <c r="K6" s="111"/>
      <c r="L6" s="112"/>
      <c r="M6" s="113"/>
      <c r="N6" s="145"/>
      <c r="O6" s="169"/>
      <c r="P6" s="114"/>
      <c r="Q6" s="115"/>
      <c r="R6" s="111"/>
      <c r="S6" s="112"/>
      <c r="T6" s="113"/>
      <c r="U6" s="145"/>
      <c r="V6" s="169"/>
      <c r="W6" s="114"/>
      <c r="X6" s="115"/>
      <c r="Y6" s="119"/>
      <c r="Z6" s="112"/>
      <c r="AA6" s="113"/>
      <c r="AB6" s="145"/>
      <c r="AC6" s="169"/>
      <c r="AD6">
        <f>COUNTA(B6:AC6)</f>
        <v>0</v>
      </c>
    </row>
    <row r="7" spans="1:30" x14ac:dyDescent="0.15">
      <c r="A7" s="27" t="s">
        <v>105</v>
      </c>
      <c r="B7" s="114"/>
      <c r="C7" s="115"/>
      <c r="D7" s="111"/>
      <c r="E7" s="112"/>
      <c r="F7" s="113"/>
      <c r="G7" s="145"/>
      <c r="H7" s="169"/>
      <c r="I7" s="114"/>
      <c r="J7" s="115"/>
      <c r="K7" s="111"/>
      <c r="L7" s="112"/>
      <c r="M7" s="113"/>
      <c r="N7" s="145"/>
      <c r="O7" s="169"/>
      <c r="P7" s="114"/>
      <c r="Q7" s="115"/>
      <c r="R7" s="111"/>
      <c r="S7" s="112"/>
      <c r="T7" s="113"/>
      <c r="U7" s="145"/>
      <c r="V7" s="169"/>
      <c r="W7" s="114"/>
      <c r="X7" s="115"/>
      <c r="Y7" s="111"/>
      <c r="Z7" s="112"/>
      <c r="AA7" s="113"/>
      <c r="AB7" s="145"/>
      <c r="AC7" s="169"/>
      <c r="AD7">
        <f t="shared" ref="AD7:AD70" si="2">COUNTA(B7:AC7)</f>
        <v>0</v>
      </c>
    </row>
    <row r="8" spans="1:30" x14ac:dyDescent="0.15">
      <c r="A8" s="2" t="s">
        <v>43</v>
      </c>
      <c r="C8" s="21"/>
      <c r="D8" s="128"/>
      <c r="E8" s="54"/>
      <c r="F8" s="64"/>
      <c r="G8" s="69"/>
      <c r="H8" s="127"/>
      <c r="J8" s="21"/>
      <c r="K8" s="128"/>
      <c r="L8" s="54"/>
      <c r="M8" s="64">
        <v>1</v>
      </c>
      <c r="N8" s="69">
        <v>1</v>
      </c>
      <c r="O8" s="127">
        <v>1</v>
      </c>
      <c r="Q8" s="21"/>
      <c r="R8" s="128"/>
      <c r="S8" s="54"/>
      <c r="T8" s="64"/>
      <c r="U8" s="69"/>
      <c r="V8" s="127"/>
      <c r="X8" s="21"/>
      <c r="Y8" s="128"/>
      <c r="Z8" s="54"/>
      <c r="AA8" s="64"/>
      <c r="AB8" s="69"/>
      <c r="AC8" s="127"/>
      <c r="AD8">
        <f t="shared" si="2"/>
        <v>3</v>
      </c>
    </row>
    <row r="9" spans="1:30" x14ac:dyDescent="0.15">
      <c r="A9" s="27" t="s">
        <v>53</v>
      </c>
      <c r="B9" s="114"/>
      <c r="C9" s="115"/>
      <c r="D9" s="116">
        <v>1</v>
      </c>
      <c r="E9" s="112"/>
      <c r="F9" s="118">
        <v>1</v>
      </c>
      <c r="G9" s="146"/>
      <c r="H9" s="170"/>
      <c r="I9" s="114"/>
      <c r="J9" s="115"/>
      <c r="K9" s="116">
        <v>1</v>
      </c>
      <c r="L9" s="117">
        <v>2</v>
      </c>
      <c r="M9" s="118"/>
      <c r="N9" s="146"/>
      <c r="O9" s="170"/>
      <c r="P9" s="114"/>
      <c r="Q9" s="115"/>
      <c r="R9" s="111"/>
      <c r="S9" s="112"/>
      <c r="T9" s="132">
        <v>2</v>
      </c>
      <c r="U9" s="147">
        <v>2</v>
      </c>
      <c r="V9" s="171">
        <v>1</v>
      </c>
      <c r="W9" s="114"/>
      <c r="X9" s="115"/>
      <c r="Y9" s="111"/>
      <c r="Z9" s="112"/>
      <c r="AA9" s="113"/>
      <c r="AB9" s="145"/>
      <c r="AC9" s="169"/>
      <c r="AD9">
        <f t="shared" si="2"/>
        <v>7</v>
      </c>
    </row>
    <row r="10" spans="1:30" x14ac:dyDescent="0.15">
      <c r="A10" s="2" t="s">
        <v>12</v>
      </c>
      <c r="C10" s="21"/>
      <c r="D10" s="128"/>
      <c r="E10" s="54">
        <v>1</v>
      </c>
      <c r="F10" s="64">
        <v>1</v>
      </c>
      <c r="G10" s="69">
        <v>1</v>
      </c>
      <c r="H10" s="127">
        <v>1</v>
      </c>
      <c r="J10" s="21">
        <v>1</v>
      </c>
      <c r="K10" s="128">
        <v>2</v>
      </c>
      <c r="L10" s="54">
        <v>2</v>
      </c>
      <c r="M10" s="64">
        <v>2</v>
      </c>
      <c r="N10" s="69">
        <v>2</v>
      </c>
      <c r="O10" s="127">
        <v>2</v>
      </c>
      <c r="P10">
        <v>3</v>
      </c>
      <c r="Q10" s="21">
        <v>1</v>
      </c>
      <c r="R10" s="128">
        <v>1</v>
      </c>
      <c r="S10" s="54">
        <v>1</v>
      </c>
      <c r="T10" s="64">
        <v>1</v>
      </c>
      <c r="U10" s="69">
        <v>1</v>
      </c>
      <c r="V10" s="127">
        <v>1</v>
      </c>
      <c r="W10">
        <v>2</v>
      </c>
      <c r="X10" s="21">
        <v>1</v>
      </c>
      <c r="Y10" s="128">
        <v>1</v>
      </c>
      <c r="Z10" s="54">
        <v>1</v>
      </c>
      <c r="AA10" s="64">
        <v>1</v>
      </c>
      <c r="AB10" s="69">
        <v>1</v>
      </c>
      <c r="AC10" s="127">
        <v>1</v>
      </c>
      <c r="AD10">
        <f t="shared" si="2"/>
        <v>24</v>
      </c>
    </row>
    <row r="11" spans="1:30" x14ac:dyDescent="0.15">
      <c r="A11" s="2" t="s">
        <v>93</v>
      </c>
      <c r="C11" s="21"/>
      <c r="D11" s="128"/>
      <c r="E11" s="54"/>
      <c r="F11" s="64">
        <v>1</v>
      </c>
      <c r="G11" s="69">
        <v>1</v>
      </c>
      <c r="H11" s="127"/>
      <c r="J11" s="21"/>
      <c r="K11" s="128"/>
      <c r="L11" s="54">
        <v>1</v>
      </c>
      <c r="M11" s="64">
        <v>1</v>
      </c>
      <c r="N11" s="69">
        <v>1</v>
      </c>
      <c r="O11" s="127">
        <v>1</v>
      </c>
      <c r="Q11" s="21"/>
      <c r="R11" s="128"/>
      <c r="S11" s="54"/>
      <c r="T11" s="64"/>
      <c r="U11" s="69"/>
      <c r="V11" s="127"/>
      <c r="X11" s="21"/>
      <c r="Y11" s="128"/>
      <c r="Z11" s="54">
        <v>1</v>
      </c>
      <c r="AA11" s="64">
        <v>1</v>
      </c>
      <c r="AB11" s="69">
        <v>1</v>
      </c>
      <c r="AC11" s="127"/>
      <c r="AD11">
        <f t="shared" si="2"/>
        <v>9</v>
      </c>
    </row>
    <row r="12" spans="1:30" x14ac:dyDescent="0.15">
      <c r="A12" s="2" t="s">
        <v>33</v>
      </c>
      <c r="C12" s="21"/>
      <c r="D12" s="128"/>
      <c r="E12" s="54"/>
      <c r="F12" s="64"/>
      <c r="G12" s="69">
        <v>1</v>
      </c>
      <c r="H12" s="127">
        <v>1</v>
      </c>
      <c r="J12" s="21"/>
      <c r="K12" s="128"/>
      <c r="L12" s="54"/>
      <c r="M12" s="64"/>
      <c r="N12" s="69"/>
      <c r="O12" s="127"/>
      <c r="Q12" s="21"/>
      <c r="R12" s="128"/>
      <c r="S12" s="54"/>
      <c r="T12" s="64"/>
      <c r="U12" s="69"/>
      <c r="V12" s="127"/>
      <c r="X12" s="21"/>
      <c r="Y12" s="128"/>
      <c r="Z12" s="54"/>
      <c r="AA12" s="64"/>
      <c r="AB12" s="69"/>
      <c r="AC12" s="127"/>
      <c r="AD12">
        <f t="shared" si="2"/>
        <v>2</v>
      </c>
    </row>
    <row r="13" spans="1:30" x14ac:dyDescent="0.15">
      <c r="A13" s="2" t="s">
        <v>13</v>
      </c>
      <c r="C13" s="21"/>
      <c r="D13" s="128"/>
      <c r="E13" s="54"/>
      <c r="F13" s="64"/>
      <c r="G13" s="69"/>
      <c r="H13" s="127"/>
      <c r="J13" s="21"/>
      <c r="K13" s="128"/>
      <c r="L13" s="54"/>
      <c r="M13" s="64"/>
      <c r="N13" s="69"/>
      <c r="O13" s="127"/>
      <c r="Q13" s="21"/>
      <c r="R13" s="128"/>
      <c r="S13" s="54"/>
      <c r="T13" s="64"/>
      <c r="U13" s="69"/>
      <c r="V13" s="127"/>
      <c r="X13" s="21"/>
      <c r="Y13" s="128"/>
      <c r="Z13" s="54"/>
      <c r="AA13" s="64"/>
      <c r="AB13" s="69"/>
      <c r="AC13" s="127"/>
      <c r="AD13">
        <f t="shared" si="2"/>
        <v>0</v>
      </c>
    </row>
    <row r="14" spans="1:30" x14ac:dyDescent="0.15">
      <c r="A14" s="2" t="s">
        <v>190</v>
      </c>
      <c r="C14" s="21"/>
      <c r="D14" s="128"/>
      <c r="E14" s="54"/>
      <c r="F14" s="64"/>
      <c r="G14" s="69"/>
      <c r="H14" s="127"/>
      <c r="J14" s="21"/>
      <c r="K14" s="128"/>
      <c r="L14" s="54"/>
      <c r="M14" s="64"/>
      <c r="N14" s="69"/>
      <c r="O14" s="127"/>
      <c r="Q14" s="21"/>
      <c r="R14" s="128"/>
      <c r="S14" s="54"/>
      <c r="T14" s="64"/>
      <c r="U14" s="69"/>
      <c r="V14" s="127"/>
      <c r="X14" s="21"/>
      <c r="Y14" s="128"/>
      <c r="Z14" s="54"/>
      <c r="AA14" s="64"/>
      <c r="AB14" s="69"/>
      <c r="AC14" s="127"/>
      <c r="AD14">
        <f t="shared" si="2"/>
        <v>0</v>
      </c>
    </row>
    <row r="15" spans="1:30" x14ac:dyDescent="0.15">
      <c r="A15" s="2" t="s">
        <v>14</v>
      </c>
      <c r="C15" s="21"/>
      <c r="D15" s="128"/>
      <c r="E15" s="54"/>
      <c r="F15" s="64">
        <v>1</v>
      </c>
      <c r="G15" s="69">
        <v>1</v>
      </c>
      <c r="H15" s="127">
        <v>1</v>
      </c>
      <c r="I15">
        <v>3</v>
      </c>
      <c r="J15" s="21"/>
      <c r="K15" s="128">
        <v>1</v>
      </c>
      <c r="L15" s="54">
        <v>1</v>
      </c>
      <c r="M15" s="64">
        <v>2</v>
      </c>
      <c r="N15" s="69">
        <v>2</v>
      </c>
      <c r="O15" s="127">
        <v>3</v>
      </c>
      <c r="P15">
        <v>3</v>
      </c>
      <c r="Q15" s="21">
        <v>2</v>
      </c>
      <c r="R15" s="128">
        <v>2</v>
      </c>
      <c r="S15" s="54">
        <v>2</v>
      </c>
      <c r="T15" s="64">
        <v>3</v>
      </c>
      <c r="U15" s="69">
        <v>2</v>
      </c>
      <c r="V15" s="127">
        <v>1</v>
      </c>
      <c r="W15">
        <v>2</v>
      </c>
      <c r="X15" s="21">
        <v>1</v>
      </c>
      <c r="Y15" s="128">
        <v>1</v>
      </c>
      <c r="Z15" s="54">
        <v>1</v>
      </c>
      <c r="AA15" s="64"/>
      <c r="AB15" s="69">
        <v>2</v>
      </c>
      <c r="AC15" s="127">
        <v>1</v>
      </c>
      <c r="AD15">
        <f t="shared" si="2"/>
        <v>22</v>
      </c>
    </row>
    <row r="16" spans="1:30" x14ac:dyDescent="0.15">
      <c r="A16" s="2" t="s">
        <v>26</v>
      </c>
      <c r="C16" s="21"/>
      <c r="D16" s="128"/>
      <c r="E16" s="54"/>
      <c r="F16" s="64"/>
      <c r="G16" s="69"/>
      <c r="H16" s="127"/>
      <c r="J16" s="21"/>
      <c r="K16" s="128"/>
      <c r="L16" s="54"/>
      <c r="M16" s="64"/>
      <c r="N16" s="69"/>
      <c r="O16" s="127"/>
      <c r="Q16" s="21"/>
      <c r="R16" s="128"/>
      <c r="S16" s="54"/>
      <c r="T16" s="64"/>
      <c r="U16" s="69"/>
      <c r="V16" s="127"/>
      <c r="X16" s="21"/>
      <c r="Y16" s="128"/>
      <c r="Z16" s="54"/>
      <c r="AA16" s="64"/>
      <c r="AB16" s="69"/>
      <c r="AC16" s="127"/>
      <c r="AD16">
        <f t="shared" si="2"/>
        <v>0</v>
      </c>
    </row>
    <row r="17" spans="1:30" x14ac:dyDescent="0.15">
      <c r="A17" s="2" t="s">
        <v>51</v>
      </c>
      <c r="C17" s="21"/>
      <c r="D17" s="128"/>
      <c r="E17" s="54"/>
      <c r="F17" s="64"/>
      <c r="G17" s="69">
        <v>1</v>
      </c>
      <c r="H17" s="127"/>
      <c r="J17" s="21"/>
      <c r="K17" s="128">
        <v>2</v>
      </c>
      <c r="L17" s="54">
        <v>1</v>
      </c>
      <c r="M17" s="64">
        <v>1</v>
      </c>
      <c r="N17" s="69">
        <v>3</v>
      </c>
      <c r="O17" s="127">
        <v>2</v>
      </c>
      <c r="Q17" s="21"/>
      <c r="R17" s="128"/>
      <c r="S17" s="54"/>
      <c r="T17" s="64"/>
      <c r="U17" s="69"/>
      <c r="V17" s="127"/>
      <c r="X17" s="21"/>
      <c r="Y17" s="128"/>
      <c r="Z17" s="54"/>
      <c r="AA17" s="64"/>
      <c r="AB17" s="69">
        <v>1</v>
      </c>
      <c r="AC17" s="127"/>
      <c r="AD17">
        <f t="shared" si="2"/>
        <v>7</v>
      </c>
    </row>
    <row r="18" spans="1:30" x14ac:dyDescent="0.15">
      <c r="A18" s="2" t="s">
        <v>44</v>
      </c>
      <c r="C18" s="21"/>
      <c r="D18" s="128"/>
      <c r="E18" s="54"/>
      <c r="F18" s="64"/>
      <c r="G18" s="69"/>
      <c r="H18" s="127"/>
      <c r="J18" s="21"/>
      <c r="K18" s="128"/>
      <c r="L18" s="54"/>
      <c r="M18" s="64"/>
      <c r="N18" s="69"/>
      <c r="O18" s="127"/>
      <c r="Q18" s="21"/>
      <c r="R18" s="128"/>
      <c r="S18" s="54"/>
      <c r="T18" s="64"/>
      <c r="U18" s="69"/>
      <c r="V18" s="127"/>
      <c r="X18" s="21"/>
      <c r="Y18" s="128"/>
      <c r="Z18" s="54"/>
      <c r="AA18" s="64"/>
      <c r="AB18" s="69">
        <v>1</v>
      </c>
      <c r="AC18" s="127">
        <v>1</v>
      </c>
      <c r="AD18">
        <f t="shared" si="2"/>
        <v>2</v>
      </c>
    </row>
    <row r="19" spans="1:30" x14ac:dyDescent="0.15">
      <c r="A19" s="2" t="s">
        <v>4</v>
      </c>
      <c r="C19" s="21"/>
      <c r="D19" s="128"/>
      <c r="E19" s="54">
        <v>1</v>
      </c>
      <c r="F19" s="64">
        <v>1</v>
      </c>
      <c r="G19" s="69">
        <v>2</v>
      </c>
      <c r="H19" s="127">
        <v>3</v>
      </c>
      <c r="I19">
        <v>3</v>
      </c>
      <c r="J19" s="21">
        <v>3</v>
      </c>
      <c r="K19" s="128">
        <v>3</v>
      </c>
      <c r="L19" s="54">
        <v>3</v>
      </c>
      <c r="M19" s="64">
        <v>3</v>
      </c>
      <c r="N19" s="69">
        <v>2</v>
      </c>
      <c r="O19" s="127">
        <v>3</v>
      </c>
      <c r="P19">
        <v>2</v>
      </c>
      <c r="Q19" s="21">
        <v>3</v>
      </c>
      <c r="R19" s="128">
        <v>3</v>
      </c>
      <c r="S19" s="54">
        <v>3</v>
      </c>
      <c r="T19" s="64">
        <v>3</v>
      </c>
      <c r="U19" s="69">
        <v>4</v>
      </c>
      <c r="V19" s="127">
        <v>3</v>
      </c>
      <c r="W19">
        <v>2</v>
      </c>
      <c r="X19" s="21">
        <v>3</v>
      </c>
      <c r="Y19" s="128">
        <v>2</v>
      </c>
      <c r="Z19" s="54">
        <v>2</v>
      </c>
      <c r="AA19" s="64">
        <v>2</v>
      </c>
      <c r="AB19" s="69">
        <v>3</v>
      </c>
      <c r="AC19" s="127">
        <v>3</v>
      </c>
      <c r="AD19">
        <f t="shared" si="2"/>
        <v>25</v>
      </c>
    </row>
    <row r="20" spans="1:30" x14ac:dyDescent="0.15">
      <c r="A20" s="2" t="s">
        <v>232</v>
      </c>
      <c r="C20" s="21"/>
      <c r="D20" s="128"/>
      <c r="E20" s="54"/>
      <c r="F20" s="64"/>
      <c r="G20" s="69"/>
      <c r="H20" s="127"/>
      <c r="J20" s="21"/>
      <c r="K20" s="128"/>
      <c r="L20" s="54"/>
      <c r="M20" s="64"/>
      <c r="N20" s="69"/>
      <c r="O20" s="127"/>
      <c r="Q20" s="21"/>
      <c r="R20" s="128"/>
      <c r="S20" s="54"/>
      <c r="T20" s="64"/>
      <c r="U20" s="69"/>
      <c r="V20" s="127"/>
      <c r="X20" s="21"/>
      <c r="Y20" s="128"/>
      <c r="Z20" s="54"/>
      <c r="AA20" s="64"/>
      <c r="AB20" s="69"/>
      <c r="AC20" s="127"/>
      <c r="AD20">
        <f t="shared" si="2"/>
        <v>0</v>
      </c>
    </row>
    <row r="21" spans="1:30" x14ac:dyDescent="0.15">
      <c r="A21" s="2" t="s">
        <v>15</v>
      </c>
      <c r="C21" s="21">
        <v>1</v>
      </c>
      <c r="D21" s="128"/>
      <c r="E21" s="54"/>
      <c r="F21" s="64"/>
      <c r="G21" s="69"/>
      <c r="H21" s="127"/>
      <c r="J21" s="21">
        <v>1</v>
      </c>
      <c r="K21" s="128"/>
      <c r="L21" s="54"/>
      <c r="M21" s="64"/>
      <c r="N21" s="69"/>
      <c r="O21" s="127"/>
      <c r="Q21" s="21">
        <v>2</v>
      </c>
      <c r="R21" s="128"/>
      <c r="S21" s="54"/>
      <c r="T21" s="64"/>
      <c r="U21" s="69"/>
      <c r="V21" s="127"/>
      <c r="X21" s="21">
        <v>2</v>
      </c>
      <c r="Y21" s="128"/>
      <c r="Z21" s="54"/>
      <c r="AA21" s="64"/>
      <c r="AB21" s="69"/>
      <c r="AC21" s="127"/>
      <c r="AD21">
        <f t="shared" si="2"/>
        <v>4</v>
      </c>
    </row>
    <row r="22" spans="1:30" x14ac:dyDescent="0.15">
      <c r="A22" s="2" t="s">
        <v>5</v>
      </c>
      <c r="C22" s="21"/>
      <c r="D22" s="128">
        <v>1</v>
      </c>
      <c r="E22" s="54"/>
      <c r="F22" s="64"/>
      <c r="G22" s="69">
        <v>1</v>
      </c>
      <c r="H22" s="127"/>
      <c r="I22">
        <v>2</v>
      </c>
      <c r="J22" s="21">
        <v>1</v>
      </c>
      <c r="K22" s="128"/>
      <c r="L22" s="54">
        <v>2</v>
      </c>
      <c r="M22" s="64">
        <v>2</v>
      </c>
      <c r="N22" s="69">
        <v>1</v>
      </c>
      <c r="O22" s="127">
        <v>1</v>
      </c>
      <c r="P22">
        <v>1</v>
      </c>
      <c r="Q22" s="21">
        <v>1</v>
      </c>
      <c r="R22" s="128">
        <v>1</v>
      </c>
      <c r="S22" s="54">
        <v>1</v>
      </c>
      <c r="T22" s="64">
        <v>1</v>
      </c>
      <c r="U22" s="69">
        <v>1</v>
      </c>
      <c r="V22" s="127">
        <v>1</v>
      </c>
      <c r="W22">
        <v>1</v>
      </c>
      <c r="X22" s="21">
        <v>1</v>
      </c>
      <c r="Y22" s="128">
        <v>1</v>
      </c>
      <c r="Z22" s="54">
        <v>1</v>
      </c>
      <c r="AA22" s="64">
        <v>1</v>
      </c>
      <c r="AB22" s="69"/>
      <c r="AC22" s="127"/>
      <c r="AD22">
        <f t="shared" si="2"/>
        <v>20</v>
      </c>
    </row>
    <row r="23" spans="1:30" x14ac:dyDescent="0.15">
      <c r="A23" s="2" t="s">
        <v>46</v>
      </c>
      <c r="C23" s="21"/>
      <c r="D23" s="128"/>
      <c r="E23" s="54"/>
      <c r="F23" s="64">
        <v>1</v>
      </c>
      <c r="G23" s="69">
        <v>1</v>
      </c>
      <c r="H23" s="127">
        <v>1</v>
      </c>
      <c r="I23">
        <v>2</v>
      </c>
      <c r="J23" s="21"/>
      <c r="K23" s="128"/>
      <c r="L23" s="54">
        <v>1</v>
      </c>
      <c r="M23" s="64">
        <v>1</v>
      </c>
      <c r="N23" s="69">
        <v>1</v>
      </c>
      <c r="O23" s="127">
        <v>1</v>
      </c>
      <c r="Q23" s="21">
        <v>1</v>
      </c>
      <c r="R23" s="128">
        <v>1</v>
      </c>
      <c r="S23" s="54">
        <v>2</v>
      </c>
      <c r="T23" s="64">
        <v>2</v>
      </c>
      <c r="U23" s="69">
        <v>2</v>
      </c>
      <c r="V23" s="127">
        <v>1</v>
      </c>
      <c r="X23" s="21"/>
      <c r="Y23" s="128"/>
      <c r="Z23" s="54"/>
      <c r="AA23" s="64"/>
      <c r="AB23" s="69"/>
      <c r="AC23" s="127"/>
      <c r="AD23">
        <f t="shared" si="2"/>
        <v>14</v>
      </c>
    </row>
    <row r="24" spans="1:30" x14ac:dyDescent="0.15">
      <c r="A24" s="2" t="s">
        <v>228</v>
      </c>
      <c r="C24" s="21"/>
      <c r="D24" s="128"/>
      <c r="E24" s="54"/>
      <c r="F24" s="64"/>
      <c r="G24" s="69"/>
      <c r="H24" s="127"/>
      <c r="J24" s="21"/>
      <c r="K24" s="128"/>
      <c r="L24" s="54"/>
      <c r="M24" s="64"/>
      <c r="N24" s="69"/>
      <c r="O24" s="127"/>
      <c r="Q24" s="21"/>
      <c r="R24" s="128"/>
      <c r="S24" s="54">
        <v>1</v>
      </c>
      <c r="T24" s="64"/>
      <c r="U24" s="69"/>
      <c r="V24" s="127">
        <v>1</v>
      </c>
      <c r="X24" s="21"/>
      <c r="Y24" s="128"/>
      <c r="Z24" s="54"/>
      <c r="AA24" s="64"/>
      <c r="AB24" s="69"/>
      <c r="AC24" s="127"/>
      <c r="AD24">
        <f t="shared" si="2"/>
        <v>2</v>
      </c>
    </row>
    <row r="25" spans="1:30" x14ac:dyDescent="0.15">
      <c r="A25" s="5" t="s">
        <v>133</v>
      </c>
      <c r="C25" s="21"/>
      <c r="D25" s="128"/>
      <c r="E25" s="54"/>
      <c r="F25" s="64">
        <v>1</v>
      </c>
      <c r="G25" s="69"/>
      <c r="H25" s="127"/>
      <c r="J25" s="21"/>
      <c r="K25" s="128"/>
      <c r="L25" s="54"/>
      <c r="M25" s="64"/>
      <c r="N25" s="69"/>
      <c r="O25" s="127"/>
      <c r="Q25" s="21"/>
      <c r="R25" s="128"/>
      <c r="S25" s="54"/>
      <c r="T25" s="64"/>
      <c r="U25" s="69"/>
      <c r="V25" s="127"/>
      <c r="X25" s="21"/>
      <c r="Y25" s="128"/>
      <c r="Z25" s="54"/>
      <c r="AA25" s="64"/>
      <c r="AB25" s="69"/>
      <c r="AC25" s="127"/>
      <c r="AD25">
        <f t="shared" si="2"/>
        <v>1</v>
      </c>
    </row>
    <row r="26" spans="1:30" x14ac:dyDescent="0.15">
      <c r="A26" s="5" t="s">
        <v>212</v>
      </c>
      <c r="C26" s="21"/>
      <c r="D26" s="128"/>
      <c r="E26" s="54"/>
      <c r="F26" s="64"/>
      <c r="G26" s="69"/>
      <c r="H26" s="127"/>
      <c r="J26" s="21"/>
      <c r="K26" s="128"/>
      <c r="L26" s="54"/>
      <c r="M26" s="64"/>
      <c r="N26" s="69"/>
      <c r="O26" s="127"/>
      <c r="Q26" s="21"/>
      <c r="R26" s="128"/>
      <c r="S26" s="54"/>
      <c r="T26" s="64"/>
      <c r="U26" s="69"/>
      <c r="V26" s="127"/>
      <c r="X26" s="21"/>
      <c r="Y26" s="128"/>
      <c r="Z26" s="54"/>
      <c r="AA26" s="64"/>
      <c r="AB26" s="69"/>
      <c r="AC26" s="127"/>
      <c r="AD26">
        <f t="shared" si="2"/>
        <v>0</v>
      </c>
    </row>
    <row r="27" spans="1:30" x14ac:dyDescent="0.15">
      <c r="A27" s="2" t="s">
        <v>45</v>
      </c>
      <c r="C27" s="21"/>
      <c r="D27" s="128"/>
      <c r="E27" s="54"/>
      <c r="F27" s="64"/>
      <c r="G27" s="69"/>
      <c r="H27" s="127"/>
      <c r="J27" s="21"/>
      <c r="K27" s="128"/>
      <c r="L27" s="54"/>
      <c r="M27" s="64"/>
      <c r="N27" s="69"/>
      <c r="O27" s="127"/>
      <c r="Q27" s="21"/>
      <c r="R27" s="128"/>
      <c r="S27" s="54"/>
      <c r="T27" s="64">
        <v>1</v>
      </c>
      <c r="U27" s="69"/>
      <c r="V27" s="127"/>
      <c r="X27" s="21"/>
      <c r="Y27" s="128"/>
      <c r="Z27" s="54"/>
      <c r="AA27" s="64"/>
      <c r="AB27" s="69"/>
      <c r="AC27" s="127"/>
      <c r="AD27">
        <f t="shared" si="2"/>
        <v>1</v>
      </c>
    </row>
    <row r="28" spans="1:30" x14ac:dyDescent="0.15">
      <c r="A28" s="2" t="s">
        <v>16</v>
      </c>
      <c r="C28" s="21"/>
      <c r="D28" s="128"/>
      <c r="E28" s="54"/>
      <c r="F28" s="64"/>
      <c r="G28" s="69"/>
      <c r="H28" s="127"/>
      <c r="J28" s="21">
        <v>1</v>
      </c>
      <c r="K28" s="128"/>
      <c r="L28" s="54">
        <v>1</v>
      </c>
      <c r="M28" s="64">
        <v>1</v>
      </c>
      <c r="N28" s="69">
        <v>1</v>
      </c>
      <c r="O28" s="127">
        <v>2</v>
      </c>
      <c r="Q28" s="21">
        <v>2</v>
      </c>
      <c r="R28" s="128">
        <v>1</v>
      </c>
      <c r="S28" s="54">
        <v>1</v>
      </c>
      <c r="T28" s="64">
        <v>2</v>
      </c>
      <c r="U28" s="69">
        <v>1</v>
      </c>
      <c r="V28" s="127">
        <v>2</v>
      </c>
      <c r="X28" s="21">
        <v>1</v>
      </c>
      <c r="Y28" s="128"/>
      <c r="Z28" s="54">
        <v>1</v>
      </c>
      <c r="AA28" s="64">
        <v>1</v>
      </c>
      <c r="AB28" s="69">
        <v>2</v>
      </c>
      <c r="AC28" s="127"/>
      <c r="AD28">
        <f t="shared" si="2"/>
        <v>15</v>
      </c>
    </row>
    <row r="29" spans="1:30" x14ac:dyDescent="0.15">
      <c r="A29" s="2" t="s">
        <v>219</v>
      </c>
      <c r="C29" s="21"/>
      <c r="D29" s="128"/>
      <c r="E29" s="54"/>
      <c r="F29" s="64"/>
      <c r="G29" s="69"/>
      <c r="H29" s="127"/>
      <c r="J29" s="21"/>
      <c r="K29" s="128"/>
      <c r="L29" s="54"/>
      <c r="M29" s="64"/>
      <c r="N29" s="69"/>
      <c r="O29" s="127"/>
      <c r="Q29" s="21"/>
      <c r="R29" s="128"/>
      <c r="S29" s="54"/>
      <c r="T29" s="64"/>
      <c r="U29" s="69"/>
      <c r="V29" s="127"/>
      <c r="X29" s="21"/>
      <c r="Y29" s="128"/>
      <c r="Z29" s="54"/>
      <c r="AA29" s="64"/>
      <c r="AB29" s="69"/>
      <c r="AC29" s="127"/>
      <c r="AD29">
        <f t="shared" si="2"/>
        <v>0</v>
      </c>
    </row>
    <row r="30" spans="1:30" x14ac:dyDescent="0.15">
      <c r="A30" s="5" t="s">
        <v>70</v>
      </c>
      <c r="C30" s="21"/>
      <c r="D30" s="128"/>
      <c r="E30" s="54"/>
      <c r="F30" s="64"/>
      <c r="G30" s="69"/>
      <c r="H30" s="127"/>
      <c r="J30" s="21"/>
      <c r="K30" s="128"/>
      <c r="L30" s="54"/>
      <c r="M30" s="64"/>
      <c r="N30" s="69"/>
      <c r="O30" s="127"/>
      <c r="Q30" s="21"/>
      <c r="R30" s="128"/>
      <c r="S30" s="54"/>
      <c r="T30" s="64"/>
      <c r="U30" s="69"/>
      <c r="V30" s="127"/>
      <c r="X30" s="21"/>
      <c r="Y30" s="128"/>
      <c r="Z30" s="54"/>
      <c r="AA30" s="64"/>
      <c r="AB30" s="69"/>
      <c r="AC30" s="127"/>
      <c r="AD30">
        <f t="shared" si="2"/>
        <v>0</v>
      </c>
    </row>
    <row r="31" spans="1:30" x14ac:dyDescent="0.15">
      <c r="A31" s="5" t="s">
        <v>221</v>
      </c>
      <c r="C31" s="21"/>
      <c r="D31" s="128"/>
      <c r="E31" s="54"/>
      <c r="F31" s="64"/>
      <c r="G31" s="69"/>
      <c r="H31" s="127"/>
      <c r="J31" s="21"/>
      <c r="K31" s="128"/>
      <c r="L31" s="54"/>
      <c r="M31" s="64"/>
      <c r="N31" s="69"/>
      <c r="O31" s="127"/>
      <c r="Q31" s="21"/>
      <c r="R31" s="128"/>
      <c r="S31" s="54"/>
      <c r="T31" s="64"/>
      <c r="U31" s="69"/>
      <c r="V31" s="127"/>
      <c r="X31" s="21"/>
      <c r="Y31" s="128"/>
      <c r="Z31" s="54"/>
      <c r="AA31" s="64"/>
      <c r="AB31" s="69"/>
      <c r="AC31" s="127"/>
      <c r="AD31">
        <f t="shared" si="2"/>
        <v>0</v>
      </c>
    </row>
    <row r="32" spans="1:30" x14ac:dyDescent="0.15">
      <c r="A32" s="5" t="s">
        <v>199</v>
      </c>
      <c r="C32" s="21"/>
      <c r="D32" s="128"/>
      <c r="E32" s="54"/>
      <c r="F32" s="64"/>
      <c r="G32" s="69"/>
      <c r="H32" s="127"/>
      <c r="J32" s="21"/>
      <c r="K32" s="128"/>
      <c r="L32" s="54"/>
      <c r="M32" s="64"/>
      <c r="N32" s="69"/>
      <c r="O32" s="127"/>
      <c r="Q32" s="21"/>
      <c r="R32" s="128"/>
      <c r="S32" s="54"/>
      <c r="T32" s="64"/>
      <c r="U32" s="69"/>
      <c r="V32" s="127"/>
      <c r="X32" s="21"/>
      <c r="Y32" s="128"/>
      <c r="Z32" s="54"/>
      <c r="AA32" s="64"/>
      <c r="AB32" s="69"/>
      <c r="AC32" s="127"/>
      <c r="AD32">
        <f t="shared" si="2"/>
        <v>0</v>
      </c>
    </row>
    <row r="33" spans="1:30" x14ac:dyDescent="0.15">
      <c r="A33" s="5" t="s">
        <v>222</v>
      </c>
      <c r="C33" s="21"/>
      <c r="D33" s="128"/>
      <c r="E33" s="54"/>
      <c r="F33" s="64"/>
      <c r="G33" s="69"/>
      <c r="H33" s="127"/>
      <c r="J33" s="21"/>
      <c r="K33" s="128"/>
      <c r="L33" s="54"/>
      <c r="M33" s="64"/>
      <c r="N33" s="69"/>
      <c r="O33" s="127"/>
      <c r="Q33" s="21"/>
      <c r="R33" s="128"/>
      <c r="S33" s="54"/>
      <c r="T33" s="64"/>
      <c r="U33" s="69"/>
      <c r="V33" s="127"/>
      <c r="X33" s="21"/>
      <c r="Y33" s="128"/>
      <c r="Z33" s="54"/>
      <c r="AA33" s="64"/>
      <c r="AB33" s="69"/>
      <c r="AC33" s="127"/>
      <c r="AD33">
        <f t="shared" si="2"/>
        <v>0</v>
      </c>
    </row>
    <row r="34" spans="1:30" x14ac:dyDescent="0.15">
      <c r="A34" s="2" t="s">
        <v>62</v>
      </c>
      <c r="C34" s="21"/>
      <c r="D34" s="128"/>
      <c r="E34" s="54"/>
      <c r="F34" s="64"/>
      <c r="G34" s="69"/>
      <c r="H34" s="127"/>
      <c r="J34" s="21"/>
      <c r="K34" s="128"/>
      <c r="L34" s="54"/>
      <c r="M34" s="64"/>
      <c r="N34" s="69"/>
      <c r="O34" s="127"/>
      <c r="Q34" s="21"/>
      <c r="R34" s="128"/>
      <c r="S34" s="54"/>
      <c r="T34" s="64"/>
      <c r="U34" s="69"/>
      <c r="V34" s="127"/>
      <c r="X34" s="21"/>
      <c r="Y34" s="128"/>
      <c r="Z34" s="54"/>
      <c r="AA34" s="64"/>
      <c r="AB34" s="69"/>
      <c r="AC34" s="127"/>
      <c r="AD34">
        <f t="shared" si="2"/>
        <v>0</v>
      </c>
    </row>
    <row r="35" spans="1:30" x14ac:dyDescent="0.15">
      <c r="A35" s="2" t="s">
        <v>17</v>
      </c>
      <c r="C35" s="21"/>
      <c r="D35" s="128"/>
      <c r="E35" s="54"/>
      <c r="F35" s="64"/>
      <c r="G35" s="69"/>
      <c r="H35" s="127"/>
      <c r="J35" s="21"/>
      <c r="K35" s="128"/>
      <c r="L35" s="54"/>
      <c r="M35" s="64"/>
      <c r="N35" s="69"/>
      <c r="O35" s="127"/>
      <c r="Q35" s="21"/>
      <c r="R35" s="128">
        <v>1</v>
      </c>
      <c r="S35" s="54"/>
      <c r="T35" s="64">
        <v>1</v>
      </c>
      <c r="U35" s="69"/>
      <c r="V35" s="127"/>
      <c r="X35" s="21"/>
      <c r="Y35" s="128"/>
      <c r="Z35" s="54"/>
      <c r="AA35" s="64"/>
      <c r="AB35" s="69"/>
      <c r="AC35" s="127"/>
      <c r="AD35">
        <f t="shared" si="2"/>
        <v>2</v>
      </c>
    </row>
    <row r="36" spans="1:30" x14ac:dyDescent="0.15">
      <c r="A36" s="2" t="s">
        <v>49</v>
      </c>
      <c r="C36" s="21"/>
      <c r="D36" s="128">
        <v>2</v>
      </c>
      <c r="E36" s="54">
        <v>2</v>
      </c>
      <c r="F36" s="64">
        <v>1</v>
      </c>
      <c r="G36" s="69">
        <v>2</v>
      </c>
      <c r="H36" s="127">
        <v>1</v>
      </c>
      <c r="J36" s="21"/>
      <c r="K36" s="128">
        <v>1</v>
      </c>
      <c r="L36" s="54">
        <v>3</v>
      </c>
      <c r="M36" s="64">
        <v>2</v>
      </c>
      <c r="N36" s="69">
        <v>2</v>
      </c>
      <c r="O36" s="127">
        <v>1</v>
      </c>
      <c r="Q36" s="21"/>
      <c r="R36" s="128"/>
      <c r="S36" s="54">
        <v>2</v>
      </c>
      <c r="T36" s="64">
        <v>2</v>
      </c>
      <c r="U36" s="69">
        <v>3</v>
      </c>
      <c r="V36" s="127">
        <v>1</v>
      </c>
      <c r="X36" s="21"/>
      <c r="Y36" s="128">
        <v>1</v>
      </c>
      <c r="Z36" s="54">
        <v>2</v>
      </c>
      <c r="AA36" s="64">
        <v>2</v>
      </c>
      <c r="AB36" s="69">
        <v>2</v>
      </c>
      <c r="AC36" s="127">
        <v>2</v>
      </c>
      <c r="AD36">
        <f t="shared" si="2"/>
        <v>19</v>
      </c>
    </row>
    <row r="37" spans="1:30" x14ac:dyDescent="0.15">
      <c r="A37" s="2" t="s">
        <v>6</v>
      </c>
      <c r="C37" s="21"/>
      <c r="D37" s="128"/>
      <c r="E37" s="54"/>
      <c r="F37" s="64">
        <v>3</v>
      </c>
      <c r="G37" s="69"/>
      <c r="H37" s="127"/>
      <c r="J37" s="21"/>
      <c r="K37" s="128"/>
      <c r="L37" s="54"/>
      <c r="M37" s="64"/>
      <c r="N37" s="69"/>
      <c r="O37" s="127"/>
      <c r="Q37" s="21"/>
      <c r="R37" s="128"/>
      <c r="S37" s="54"/>
      <c r="T37" s="64"/>
      <c r="U37" s="69"/>
      <c r="V37" s="127"/>
      <c r="X37" s="21"/>
      <c r="Y37" s="128"/>
      <c r="Z37" s="54"/>
      <c r="AA37" s="64"/>
      <c r="AB37" s="69"/>
      <c r="AC37" s="127"/>
      <c r="AD37">
        <f t="shared" si="2"/>
        <v>1</v>
      </c>
    </row>
    <row r="38" spans="1:30" x14ac:dyDescent="0.15">
      <c r="A38" s="2" t="s">
        <v>19</v>
      </c>
      <c r="C38" s="21"/>
      <c r="D38" s="128"/>
      <c r="E38" s="54"/>
      <c r="F38" s="64">
        <v>1</v>
      </c>
      <c r="G38" s="69">
        <v>1</v>
      </c>
      <c r="H38" s="127">
        <v>2</v>
      </c>
      <c r="J38" s="21"/>
      <c r="K38" s="128">
        <v>2</v>
      </c>
      <c r="L38" s="54">
        <v>3</v>
      </c>
      <c r="M38" s="64">
        <v>3</v>
      </c>
      <c r="N38" s="69">
        <v>4</v>
      </c>
      <c r="O38" s="127">
        <v>5</v>
      </c>
      <c r="Q38" s="21">
        <v>2</v>
      </c>
      <c r="R38" s="128">
        <v>2</v>
      </c>
      <c r="S38" s="54">
        <v>2</v>
      </c>
      <c r="T38" s="64">
        <v>2</v>
      </c>
      <c r="U38" s="69">
        <v>3</v>
      </c>
      <c r="V38" s="127">
        <v>3</v>
      </c>
      <c r="X38" s="21">
        <v>2</v>
      </c>
      <c r="Y38" s="128">
        <v>2</v>
      </c>
      <c r="Z38" s="54">
        <v>2</v>
      </c>
      <c r="AA38" s="64">
        <v>2</v>
      </c>
      <c r="AB38" s="69">
        <v>2</v>
      </c>
      <c r="AC38" s="127">
        <v>2</v>
      </c>
      <c r="AD38">
        <f t="shared" si="2"/>
        <v>20</v>
      </c>
    </row>
    <row r="39" spans="1:30" x14ac:dyDescent="0.15">
      <c r="A39" s="2" t="s">
        <v>68</v>
      </c>
      <c r="C39" s="21"/>
      <c r="D39" s="128"/>
      <c r="E39" s="54"/>
      <c r="F39" s="64"/>
      <c r="G39" s="69"/>
      <c r="H39" s="127"/>
      <c r="J39" s="21"/>
      <c r="K39" s="128"/>
      <c r="L39" s="54"/>
      <c r="M39" s="64"/>
      <c r="N39" s="69"/>
      <c r="O39" s="127"/>
      <c r="Q39" s="21"/>
      <c r="R39" s="128"/>
      <c r="S39" s="54"/>
      <c r="T39" s="64"/>
      <c r="U39" s="69"/>
      <c r="V39" s="127"/>
      <c r="X39" s="21"/>
      <c r="Y39" s="128"/>
      <c r="Z39" s="54"/>
      <c r="AA39" s="64"/>
      <c r="AB39" s="69"/>
      <c r="AC39" s="127"/>
      <c r="AD39">
        <f t="shared" si="2"/>
        <v>0</v>
      </c>
    </row>
    <row r="40" spans="1:30" x14ac:dyDescent="0.15">
      <c r="A40" s="2" t="s">
        <v>37</v>
      </c>
      <c r="C40" s="21"/>
      <c r="D40" s="128"/>
      <c r="E40" s="54"/>
      <c r="F40" s="64"/>
      <c r="G40" s="69"/>
      <c r="H40" s="127"/>
      <c r="J40" s="21"/>
      <c r="K40" s="128"/>
      <c r="L40" s="54"/>
      <c r="M40" s="64"/>
      <c r="N40" s="69"/>
      <c r="O40" s="127"/>
      <c r="Q40" s="21">
        <v>1</v>
      </c>
      <c r="R40" s="128">
        <v>1</v>
      </c>
      <c r="S40" s="54">
        <v>1</v>
      </c>
      <c r="T40" s="64">
        <v>1</v>
      </c>
      <c r="U40" s="69"/>
      <c r="V40" s="127"/>
      <c r="X40" s="21"/>
      <c r="Y40" s="128"/>
      <c r="Z40" s="54"/>
      <c r="AA40" s="64"/>
      <c r="AB40" s="69"/>
      <c r="AC40" s="127"/>
      <c r="AD40">
        <f t="shared" si="2"/>
        <v>4</v>
      </c>
    </row>
    <row r="41" spans="1:30" x14ac:dyDescent="0.15">
      <c r="A41" s="2" t="s">
        <v>20</v>
      </c>
      <c r="B41">
        <v>3</v>
      </c>
      <c r="C41" s="21">
        <v>2</v>
      </c>
      <c r="D41" s="128">
        <v>1</v>
      </c>
      <c r="E41" s="54">
        <v>2</v>
      </c>
      <c r="F41" s="64">
        <v>2</v>
      </c>
      <c r="G41" s="69">
        <v>2</v>
      </c>
      <c r="H41" s="127">
        <v>1</v>
      </c>
      <c r="I41">
        <v>1</v>
      </c>
      <c r="J41" s="21"/>
      <c r="K41" s="128">
        <v>1</v>
      </c>
      <c r="L41" s="54">
        <v>3</v>
      </c>
      <c r="M41" s="64">
        <v>2</v>
      </c>
      <c r="N41" s="69">
        <v>1</v>
      </c>
      <c r="O41" s="127">
        <v>1</v>
      </c>
      <c r="P41">
        <v>3</v>
      </c>
      <c r="Q41" s="21">
        <v>2</v>
      </c>
      <c r="R41" s="128">
        <v>2</v>
      </c>
      <c r="S41" s="54">
        <v>2</v>
      </c>
      <c r="T41" s="64">
        <v>2</v>
      </c>
      <c r="U41" s="69">
        <v>3</v>
      </c>
      <c r="V41" s="127">
        <v>2</v>
      </c>
      <c r="X41" s="21"/>
      <c r="Y41" s="128"/>
      <c r="Z41" s="54"/>
      <c r="AA41" s="64"/>
      <c r="AB41" s="69">
        <v>1</v>
      </c>
      <c r="AC41" s="127"/>
      <c r="AD41">
        <f t="shared" si="2"/>
        <v>21</v>
      </c>
    </row>
    <row r="42" spans="1:30" x14ac:dyDescent="0.15">
      <c r="A42" s="2" t="s">
        <v>11</v>
      </c>
      <c r="C42" s="21"/>
      <c r="D42" s="128"/>
      <c r="E42" s="54"/>
      <c r="F42" s="64"/>
      <c r="G42" s="69"/>
      <c r="H42" s="127"/>
      <c r="J42" s="21"/>
      <c r="K42" s="128"/>
      <c r="L42" s="54"/>
      <c r="M42" s="64"/>
      <c r="N42" s="69"/>
      <c r="O42" s="127"/>
      <c r="Q42" s="21"/>
      <c r="R42" s="128"/>
      <c r="S42" s="54"/>
      <c r="T42" s="64"/>
      <c r="U42" s="69"/>
      <c r="V42" s="127"/>
      <c r="X42" s="21"/>
      <c r="Y42" s="128"/>
      <c r="Z42" s="54"/>
      <c r="AA42" s="64"/>
      <c r="AB42" s="69"/>
      <c r="AC42" s="127"/>
      <c r="AD42">
        <f t="shared" si="2"/>
        <v>0</v>
      </c>
    </row>
    <row r="43" spans="1:30" x14ac:dyDescent="0.15">
      <c r="A43" s="2" t="s">
        <v>21</v>
      </c>
      <c r="C43" s="21"/>
      <c r="D43" s="128"/>
      <c r="E43" s="54"/>
      <c r="F43" s="64">
        <v>2</v>
      </c>
      <c r="G43" s="69">
        <v>3</v>
      </c>
      <c r="H43" s="127">
        <v>2</v>
      </c>
      <c r="I43">
        <v>4</v>
      </c>
      <c r="J43" s="21">
        <v>4</v>
      </c>
      <c r="K43" s="128">
        <v>3</v>
      </c>
      <c r="L43" s="54">
        <v>3</v>
      </c>
      <c r="M43" s="64">
        <v>2</v>
      </c>
      <c r="N43" s="69">
        <v>1</v>
      </c>
      <c r="O43" s="127">
        <v>2</v>
      </c>
      <c r="P43">
        <v>4</v>
      </c>
      <c r="Q43" s="21">
        <v>3</v>
      </c>
      <c r="R43" s="128">
        <v>2</v>
      </c>
      <c r="S43" s="54">
        <v>3</v>
      </c>
      <c r="T43" s="64">
        <v>3</v>
      </c>
      <c r="U43" s="69">
        <v>3</v>
      </c>
      <c r="V43" s="127">
        <v>2</v>
      </c>
      <c r="W43">
        <v>3</v>
      </c>
      <c r="X43" s="21">
        <v>3</v>
      </c>
      <c r="Y43" s="128">
        <v>3</v>
      </c>
      <c r="Z43" s="54">
        <v>2</v>
      </c>
      <c r="AA43" s="64">
        <v>2</v>
      </c>
      <c r="AB43" s="69">
        <v>3</v>
      </c>
      <c r="AC43" s="127">
        <v>2</v>
      </c>
      <c r="AD43">
        <f t="shared" si="2"/>
        <v>24</v>
      </c>
    </row>
    <row r="44" spans="1:30" x14ac:dyDescent="0.15">
      <c r="A44" s="2" t="s">
        <v>197</v>
      </c>
      <c r="C44" s="21">
        <v>1</v>
      </c>
      <c r="D44" s="128">
        <v>1</v>
      </c>
      <c r="E44" s="54">
        <v>1</v>
      </c>
      <c r="F44" s="64"/>
      <c r="G44" s="69"/>
      <c r="H44" s="127"/>
      <c r="J44" s="21">
        <v>1</v>
      </c>
      <c r="K44" s="128">
        <v>1</v>
      </c>
      <c r="L44" s="54">
        <v>1</v>
      </c>
      <c r="M44" s="64">
        <v>2</v>
      </c>
      <c r="N44" s="69">
        <v>1</v>
      </c>
      <c r="O44" s="127">
        <v>1</v>
      </c>
      <c r="Q44" s="21"/>
      <c r="R44" s="128"/>
      <c r="S44" s="54"/>
      <c r="T44" s="64"/>
      <c r="U44" s="69"/>
      <c r="V44" s="127"/>
      <c r="X44" s="21"/>
      <c r="Y44" s="128"/>
      <c r="Z44" s="54"/>
      <c r="AA44" s="64"/>
      <c r="AB44" s="69"/>
      <c r="AC44" s="127"/>
      <c r="AD44">
        <f t="shared" si="2"/>
        <v>9</v>
      </c>
    </row>
    <row r="45" spans="1:30" x14ac:dyDescent="0.15">
      <c r="A45" s="2" t="s">
        <v>196</v>
      </c>
      <c r="C45" s="21"/>
      <c r="D45" s="128">
        <v>1</v>
      </c>
      <c r="E45" s="54">
        <v>1</v>
      </c>
      <c r="F45" s="64">
        <v>1</v>
      </c>
      <c r="G45" s="69">
        <v>1</v>
      </c>
      <c r="H45" s="127">
        <v>1</v>
      </c>
      <c r="J45" s="21"/>
      <c r="K45" s="128"/>
      <c r="L45" s="54"/>
      <c r="M45" s="64"/>
      <c r="N45" s="69">
        <v>2</v>
      </c>
      <c r="O45" s="127">
        <v>3</v>
      </c>
      <c r="Q45" s="21"/>
      <c r="R45" s="128"/>
      <c r="S45" s="54"/>
      <c r="T45" s="64"/>
      <c r="U45" s="69"/>
      <c r="V45" s="127"/>
      <c r="X45" s="21"/>
      <c r="Y45" s="128"/>
      <c r="Z45" s="54"/>
      <c r="AA45" s="64"/>
      <c r="AB45" s="69"/>
      <c r="AC45" s="127"/>
      <c r="AD45">
        <f t="shared" si="2"/>
        <v>7</v>
      </c>
    </row>
    <row r="46" spans="1:30" x14ac:dyDescent="0.15">
      <c r="A46" s="5" t="s">
        <v>198</v>
      </c>
      <c r="C46" s="21"/>
      <c r="D46" s="128"/>
      <c r="E46" s="54"/>
      <c r="F46" s="64"/>
      <c r="G46" s="69"/>
      <c r="H46" s="127">
        <v>1</v>
      </c>
      <c r="J46" s="21"/>
      <c r="K46" s="128"/>
      <c r="L46" s="54">
        <v>1</v>
      </c>
      <c r="M46" s="64">
        <v>1</v>
      </c>
      <c r="N46" s="69">
        <v>1</v>
      </c>
      <c r="O46" s="127"/>
      <c r="Q46" s="21"/>
      <c r="R46" s="128"/>
      <c r="S46" s="54"/>
      <c r="T46" s="64"/>
      <c r="U46" s="69"/>
      <c r="V46" s="127"/>
      <c r="X46" s="21"/>
      <c r="Y46" s="128"/>
      <c r="Z46" s="54"/>
      <c r="AA46" s="64"/>
      <c r="AB46" s="69"/>
      <c r="AC46" s="127"/>
      <c r="AD46">
        <f t="shared" si="2"/>
        <v>4</v>
      </c>
    </row>
    <row r="47" spans="1:30" x14ac:dyDescent="0.15">
      <c r="A47" s="2" t="s">
        <v>35</v>
      </c>
      <c r="C47" s="21"/>
      <c r="D47" s="128"/>
      <c r="E47" s="54"/>
      <c r="F47" s="64">
        <v>1</v>
      </c>
      <c r="G47" s="69"/>
      <c r="H47" s="127">
        <v>1</v>
      </c>
      <c r="J47" s="21"/>
      <c r="K47" s="128">
        <v>1</v>
      </c>
      <c r="L47" s="54">
        <v>2</v>
      </c>
      <c r="M47" s="64">
        <v>1</v>
      </c>
      <c r="N47" s="69">
        <v>1</v>
      </c>
      <c r="O47" s="127">
        <v>1</v>
      </c>
      <c r="P47">
        <v>2</v>
      </c>
      <c r="Q47" s="21">
        <v>1</v>
      </c>
      <c r="R47" s="128">
        <v>1</v>
      </c>
      <c r="S47" s="54"/>
      <c r="T47" s="64">
        <v>1</v>
      </c>
      <c r="U47" s="69">
        <v>1</v>
      </c>
      <c r="V47" s="127">
        <v>1</v>
      </c>
      <c r="W47">
        <v>1</v>
      </c>
      <c r="X47" s="21"/>
      <c r="Y47" s="128">
        <v>1</v>
      </c>
      <c r="Z47" s="54">
        <v>1</v>
      </c>
      <c r="AA47" s="64">
        <v>1</v>
      </c>
      <c r="AB47" s="69">
        <v>1</v>
      </c>
      <c r="AC47" s="127">
        <v>1</v>
      </c>
      <c r="AD47">
        <f t="shared" si="2"/>
        <v>19</v>
      </c>
    </row>
    <row r="48" spans="1:30" x14ac:dyDescent="0.15">
      <c r="A48" s="2" t="s">
        <v>110</v>
      </c>
      <c r="C48" s="21"/>
      <c r="D48" s="128"/>
      <c r="E48" s="54"/>
      <c r="F48" s="64"/>
      <c r="G48" s="69"/>
      <c r="H48" s="127"/>
      <c r="J48" s="21"/>
      <c r="K48" s="128"/>
      <c r="L48" s="54"/>
      <c r="M48" s="64"/>
      <c r="N48" s="69"/>
      <c r="O48" s="127"/>
      <c r="Q48" s="21"/>
      <c r="R48" s="128"/>
      <c r="S48" s="54"/>
      <c r="T48" s="64"/>
      <c r="U48" s="69"/>
      <c r="V48" s="127"/>
      <c r="X48" s="21"/>
      <c r="Y48" s="128"/>
      <c r="Z48" s="54"/>
      <c r="AA48" s="64"/>
      <c r="AB48" s="69"/>
      <c r="AC48" s="127"/>
      <c r="AD48">
        <f t="shared" si="2"/>
        <v>0</v>
      </c>
    </row>
    <row r="49" spans="1:30" x14ac:dyDescent="0.15">
      <c r="A49" s="2" t="s">
        <v>25</v>
      </c>
      <c r="C49" s="21"/>
      <c r="D49" s="128"/>
      <c r="E49" s="54"/>
      <c r="F49" s="64"/>
      <c r="G49" s="69"/>
      <c r="H49" s="127"/>
      <c r="J49" s="21"/>
      <c r="K49" s="128"/>
      <c r="L49" s="54"/>
      <c r="M49" s="64"/>
      <c r="N49" s="69"/>
      <c r="O49" s="127"/>
      <c r="P49">
        <v>1</v>
      </c>
      <c r="Q49" s="21">
        <v>1</v>
      </c>
      <c r="R49" s="128">
        <v>1</v>
      </c>
      <c r="S49" s="54"/>
      <c r="T49" s="64"/>
      <c r="U49" s="69"/>
      <c r="V49" s="127"/>
      <c r="X49" s="21"/>
      <c r="Y49" s="128"/>
      <c r="Z49" s="54"/>
      <c r="AA49" s="64"/>
      <c r="AB49" s="69"/>
      <c r="AC49" s="127"/>
      <c r="AD49">
        <f t="shared" si="2"/>
        <v>3</v>
      </c>
    </row>
    <row r="50" spans="1:30" x14ac:dyDescent="0.15">
      <c r="A50" s="2" t="s">
        <v>38</v>
      </c>
      <c r="C50" s="21"/>
      <c r="D50" s="128"/>
      <c r="E50" s="54"/>
      <c r="F50" s="64"/>
      <c r="G50" s="69"/>
      <c r="H50" s="127"/>
      <c r="J50" s="21"/>
      <c r="K50" s="128"/>
      <c r="L50" s="54"/>
      <c r="M50" s="64">
        <v>1</v>
      </c>
      <c r="N50" s="69"/>
      <c r="O50" s="127"/>
      <c r="Q50" s="21"/>
      <c r="R50" s="128"/>
      <c r="S50" s="54"/>
      <c r="T50" s="64"/>
      <c r="U50" s="69"/>
      <c r="V50" s="127"/>
      <c r="X50" s="21"/>
      <c r="Y50" s="128"/>
      <c r="Z50" s="54"/>
      <c r="AA50" s="64"/>
      <c r="AB50" s="69"/>
      <c r="AC50" s="127"/>
      <c r="AD50">
        <f t="shared" si="2"/>
        <v>1</v>
      </c>
    </row>
    <row r="51" spans="1:30" x14ac:dyDescent="0.15">
      <c r="A51" s="2" t="s">
        <v>27</v>
      </c>
      <c r="C51" s="21"/>
      <c r="D51" s="128"/>
      <c r="E51" s="54"/>
      <c r="F51" s="64"/>
      <c r="G51" s="69"/>
      <c r="H51" s="127"/>
      <c r="J51" s="21">
        <v>1</v>
      </c>
      <c r="K51" s="128">
        <v>1</v>
      </c>
      <c r="L51" s="54">
        <v>2</v>
      </c>
      <c r="M51" s="64">
        <v>2</v>
      </c>
      <c r="N51" s="69">
        <v>2</v>
      </c>
      <c r="O51" s="127">
        <v>1</v>
      </c>
      <c r="P51">
        <v>2</v>
      </c>
      <c r="Q51" s="21">
        <v>3</v>
      </c>
      <c r="R51" s="128">
        <v>1</v>
      </c>
      <c r="S51" s="54">
        <v>2</v>
      </c>
      <c r="T51" s="64">
        <v>1</v>
      </c>
      <c r="U51" s="69">
        <v>3</v>
      </c>
      <c r="V51" s="127">
        <v>2</v>
      </c>
      <c r="X51" s="21"/>
      <c r="Y51" s="128"/>
      <c r="Z51" s="54"/>
      <c r="AA51" s="64"/>
      <c r="AB51" s="69"/>
      <c r="AC51" s="127"/>
      <c r="AD51">
        <f t="shared" si="2"/>
        <v>13</v>
      </c>
    </row>
    <row r="52" spans="1:30" x14ac:dyDescent="0.15">
      <c r="A52" s="2" t="s">
        <v>229</v>
      </c>
      <c r="C52" s="21"/>
      <c r="D52" s="128"/>
      <c r="E52" s="54"/>
      <c r="F52" s="64"/>
      <c r="G52" s="69"/>
      <c r="H52" s="127"/>
      <c r="J52" s="21"/>
      <c r="K52" s="128"/>
      <c r="L52" s="54"/>
      <c r="M52" s="64"/>
      <c r="N52" s="69"/>
      <c r="O52" s="127"/>
      <c r="Q52" s="21"/>
      <c r="R52" s="128"/>
      <c r="S52" s="54"/>
      <c r="T52" s="64"/>
      <c r="U52" s="69"/>
      <c r="V52" s="127"/>
      <c r="X52" s="21"/>
      <c r="Y52" s="128"/>
      <c r="Z52" s="54"/>
      <c r="AA52" s="64"/>
      <c r="AB52" s="69"/>
      <c r="AC52" s="127"/>
      <c r="AD52">
        <f t="shared" si="2"/>
        <v>0</v>
      </c>
    </row>
    <row r="53" spans="1:30" x14ac:dyDescent="0.15">
      <c r="A53" s="2" t="s">
        <v>36</v>
      </c>
      <c r="C53" s="21"/>
      <c r="D53" s="128"/>
      <c r="E53" s="54"/>
      <c r="F53" s="64"/>
      <c r="G53" s="69"/>
      <c r="H53" s="127"/>
      <c r="J53" s="21"/>
      <c r="K53" s="128"/>
      <c r="L53" s="54"/>
      <c r="M53" s="64"/>
      <c r="N53" s="69"/>
      <c r="O53" s="127"/>
      <c r="Q53" s="21">
        <v>1</v>
      </c>
      <c r="R53" s="128"/>
      <c r="S53" s="54">
        <v>1</v>
      </c>
      <c r="T53" s="64"/>
      <c r="U53" s="69"/>
      <c r="V53" s="127"/>
      <c r="X53" s="21"/>
      <c r="Y53" s="128"/>
      <c r="Z53" s="54"/>
      <c r="AA53" s="64"/>
      <c r="AB53" s="69"/>
      <c r="AC53" s="127"/>
      <c r="AD53">
        <f t="shared" si="2"/>
        <v>2</v>
      </c>
    </row>
    <row r="54" spans="1:30" x14ac:dyDescent="0.15">
      <c r="A54" s="2" t="s">
        <v>50</v>
      </c>
      <c r="C54" s="21"/>
      <c r="D54" s="128">
        <v>1</v>
      </c>
      <c r="E54" s="54"/>
      <c r="F54" s="64"/>
      <c r="G54" s="69">
        <v>1</v>
      </c>
      <c r="H54" s="127">
        <v>1</v>
      </c>
      <c r="J54" s="21"/>
      <c r="K54" s="128"/>
      <c r="L54" s="54">
        <v>1</v>
      </c>
      <c r="M54" s="64">
        <v>1</v>
      </c>
      <c r="N54" s="69">
        <v>1</v>
      </c>
      <c r="O54" s="127">
        <v>1</v>
      </c>
      <c r="Q54" s="21"/>
      <c r="R54" s="128"/>
      <c r="S54" s="54"/>
      <c r="T54" s="64"/>
      <c r="U54" s="69"/>
      <c r="V54" s="127"/>
      <c r="X54" s="21"/>
      <c r="Y54" s="128"/>
      <c r="Z54" s="54"/>
      <c r="AA54" s="64"/>
      <c r="AB54" s="69"/>
      <c r="AC54" s="127"/>
      <c r="AD54">
        <f t="shared" si="2"/>
        <v>7</v>
      </c>
    </row>
    <row r="55" spans="1:30" x14ac:dyDescent="0.15">
      <c r="A55" s="2" t="s">
        <v>231</v>
      </c>
      <c r="C55" s="21"/>
      <c r="D55" s="128"/>
      <c r="E55" s="54"/>
      <c r="F55" s="64"/>
      <c r="G55" s="69"/>
      <c r="H55" s="127"/>
      <c r="J55" s="21"/>
      <c r="K55" s="128"/>
      <c r="L55" s="54"/>
      <c r="M55" s="64"/>
      <c r="N55" s="69"/>
      <c r="O55" s="127"/>
      <c r="Q55" s="21"/>
      <c r="R55" s="128"/>
      <c r="S55" s="54"/>
      <c r="T55" s="64"/>
      <c r="U55" s="69"/>
      <c r="V55" s="127"/>
      <c r="X55" s="21"/>
      <c r="Y55" s="128"/>
      <c r="Z55" s="54"/>
      <c r="AA55" s="64"/>
      <c r="AB55" s="69"/>
      <c r="AC55" s="127"/>
      <c r="AD55">
        <f t="shared" si="2"/>
        <v>0</v>
      </c>
    </row>
    <row r="56" spans="1:30" x14ac:dyDescent="0.15">
      <c r="A56" s="2" t="s">
        <v>190</v>
      </c>
      <c r="C56" s="21"/>
      <c r="D56" s="128"/>
      <c r="E56" s="54"/>
      <c r="F56" s="64"/>
      <c r="G56" s="69"/>
      <c r="H56" s="127"/>
      <c r="J56" s="21"/>
      <c r="K56" s="128"/>
      <c r="L56" s="54"/>
      <c r="M56" s="64">
        <v>1</v>
      </c>
      <c r="N56" s="69"/>
      <c r="O56" s="127"/>
      <c r="Q56" s="21"/>
      <c r="R56" s="128"/>
      <c r="S56" s="54"/>
      <c r="T56" s="64"/>
      <c r="U56" s="69"/>
      <c r="V56" s="127"/>
      <c r="X56" s="21"/>
      <c r="Y56" s="128"/>
      <c r="Z56" s="54"/>
      <c r="AA56" s="64"/>
      <c r="AB56" s="69"/>
      <c r="AC56" s="127"/>
      <c r="AD56">
        <f t="shared" si="2"/>
        <v>1</v>
      </c>
    </row>
    <row r="57" spans="1:30" x14ac:dyDescent="0.15">
      <c r="A57" s="2" t="s">
        <v>58</v>
      </c>
      <c r="C57" s="21"/>
      <c r="D57" s="128"/>
      <c r="E57" s="54"/>
      <c r="F57" s="64">
        <v>1</v>
      </c>
      <c r="G57" s="69"/>
      <c r="H57" s="127"/>
      <c r="J57" s="21"/>
      <c r="K57" s="128"/>
      <c r="L57" s="54"/>
      <c r="M57" s="64"/>
      <c r="N57" s="69"/>
      <c r="O57" s="127"/>
      <c r="Q57" s="21"/>
      <c r="R57" s="128"/>
      <c r="S57" s="54"/>
      <c r="T57" s="64"/>
      <c r="U57" s="69"/>
      <c r="V57" s="127"/>
      <c r="X57" s="21"/>
      <c r="Y57" s="128"/>
      <c r="Z57" s="54"/>
      <c r="AA57" s="64"/>
      <c r="AB57" s="69"/>
      <c r="AC57" s="127"/>
      <c r="AD57">
        <f t="shared" si="2"/>
        <v>1</v>
      </c>
    </row>
    <row r="58" spans="1:30" x14ac:dyDescent="0.15">
      <c r="A58" s="2" t="s">
        <v>57</v>
      </c>
      <c r="C58" s="21"/>
      <c r="D58" s="128"/>
      <c r="E58" s="54"/>
      <c r="F58" s="64"/>
      <c r="G58" s="69"/>
      <c r="H58" s="127"/>
      <c r="J58" s="21"/>
      <c r="K58" s="128">
        <v>1</v>
      </c>
      <c r="L58" s="54"/>
      <c r="M58" s="64"/>
      <c r="N58" s="69"/>
      <c r="O58" s="127"/>
      <c r="Q58" s="21"/>
      <c r="R58" s="128"/>
      <c r="S58" s="54"/>
      <c r="T58" s="64"/>
      <c r="U58" s="69"/>
      <c r="V58" s="127"/>
      <c r="X58" s="21"/>
      <c r="Y58" s="128"/>
      <c r="Z58" s="54"/>
      <c r="AA58" s="64"/>
      <c r="AB58" s="69"/>
      <c r="AC58" s="127"/>
      <c r="AD58">
        <f t="shared" si="2"/>
        <v>1</v>
      </c>
    </row>
    <row r="59" spans="1:30" x14ac:dyDescent="0.15">
      <c r="A59" s="2" t="s">
        <v>28</v>
      </c>
      <c r="B59">
        <v>2</v>
      </c>
      <c r="C59" s="21"/>
      <c r="D59" s="128">
        <v>1</v>
      </c>
      <c r="E59" s="54">
        <v>1</v>
      </c>
      <c r="F59" s="64">
        <v>1</v>
      </c>
      <c r="G59" s="69">
        <v>1</v>
      </c>
      <c r="H59" s="127">
        <v>1</v>
      </c>
      <c r="J59" s="21"/>
      <c r="K59" s="128"/>
      <c r="L59" s="54"/>
      <c r="M59" s="64"/>
      <c r="N59" s="69"/>
      <c r="O59" s="127"/>
      <c r="Q59" s="21"/>
      <c r="R59" s="128"/>
      <c r="S59" s="54"/>
      <c r="T59" s="64"/>
      <c r="U59" s="69"/>
      <c r="V59" s="127"/>
      <c r="X59" s="21"/>
      <c r="Y59" s="128"/>
      <c r="Z59" s="54"/>
      <c r="AA59" s="64"/>
      <c r="AB59" s="69"/>
      <c r="AC59" s="127"/>
      <c r="AD59">
        <f t="shared" si="2"/>
        <v>6</v>
      </c>
    </row>
    <row r="60" spans="1:30" x14ac:dyDescent="0.15">
      <c r="A60" s="2" t="s">
        <v>194</v>
      </c>
      <c r="C60" s="21"/>
      <c r="D60" s="128"/>
      <c r="E60" s="54"/>
      <c r="F60" s="64"/>
      <c r="G60" s="69"/>
      <c r="H60" s="127"/>
      <c r="J60" s="21"/>
      <c r="K60" s="128"/>
      <c r="L60" s="54"/>
      <c r="M60" s="64"/>
      <c r="N60" s="69"/>
      <c r="O60" s="127"/>
      <c r="Q60" s="21"/>
      <c r="R60" s="128"/>
      <c r="S60" s="54"/>
      <c r="T60" s="64"/>
      <c r="U60" s="69"/>
      <c r="V60" s="127"/>
      <c r="X60" s="21"/>
      <c r="Y60" s="128"/>
      <c r="Z60" s="54"/>
      <c r="AA60" s="64"/>
      <c r="AB60" s="69"/>
      <c r="AC60" s="127"/>
      <c r="AD60">
        <f t="shared" si="2"/>
        <v>0</v>
      </c>
    </row>
    <row r="61" spans="1:30" x14ac:dyDescent="0.15">
      <c r="A61" s="2" t="s">
        <v>10</v>
      </c>
      <c r="C61" s="21"/>
      <c r="D61" s="128"/>
      <c r="E61" s="54"/>
      <c r="F61" s="64"/>
      <c r="G61" s="69"/>
      <c r="H61" s="127"/>
      <c r="J61" s="21"/>
      <c r="K61" s="128"/>
      <c r="L61" s="54"/>
      <c r="M61" s="64"/>
      <c r="N61" s="69"/>
      <c r="O61" s="127"/>
      <c r="Q61" s="21"/>
      <c r="R61" s="128"/>
      <c r="S61" s="54"/>
      <c r="T61" s="64"/>
      <c r="U61" s="69"/>
      <c r="V61" s="127"/>
      <c r="X61" s="21"/>
      <c r="Y61" s="128"/>
      <c r="Z61" s="54"/>
      <c r="AA61" s="64"/>
      <c r="AB61" s="69"/>
      <c r="AC61" s="127"/>
      <c r="AD61">
        <f t="shared" si="2"/>
        <v>0</v>
      </c>
    </row>
    <row r="62" spans="1:30" x14ac:dyDescent="0.15">
      <c r="A62" s="5" t="s">
        <v>174</v>
      </c>
      <c r="B62" s="114"/>
      <c r="C62" s="115"/>
      <c r="D62" s="111"/>
      <c r="E62" s="112"/>
      <c r="F62" s="113"/>
      <c r="G62" s="145"/>
      <c r="H62" s="169"/>
      <c r="I62" s="114"/>
      <c r="J62" s="115"/>
      <c r="K62" s="111"/>
      <c r="L62" s="112"/>
      <c r="M62" s="113"/>
      <c r="N62" s="145"/>
      <c r="O62" s="169"/>
      <c r="P62" s="4"/>
      <c r="Q62" s="138"/>
      <c r="R62" s="128">
        <v>1</v>
      </c>
      <c r="S62" s="54">
        <v>1</v>
      </c>
      <c r="T62" s="113"/>
      <c r="U62" s="145">
        <v>2</v>
      </c>
      <c r="V62" s="169">
        <v>1</v>
      </c>
      <c r="W62" s="4"/>
      <c r="X62" s="138">
        <v>1</v>
      </c>
      <c r="Y62" s="128">
        <v>1</v>
      </c>
      <c r="Z62" s="54">
        <v>1</v>
      </c>
      <c r="AA62" s="113"/>
      <c r="AB62" s="145"/>
      <c r="AC62" s="169">
        <v>1</v>
      </c>
      <c r="AD62">
        <f t="shared" si="2"/>
        <v>8</v>
      </c>
    </row>
    <row r="63" spans="1:30" x14ac:dyDescent="0.15">
      <c r="A63" s="2" t="s">
        <v>22</v>
      </c>
      <c r="C63" s="21"/>
      <c r="D63" s="128"/>
      <c r="E63" s="54"/>
      <c r="F63" s="64"/>
      <c r="G63" s="69">
        <v>1</v>
      </c>
      <c r="H63" s="127"/>
      <c r="J63" s="21"/>
      <c r="K63" s="128"/>
      <c r="L63" s="54"/>
      <c r="M63" s="64"/>
      <c r="N63" s="69"/>
      <c r="O63" s="127"/>
      <c r="Q63" s="21"/>
      <c r="R63" s="128"/>
      <c r="S63" s="54"/>
      <c r="T63" s="64"/>
      <c r="U63" s="69"/>
      <c r="V63" s="127"/>
      <c r="X63" s="21"/>
      <c r="Y63" s="128"/>
      <c r="Z63" s="54"/>
      <c r="AA63" s="64"/>
      <c r="AB63" s="69"/>
      <c r="AC63" s="127"/>
      <c r="AD63">
        <f t="shared" si="2"/>
        <v>1</v>
      </c>
    </row>
    <row r="64" spans="1:30" x14ac:dyDescent="0.15">
      <c r="A64" s="5" t="s">
        <v>132</v>
      </c>
      <c r="C64" s="21"/>
      <c r="D64" s="128"/>
      <c r="E64" s="54"/>
      <c r="F64" s="64"/>
      <c r="G64" s="69"/>
      <c r="H64" s="127"/>
      <c r="J64" s="21"/>
      <c r="K64" s="128"/>
      <c r="L64" s="54"/>
      <c r="M64" s="64"/>
      <c r="N64" s="69"/>
      <c r="O64" s="127"/>
      <c r="Q64" s="21"/>
      <c r="R64" s="128"/>
      <c r="S64" s="54"/>
      <c r="T64" s="64"/>
      <c r="U64" s="69"/>
      <c r="V64" s="127"/>
      <c r="X64" s="21"/>
      <c r="Y64" s="128"/>
      <c r="Z64" s="54"/>
      <c r="AA64" s="64"/>
      <c r="AB64" s="69"/>
      <c r="AC64" s="127"/>
      <c r="AD64">
        <f t="shared" si="2"/>
        <v>0</v>
      </c>
    </row>
    <row r="65" spans="1:30" x14ac:dyDescent="0.15">
      <c r="A65" s="5" t="s">
        <v>191</v>
      </c>
      <c r="C65" s="21"/>
      <c r="D65" s="128"/>
      <c r="E65" s="54"/>
      <c r="F65" s="64"/>
      <c r="G65" s="69"/>
      <c r="H65" s="127"/>
      <c r="J65" s="21"/>
      <c r="K65" s="128"/>
      <c r="L65" s="54"/>
      <c r="M65" s="64"/>
      <c r="N65" s="69"/>
      <c r="O65" s="127"/>
      <c r="Q65" s="21"/>
      <c r="R65" s="128"/>
      <c r="S65" s="54"/>
      <c r="T65" s="64"/>
      <c r="U65" s="69"/>
      <c r="V65" s="127"/>
      <c r="X65" s="21"/>
      <c r="Y65" s="128"/>
      <c r="Z65" s="54"/>
      <c r="AA65" s="64"/>
      <c r="AB65" s="69"/>
      <c r="AC65" s="127"/>
      <c r="AD65">
        <f t="shared" si="2"/>
        <v>0</v>
      </c>
    </row>
    <row r="66" spans="1:30" x14ac:dyDescent="0.15">
      <c r="A66" s="5" t="s">
        <v>218</v>
      </c>
      <c r="C66" s="21"/>
      <c r="D66" s="128"/>
      <c r="E66" s="54"/>
      <c r="F66" s="64"/>
      <c r="G66" s="69"/>
      <c r="H66" s="127"/>
      <c r="J66" s="21"/>
      <c r="K66" s="128"/>
      <c r="L66" s="54"/>
      <c r="M66" s="64"/>
      <c r="N66" s="69"/>
      <c r="O66" s="127"/>
      <c r="Q66" s="21"/>
      <c r="R66" s="128"/>
      <c r="S66" s="54"/>
      <c r="T66" s="64"/>
      <c r="U66" s="69"/>
      <c r="V66" s="127"/>
      <c r="X66" s="21"/>
      <c r="Y66" s="128"/>
      <c r="Z66" s="54"/>
      <c r="AA66" s="64"/>
      <c r="AB66" s="69"/>
      <c r="AC66" s="127"/>
      <c r="AD66">
        <f t="shared" si="2"/>
        <v>0</v>
      </c>
    </row>
    <row r="67" spans="1:30" x14ac:dyDescent="0.15">
      <c r="A67" s="5" t="s">
        <v>203</v>
      </c>
      <c r="C67" s="21"/>
      <c r="D67" s="128"/>
      <c r="E67" s="54"/>
      <c r="F67" s="64"/>
      <c r="G67" s="69"/>
      <c r="H67" s="127"/>
      <c r="J67" s="21"/>
      <c r="K67" s="128"/>
      <c r="L67" s="54"/>
      <c r="M67" s="64"/>
      <c r="N67" s="69"/>
      <c r="O67" s="127"/>
      <c r="Q67" s="21"/>
      <c r="R67" s="128"/>
      <c r="S67" s="54"/>
      <c r="T67" s="64"/>
      <c r="U67" s="69"/>
      <c r="V67" s="127"/>
      <c r="X67" s="21"/>
      <c r="Y67" s="128"/>
      <c r="Z67" s="54"/>
      <c r="AA67" s="64"/>
      <c r="AB67" s="69"/>
      <c r="AC67" s="127"/>
      <c r="AD67">
        <f t="shared" si="2"/>
        <v>0</v>
      </c>
    </row>
    <row r="68" spans="1:30" x14ac:dyDescent="0.15">
      <c r="A68" s="2" t="s">
        <v>23</v>
      </c>
      <c r="C68" s="21"/>
      <c r="D68" s="128"/>
      <c r="E68" s="54"/>
      <c r="F68" s="64"/>
      <c r="G68" s="69"/>
      <c r="H68" s="127"/>
      <c r="J68" s="21"/>
      <c r="K68" s="128"/>
      <c r="L68" s="54"/>
      <c r="M68" s="64"/>
      <c r="N68" s="69"/>
      <c r="O68" s="127"/>
      <c r="Q68" s="21"/>
      <c r="R68" s="128"/>
      <c r="S68" s="54"/>
      <c r="T68" s="64"/>
      <c r="U68" s="69"/>
      <c r="V68" s="127">
        <v>1</v>
      </c>
      <c r="X68" s="21"/>
      <c r="Y68" s="128"/>
      <c r="Z68" s="54"/>
      <c r="AA68" s="64"/>
      <c r="AB68" s="69"/>
      <c r="AC68" s="127"/>
      <c r="AD68">
        <f t="shared" si="2"/>
        <v>1</v>
      </c>
    </row>
    <row r="69" spans="1:30" x14ac:dyDescent="0.15">
      <c r="A69" s="2" t="s">
        <v>208</v>
      </c>
      <c r="C69" s="21"/>
      <c r="D69" s="128"/>
      <c r="E69" s="54"/>
      <c r="F69" s="64"/>
      <c r="G69" s="69"/>
      <c r="H69" s="127"/>
      <c r="J69" s="21"/>
      <c r="K69" s="128"/>
      <c r="L69" s="54"/>
      <c r="M69" s="64"/>
      <c r="N69" s="69"/>
      <c r="O69" s="127"/>
      <c r="Q69" s="21"/>
      <c r="R69" s="128"/>
      <c r="S69" s="54"/>
      <c r="T69" s="64"/>
      <c r="U69" s="69"/>
      <c r="V69" s="127">
        <v>1</v>
      </c>
      <c r="X69" s="21"/>
      <c r="Y69" s="128"/>
      <c r="Z69" s="54"/>
      <c r="AA69" s="64"/>
      <c r="AB69" s="69"/>
      <c r="AC69" s="127">
        <v>1</v>
      </c>
      <c r="AD69">
        <f t="shared" si="2"/>
        <v>2</v>
      </c>
    </row>
    <row r="70" spans="1:30" x14ac:dyDescent="0.15">
      <c r="A70" s="2" t="s">
        <v>41</v>
      </c>
      <c r="C70" s="21"/>
      <c r="D70" s="128"/>
      <c r="E70" s="54"/>
      <c r="F70" s="64"/>
      <c r="G70" s="69"/>
      <c r="H70" s="127"/>
      <c r="J70" s="21"/>
      <c r="K70" s="128">
        <v>1</v>
      </c>
      <c r="L70" s="54"/>
      <c r="M70" s="64"/>
      <c r="N70" s="69"/>
      <c r="O70" s="127"/>
      <c r="Q70" s="21"/>
      <c r="R70" s="128"/>
      <c r="S70" s="54"/>
      <c r="T70" s="64"/>
      <c r="U70" s="69"/>
      <c r="V70" s="127"/>
      <c r="X70" s="21"/>
      <c r="Y70" s="128"/>
      <c r="Z70" s="54"/>
      <c r="AA70" s="64"/>
      <c r="AB70" s="69"/>
      <c r="AC70" s="127"/>
      <c r="AD70">
        <f t="shared" si="2"/>
        <v>1</v>
      </c>
    </row>
    <row r="71" spans="1:30" x14ac:dyDescent="0.15">
      <c r="A71" s="5" t="s">
        <v>95</v>
      </c>
      <c r="C71" s="21"/>
      <c r="D71" s="128"/>
      <c r="E71" s="54"/>
      <c r="F71" s="64"/>
      <c r="G71" s="69"/>
      <c r="H71" s="127"/>
      <c r="J71" s="21"/>
      <c r="K71" s="128"/>
      <c r="L71" s="54"/>
      <c r="M71" s="64"/>
      <c r="N71" s="69"/>
      <c r="O71" s="127"/>
      <c r="Q71" s="21"/>
      <c r="R71" s="128"/>
      <c r="S71" s="54"/>
      <c r="T71" s="64"/>
      <c r="U71" s="69"/>
      <c r="V71" s="127"/>
      <c r="X71" s="21"/>
      <c r="Y71" s="128"/>
      <c r="Z71" s="54"/>
      <c r="AA71" s="64"/>
      <c r="AB71" s="69"/>
      <c r="AC71" s="127"/>
      <c r="AD71">
        <f t="shared" ref="AD71:AD84" si="3">COUNTA(B71:AC71)</f>
        <v>0</v>
      </c>
    </row>
    <row r="72" spans="1:30" x14ac:dyDescent="0.15">
      <c r="A72" s="5" t="s">
        <v>111</v>
      </c>
      <c r="C72" s="21"/>
      <c r="D72" s="128"/>
      <c r="E72" s="54"/>
      <c r="F72" s="64"/>
      <c r="G72" s="69"/>
      <c r="H72" s="127"/>
      <c r="J72" s="21"/>
      <c r="K72" s="128"/>
      <c r="L72" s="54"/>
      <c r="M72" s="64"/>
      <c r="N72" s="69"/>
      <c r="O72" s="127"/>
      <c r="Q72" s="21"/>
      <c r="R72" s="128"/>
      <c r="S72" s="54"/>
      <c r="T72" s="64"/>
      <c r="U72" s="69">
        <v>1</v>
      </c>
      <c r="V72" s="127"/>
      <c r="X72" s="21"/>
      <c r="Y72" s="128"/>
      <c r="Z72" s="54"/>
      <c r="AA72" s="64"/>
      <c r="AB72" s="69"/>
      <c r="AC72" s="127"/>
      <c r="AD72">
        <f t="shared" si="3"/>
        <v>1</v>
      </c>
    </row>
    <row r="73" spans="1:30" x14ac:dyDescent="0.15">
      <c r="A73" s="2" t="s">
        <v>7</v>
      </c>
      <c r="C73" s="21"/>
      <c r="D73" s="128"/>
      <c r="E73" s="54"/>
      <c r="F73" s="64"/>
      <c r="G73" s="69"/>
      <c r="H73" s="127"/>
      <c r="J73" s="21"/>
      <c r="K73" s="128"/>
      <c r="L73" s="54">
        <v>1</v>
      </c>
      <c r="M73" s="64">
        <v>1</v>
      </c>
      <c r="N73" s="69">
        <v>1</v>
      </c>
      <c r="O73" s="127">
        <v>1</v>
      </c>
      <c r="Q73" s="21">
        <v>1</v>
      </c>
      <c r="R73" s="128">
        <v>1</v>
      </c>
      <c r="S73" s="54">
        <v>1</v>
      </c>
      <c r="T73" s="64">
        <v>1</v>
      </c>
      <c r="U73" s="69">
        <v>1</v>
      </c>
      <c r="V73" s="127">
        <v>1</v>
      </c>
      <c r="W73">
        <v>2</v>
      </c>
      <c r="X73" s="21">
        <v>1</v>
      </c>
      <c r="Y73" s="128">
        <v>1</v>
      </c>
      <c r="Z73" s="54">
        <v>1</v>
      </c>
      <c r="AA73" s="64">
        <v>2</v>
      </c>
      <c r="AB73" s="69">
        <v>2</v>
      </c>
      <c r="AC73" s="127">
        <v>1</v>
      </c>
      <c r="AD73">
        <f t="shared" si="3"/>
        <v>17</v>
      </c>
    </row>
    <row r="74" spans="1:30" x14ac:dyDescent="0.15">
      <c r="A74" s="2" t="s">
        <v>32</v>
      </c>
      <c r="C74" s="21">
        <v>1</v>
      </c>
      <c r="D74" s="128"/>
      <c r="E74" s="54"/>
      <c r="F74" s="64"/>
      <c r="G74" s="69"/>
      <c r="H74" s="127"/>
      <c r="J74" s="21"/>
      <c r="K74" s="128">
        <v>1</v>
      </c>
      <c r="L74" s="54">
        <v>1</v>
      </c>
      <c r="M74" s="64"/>
      <c r="N74" s="69"/>
      <c r="O74" s="127"/>
      <c r="Q74" s="21"/>
      <c r="R74" s="128">
        <v>1</v>
      </c>
      <c r="S74" s="54"/>
      <c r="T74" s="64"/>
      <c r="U74" s="69"/>
      <c r="V74" s="127"/>
      <c r="X74" s="21"/>
      <c r="Y74" s="128"/>
      <c r="Z74" s="54"/>
      <c r="AA74" s="64"/>
      <c r="AB74" s="69"/>
      <c r="AC74" s="127"/>
      <c r="AD74">
        <f t="shared" si="3"/>
        <v>4</v>
      </c>
    </row>
    <row r="75" spans="1:30" x14ac:dyDescent="0.15">
      <c r="A75" s="5" t="s">
        <v>72</v>
      </c>
      <c r="C75" s="21"/>
      <c r="D75" s="128"/>
      <c r="E75" s="54"/>
      <c r="F75" s="64"/>
      <c r="G75" s="69"/>
      <c r="H75" s="127"/>
      <c r="J75" s="21"/>
      <c r="K75" s="128"/>
      <c r="L75" s="54"/>
      <c r="M75" s="64"/>
      <c r="N75" s="69"/>
      <c r="O75" s="127"/>
      <c r="Q75" s="21"/>
      <c r="R75" s="128">
        <v>1</v>
      </c>
      <c r="S75" s="54"/>
      <c r="T75" s="64"/>
      <c r="U75" s="69"/>
      <c r="V75" s="127"/>
      <c r="X75" s="21"/>
      <c r="Y75" s="128">
        <v>1</v>
      </c>
      <c r="Z75" s="54"/>
      <c r="AA75" s="64"/>
      <c r="AB75" s="69"/>
      <c r="AC75" s="127"/>
      <c r="AD75">
        <f t="shared" si="3"/>
        <v>2</v>
      </c>
    </row>
    <row r="76" spans="1:30" x14ac:dyDescent="0.15">
      <c r="A76" s="5" t="s">
        <v>61</v>
      </c>
      <c r="C76" s="21"/>
      <c r="D76" s="128"/>
      <c r="E76" s="54"/>
      <c r="F76" s="64"/>
      <c r="G76" s="69"/>
      <c r="H76" s="127"/>
      <c r="J76" s="21"/>
      <c r="K76" s="128"/>
      <c r="L76" s="54"/>
      <c r="M76" s="64"/>
      <c r="N76" s="69"/>
      <c r="O76" s="127"/>
      <c r="Q76" s="21"/>
      <c r="R76" s="128"/>
      <c r="S76" s="54"/>
      <c r="T76" s="64"/>
      <c r="U76" s="69"/>
      <c r="V76" s="127"/>
      <c r="X76" s="21"/>
      <c r="Y76" s="128"/>
      <c r="Z76" s="54"/>
      <c r="AA76" s="64"/>
      <c r="AB76" s="69"/>
      <c r="AC76" s="127"/>
      <c r="AD76">
        <f t="shared" si="3"/>
        <v>0</v>
      </c>
    </row>
    <row r="77" spans="1:30" x14ac:dyDescent="0.15">
      <c r="A77" s="5" t="s">
        <v>42</v>
      </c>
      <c r="C77" s="21"/>
      <c r="D77" s="128"/>
      <c r="E77" s="54"/>
      <c r="F77" s="64"/>
      <c r="G77" s="69">
        <v>1</v>
      </c>
      <c r="H77" s="127"/>
      <c r="J77" s="21"/>
      <c r="K77" s="128"/>
      <c r="L77" s="54"/>
      <c r="M77" s="64"/>
      <c r="N77" s="69"/>
      <c r="O77" s="127"/>
      <c r="Q77" s="21"/>
      <c r="R77" s="128"/>
      <c r="S77" s="54"/>
      <c r="T77" s="64"/>
      <c r="U77" s="69"/>
      <c r="V77" s="127"/>
      <c r="X77" s="21"/>
      <c r="Y77" s="128"/>
      <c r="Z77" s="54"/>
      <c r="AA77" s="64">
        <v>1</v>
      </c>
      <c r="AB77" s="69">
        <v>1</v>
      </c>
      <c r="AC77" s="127">
        <v>1</v>
      </c>
      <c r="AD77">
        <f t="shared" si="3"/>
        <v>4</v>
      </c>
    </row>
    <row r="78" spans="1:30" x14ac:dyDescent="0.15">
      <c r="A78" s="5" t="s">
        <v>205</v>
      </c>
      <c r="C78" s="21"/>
      <c r="D78" s="128"/>
      <c r="E78" s="54"/>
      <c r="F78" s="64"/>
      <c r="G78" s="69"/>
      <c r="H78" s="127"/>
      <c r="J78" s="21"/>
      <c r="K78" s="128"/>
      <c r="L78" s="54"/>
      <c r="M78" s="64"/>
      <c r="N78" s="69"/>
      <c r="O78" s="127"/>
      <c r="Q78" s="21"/>
      <c r="R78" s="128"/>
      <c r="S78" s="54"/>
      <c r="T78" s="64"/>
      <c r="U78" s="69"/>
      <c r="V78" s="127"/>
      <c r="X78" s="21"/>
      <c r="Y78" s="128"/>
      <c r="Z78" s="54"/>
      <c r="AA78" s="64"/>
      <c r="AB78" s="69"/>
      <c r="AC78" s="127"/>
      <c r="AD78">
        <f t="shared" si="3"/>
        <v>0</v>
      </c>
    </row>
    <row r="79" spans="1:30" x14ac:dyDescent="0.15">
      <c r="A79" s="2" t="s">
        <v>213</v>
      </c>
      <c r="C79" s="21"/>
      <c r="D79" s="128"/>
      <c r="E79" s="54"/>
      <c r="F79" s="64"/>
      <c r="G79" s="69"/>
      <c r="H79" s="127"/>
      <c r="J79" s="21"/>
      <c r="K79" s="128"/>
      <c r="L79" s="54"/>
      <c r="M79" s="64"/>
      <c r="N79" s="69"/>
      <c r="O79" s="127"/>
      <c r="Q79" s="21"/>
      <c r="R79" s="128"/>
      <c r="S79" s="54"/>
      <c r="T79" s="64"/>
      <c r="U79" s="69"/>
      <c r="V79" s="127"/>
      <c r="X79" s="21"/>
      <c r="Y79" s="128"/>
      <c r="Z79" s="54"/>
      <c r="AA79" s="64"/>
      <c r="AB79" s="69"/>
      <c r="AC79" s="127"/>
      <c r="AD79">
        <f t="shared" si="3"/>
        <v>0</v>
      </c>
    </row>
    <row r="80" spans="1:30" x14ac:dyDescent="0.15">
      <c r="A80" s="5" t="s">
        <v>96</v>
      </c>
      <c r="C80" s="21"/>
      <c r="D80" s="128"/>
      <c r="E80" s="54"/>
      <c r="F80" s="64"/>
      <c r="G80" s="69"/>
      <c r="H80" s="127"/>
      <c r="J80" s="21"/>
      <c r="K80" s="128"/>
      <c r="L80" s="54"/>
      <c r="M80" s="64"/>
      <c r="N80" s="69"/>
      <c r="O80" s="127"/>
      <c r="Q80" s="21"/>
      <c r="R80" s="128"/>
      <c r="S80" s="54"/>
      <c r="T80" s="64"/>
      <c r="U80" s="69"/>
      <c r="V80" s="127"/>
      <c r="X80" s="21"/>
      <c r="Y80" s="128"/>
      <c r="Z80" s="54"/>
      <c r="AA80" s="64"/>
      <c r="AB80" s="69"/>
      <c r="AC80" s="127"/>
      <c r="AD80">
        <f t="shared" si="3"/>
        <v>0</v>
      </c>
    </row>
    <row r="81" spans="1:30" x14ac:dyDescent="0.15">
      <c r="A81" s="2" t="s">
        <v>175</v>
      </c>
      <c r="C81" s="21"/>
      <c r="D81" s="128"/>
      <c r="E81" s="54"/>
      <c r="F81" s="64"/>
      <c r="G81" s="69"/>
      <c r="H81" s="127"/>
      <c r="J81" s="21"/>
      <c r="K81" s="128"/>
      <c r="L81" s="54"/>
      <c r="M81" s="64"/>
      <c r="N81" s="69"/>
      <c r="O81" s="127"/>
      <c r="Q81" s="21"/>
      <c r="R81" s="128"/>
      <c r="S81" s="54"/>
      <c r="T81" s="64"/>
      <c r="U81" s="69"/>
      <c r="V81" s="127"/>
      <c r="X81" s="21"/>
      <c r="Y81" s="128"/>
      <c r="Z81" s="54"/>
      <c r="AA81" s="64"/>
      <c r="AB81" s="69"/>
      <c r="AC81" s="127"/>
      <c r="AD81">
        <f t="shared" si="3"/>
        <v>0</v>
      </c>
    </row>
    <row r="82" spans="1:30" x14ac:dyDescent="0.15">
      <c r="A82" s="2" t="s">
        <v>24</v>
      </c>
      <c r="C82" s="21"/>
      <c r="D82" s="128"/>
      <c r="E82" s="54"/>
      <c r="F82" s="64"/>
      <c r="G82" s="69"/>
      <c r="H82" s="127"/>
      <c r="I82">
        <v>3</v>
      </c>
      <c r="J82" s="21">
        <v>3</v>
      </c>
      <c r="K82" s="128">
        <v>1</v>
      </c>
      <c r="L82" s="54">
        <v>2</v>
      </c>
      <c r="M82" s="64">
        <v>1</v>
      </c>
      <c r="N82" s="69">
        <v>1</v>
      </c>
      <c r="O82" s="127">
        <v>1</v>
      </c>
      <c r="P82">
        <v>2</v>
      </c>
      <c r="Q82" s="21">
        <v>1</v>
      </c>
      <c r="R82" s="128"/>
      <c r="S82" s="54"/>
      <c r="T82" s="64"/>
      <c r="U82" s="69"/>
      <c r="V82" s="127"/>
      <c r="W82">
        <v>3</v>
      </c>
      <c r="X82" s="21">
        <v>2</v>
      </c>
      <c r="Y82" s="128">
        <v>1</v>
      </c>
      <c r="Z82" s="54"/>
      <c r="AA82" s="64"/>
      <c r="AB82" s="69"/>
      <c r="AC82" s="127"/>
      <c r="AD82">
        <f t="shared" si="3"/>
        <v>12</v>
      </c>
    </row>
    <row r="83" spans="1:30" x14ac:dyDescent="0.15">
      <c r="A83" s="2" t="s">
        <v>189</v>
      </c>
      <c r="C83" s="21">
        <v>2</v>
      </c>
      <c r="D83" s="128">
        <v>2</v>
      </c>
      <c r="E83" s="54">
        <v>2</v>
      </c>
      <c r="F83" s="64">
        <v>1</v>
      </c>
      <c r="G83" s="69">
        <v>2</v>
      </c>
      <c r="H83" s="127">
        <v>2</v>
      </c>
      <c r="J83" s="21"/>
      <c r="K83" s="128"/>
      <c r="L83" s="54"/>
      <c r="M83" s="64">
        <v>2</v>
      </c>
      <c r="N83" s="69">
        <v>2</v>
      </c>
      <c r="O83" s="127">
        <v>1</v>
      </c>
      <c r="Q83" s="21"/>
      <c r="R83" s="128"/>
      <c r="S83" s="54">
        <v>1</v>
      </c>
      <c r="T83" s="64"/>
      <c r="U83" s="69">
        <v>2</v>
      </c>
      <c r="V83" s="127">
        <v>1</v>
      </c>
      <c r="X83" s="21"/>
      <c r="Y83" s="128"/>
      <c r="Z83" s="54">
        <v>1</v>
      </c>
      <c r="AA83" s="64">
        <v>1</v>
      </c>
      <c r="AB83" s="69">
        <v>1</v>
      </c>
      <c r="AC83" s="127">
        <v>1</v>
      </c>
      <c r="AD83">
        <f t="shared" si="3"/>
        <v>16</v>
      </c>
    </row>
    <row r="84" spans="1:30" x14ac:dyDescent="0.15">
      <c r="A84" s="5" t="s">
        <v>202</v>
      </c>
      <c r="C84" s="21"/>
      <c r="D84" s="128"/>
      <c r="E84" s="54"/>
      <c r="F84" s="64"/>
      <c r="G84" s="69"/>
      <c r="H84" s="127"/>
      <c r="J84" s="21"/>
      <c r="K84" s="128"/>
      <c r="L84" s="54"/>
      <c r="M84" s="64"/>
      <c r="N84" s="69"/>
      <c r="O84" s="127"/>
      <c r="Q84" s="21"/>
      <c r="R84" s="128"/>
      <c r="S84" s="54"/>
      <c r="T84" s="64"/>
      <c r="U84" s="69"/>
      <c r="V84" s="127"/>
      <c r="X84" s="21"/>
      <c r="Y84" s="128"/>
      <c r="Z84" s="54"/>
      <c r="AA84" s="64"/>
      <c r="AB84" s="69"/>
      <c r="AC84" s="127"/>
      <c r="AD84">
        <f t="shared" si="3"/>
        <v>0</v>
      </c>
    </row>
    <row r="85" spans="1:30" ht="109.5" x14ac:dyDescent="0.15">
      <c r="A85" t="s">
        <v>8</v>
      </c>
      <c r="D85" s="1"/>
      <c r="E85" s="1"/>
      <c r="I85" s="1"/>
      <c r="J85" s="1"/>
      <c r="L85" s="139" t="s">
        <v>107</v>
      </c>
      <c r="M85" s="139"/>
      <c r="N85" s="139"/>
      <c r="O85" s="139"/>
    </row>
    <row r="86" spans="1:30" x14ac:dyDescent="0.15">
      <c r="F86" s="1"/>
      <c r="G86" s="1"/>
      <c r="H86" s="1"/>
    </row>
    <row r="87" spans="1:30" x14ac:dyDescent="0.15">
      <c r="A87">
        <f>COUNTA(A6:A83)</f>
        <v>78</v>
      </c>
    </row>
    <row r="96" spans="1:30" x14ac:dyDescent="0.15">
      <c r="A96" s="3" t="s">
        <v>56</v>
      </c>
      <c r="C96" s="21"/>
      <c r="D96" s="13"/>
      <c r="E96" s="54"/>
      <c r="F96" s="64">
        <v>1</v>
      </c>
      <c r="G96" s="69"/>
      <c r="H96" s="69"/>
      <c r="J96" s="21"/>
      <c r="K96" s="13"/>
      <c r="L96" s="54"/>
      <c r="M96" s="64"/>
      <c r="N96" s="69"/>
      <c r="O96" s="69"/>
      <c r="Q96" s="21"/>
      <c r="R96" s="13"/>
      <c r="S96" s="54"/>
      <c r="T96" s="64"/>
      <c r="U96" s="69"/>
      <c r="V96" s="69"/>
      <c r="X96" s="21"/>
      <c r="Y96" s="13"/>
      <c r="Z96" s="54"/>
      <c r="AA96" s="64"/>
      <c r="AB96" s="69"/>
      <c r="AC96" s="69"/>
    </row>
    <row r="97" spans="1:29" x14ac:dyDescent="0.15">
      <c r="A97" s="5" t="s">
        <v>185</v>
      </c>
      <c r="C97" s="21"/>
      <c r="D97" s="13"/>
      <c r="E97" s="54"/>
      <c r="F97" s="64"/>
      <c r="G97" s="69"/>
      <c r="H97" s="69"/>
      <c r="J97" s="21"/>
      <c r="K97" s="13"/>
      <c r="L97" s="54"/>
      <c r="M97" s="64"/>
      <c r="N97" s="69"/>
      <c r="O97" s="69"/>
      <c r="Q97" s="21"/>
      <c r="R97" s="13"/>
      <c r="S97" s="54"/>
      <c r="T97" s="64"/>
      <c r="U97" s="69"/>
      <c r="V97" s="69"/>
      <c r="X97" s="21"/>
      <c r="Y97" s="13"/>
      <c r="Z97" s="54"/>
      <c r="AA97" s="64"/>
      <c r="AB97" s="69"/>
      <c r="AC97" s="69"/>
    </row>
    <row r="98" spans="1:29" x14ac:dyDescent="0.15">
      <c r="A98" s="7" t="s">
        <v>47</v>
      </c>
      <c r="B98" s="114"/>
      <c r="C98" s="115"/>
      <c r="D98" s="141"/>
      <c r="E98" s="112"/>
      <c r="F98" s="64"/>
      <c r="G98" s="69"/>
      <c r="H98" s="69"/>
      <c r="I98" s="114"/>
      <c r="J98" s="115"/>
      <c r="K98" s="141"/>
      <c r="L98" s="112"/>
      <c r="M98" s="113"/>
      <c r="N98" s="145"/>
      <c r="O98" s="145"/>
      <c r="P98" s="114"/>
      <c r="Q98" s="115"/>
      <c r="R98" s="141"/>
      <c r="S98" s="112"/>
      <c r="T98" s="113"/>
      <c r="U98" s="145"/>
      <c r="V98" s="145"/>
      <c r="W98" s="114"/>
      <c r="X98" s="115"/>
      <c r="Y98" s="141"/>
      <c r="Z98" s="112"/>
      <c r="AA98" s="113"/>
      <c r="AB98" s="145"/>
      <c r="AC98" s="145"/>
    </row>
    <row r="99" spans="1:29" x14ac:dyDescent="0.15">
      <c r="A99" s="39" t="s">
        <v>29</v>
      </c>
      <c r="C99" s="21"/>
      <c r="D99" s="13"/>
      <c r="E99" s="54"/>
      <c r="F99" s="64"/>
      <c r="G99" s="69"/>
      <c r="H99" s="69"/>
      <c r="J99" s="21"/>
      <c r="K99" s="13"/>
      <c r="L99" s="54"/>
      <c r="M99" s="64"/>
      <c r="N99" s="69"/>
      <c r="O99" s="69"/>
      <c r="Q99" s="21"/>
      <c r="R99" s="13"/>
      <c r="S99" s="54"/>
      <c r="T99" s="64"/>
      <c r="U99" s="69"/>
      <c r="V99" s="69"/>
      <c r="X99" s="21"/>
      <c r="Y99" s="13"/>
      <c r="Z99" s="54"/>
      <c r="AA99" s="64"/>
      <c r="AB99" s="69"/>
      <c r="AC99" s="69"/>
    </row>
    <row r="100" spans="1:29" x14ac:dyDescent="0.15">
      <c r="A100" s="5" t="s">
        <v>48</v>
      </c>
      <c r="C100" s="21"/>
      <c r="D100" s="13"/>
      <c r="E100" s="54"/>
      <c r="F100" s="64"/>
      <c r="G100" s="69"/>
      <c r="H100" s="69"/>
      <c r="J100" s="21"/>
      <c r="K100" s="13"/>
      <c r="L100" s="54"/>
      <c r="M100" s="64"/>
      <c r="N100" s="69"/>
      <c r="O100" s="69"/>
      <c r="Q100" s="21"/>
      <c r="R100" s="13"/>
      <c r="S100" s="54"/>
      <c r="T100" s="64"/>
      <c r="U100" s="69"/>
      <c r="V100" s="69"/>
      <c r="X100" s="21"/>
      <c r="Y100" s="13"/>
      <c r="Z100" s="54"/>
      <c r="AA100" s="64"/>
      <c r="AB100" s="69"/>
      <c r="AC100" s="69"/>
    </row>
    <row r="101" spans="1:29" x14ac:dyDescent="0.15">
      <c r="A101" s="5" t="s">
        <v>106</v>
      </c>
      <c r="C101" s="21"/>
      <c r="D101" s="13"/>
      <c r="E101" s="54"/>
      <c r="F101" s="64"/>
      <c r="G101" s="69"/>
      <c r="H101" s="69"/>
      <c r="J101" s="21"/>
      <c r="K101" s="13"/>
      <c r="L101" s="54"/>
      <c r="M101" s="64"/>
      <c r="N101" s="69"/>
      <c r="O101" s="69"/>
      <c r="Q101" s="21"/>
      <c r="R101" s="13"/>
      <c r="S101" s="54"/>
      <c r="T101" s="64"/>
      <c r="U101" s="69"/>
      <c r="V101" s="69"/>
      <c r="X101" s="21"/>
      <c r="Y101" s="13"/>
      <c r="Z101" s="54"/>
      <c r="AA101" s="64"/>
      <c r="AB101" s="69"/>
      <c r="AC101" s="69"/>
    </row>
    <row r="102" spans="1:29" x14ac:dyDescent="0.15">
      <c r="A102" s="7" t="s">
        <v>186</v>
      </c>
      <c r="C102" s="21"/>
      <c r="D102" s="13"/>
      <c r="E102" s="54"/>
      <c r="F102" s="64"/>
      <c r="G102" s="69"/>
      <c r="H102" s="69"/>
      <c r="J102" s="21"/>
      <c r="K102" s="13"/>
      <c r="L102" s="54"/>
      <c r="M102" s="64"/>
      <c r="N102" s="69"/>
      <c r="O102" s="69"/>
      <c r="Q102" s="21"/>
      <c r="R102" s="13"/>
      <c r="S102" s="54"/>
      <c r="T102" s="64"/>
      <c r="U102" s="69"/>
      <c r="V102" s="69"/>
      <c r="X102" s="21"/>
      <c r="Y102" s="13"/>
      <c r="Z102" s="54"/>
      <c r="AA102" s="64"/>
      <c r="AB102" s="69"/>
      <c r="AC102" s="69"/>
    </row>
    <row r="103" spans="1:29" x14ac:dyDescent="0.15">
      <c r="A103" s="36" t="s">
        <v>94</v>
      </c>
      <c r="C103" s="21"/>
      <c r="D103" s="13"/>
      <c r="E103" s="54"/>
      <c r="F103" s="64"/>
      <c r="G103" s="69"/>
      <c r="H103" s="69"/>
      <c r="J103" s="21"/>
      <c r="K103" s="13"/>
      <c r="L103" s="54"/>
      <c r="M103" s="64"/>
      <c r="N103" s="69"/>
      <c r="O103" s="69"/>
      <c r="Q103" s="21"/>
      <c r="R103" s="13"/>
      <c r="S103" s="54"/>
      <c r="T103" s="64"/>
      <c r="U103" s="69"/>
      <c r="V103" s="69"/>
      <c r="X103" s="21"/>
      <c r="Y103" s="13"/>
      <c r="Z103" s="54"/>
      <c r="AA103" s="64"/>
      <c r="AB103" s="69"/>
      <c r="AC103" s="69"/>
    </row>
    <row r="104" spans="1:29" x14ac:dyDescent="0.15">
      <c r="A104" s="40" t="s">
        <v>91</v>
      </c>
      <c r="C104" s="21"/>
      <c r="D104" s="13"/>
      <c r="E104" s="54"/>
      <c r="F104" s="64"/>
      <c r="G104" s="69"/>
      <c r="H104" s="69"/>
      <c r="J104" s="21"/>
      <c r="K104" s="13"/>
      <c r="L104" s="54"/>
      <c r="M104" s="64"/>
      <c r="N104" s="69"/>
      <c r="O104" s="69"/>
      <c r="Q104" s="21"/>
      <c r="R104" s="13"/>
      <c r="S104" s="54"/>
      <c r="T104" s="64"/>
      <c r="U104" s="69"/>
      <c r="V104" s="69"/>
      <c r="X104" s="21"/>
      <c r="Y104" s="13"/>
      <c r="Z104" s="54"/>
      <c r="AA104" s="64"/>
      <c r="AB104" s="69"/>
      <c r="AC104" s="69"/>
    </row>
    <row r="105" spans="1:29" x14ac:dyDescent="0.15">
      <c r="A105" s="39" t="s">
        <v>69</v>
      </c>
      <c r="C105" s="21"/>
      <c r="D105" s="13"/>
      <c r="E105" s="54"/>
      <c r="F105" s="64"/>
      <c r="G105" s="69"/>
      <c r="H105" s="69"/>
      <c r="J105" s="21"/>
      <c r="K105" s="13"/>
      <c r="L105" s="54"/>
      <c r="M105" s="64"/>
      <c r="N105" s="69"/>
      <c r="O105" s="69"/>
      <c r="Q105" s="21"/>
      <c r="R105" s="13"/>
      <c r="S105" s="54"/>
      <c r="T105" s="64"/>
      <c r="U105" s="69"/>
      <c r="V105" s="69"/>
      <c r="X105" s="21"/>
      <c r="Y105" s="13"/>
      <c r="Z105" s="54"/>
      <c r="AA105" s="64"/>
      <c r="AB105" s="69"/>
      <c r="AC105" s="69"/>
    </row>
    <row r="106" spans="1:29" x14ac:dyDescent="0.15">
      <c r="A106" s="39" t="s">
        <v>67</v>
      </c>
      <c r="C106" s="21"/>
      <c r="D106" s="13"/>
      <c r="E106" s="54"/>
      <c r="F106" s="64"/>
      <c r="G106" s="69"/>
      <c r="H106" s="69"/>
      <c r="J106" s="21"/>
      <c r="K106" s="13"/>
      <c r="L106" s="54"/>
      <c r="M106" s="64"/>
      <c r="N106" s="69"/>
      <c r="O106" s="69"/>
      <c r="Q106" s="21"/>
      <c r="R106" s="13"/>
      <c r="S106" s="54"/>
      <c r="T106" s="64"/>
      <c r="U106" s="69"/>
      <c r="V106" s="69"/>
      <c r="X106" s="21"/>
      <c r="Y106" s="13"/>
      <c r="Z106" s="54"/>
      <c r="AA106" s="64"/>
      <c r="AB106" s="69"/>
      <c r="AC106" s="69"/>
    </row>
    <row r="107" spans="1:29" x14ac:dyDescent="0.15">
      <c r="A107" s="41" t="s">
        <v>66</v>
      </c>
      <c r="C107" s="21"/>
      <c r="D107" s="13"/>
      <c r="E107" s="54"/>
      <c r="F107" s="64"/>
      <c r="G107" s="69"/>
      <c r="H107" s="69"/>
      <c r="J107" s="21"/>
      <c r="K107" s="13"/>
      <c r="L107" s="54"/>
      <c r="M107" s="64"/>
      <c r="N107" s="69"/>
      <c r="O107" s="69"/>
      <c r="Q107" s="21"/>
      <c r="R107" s="13"/>
      <c r="S107" s="54"/>
      <c r="T107" s="64"/>
      <c r="U107" s="69"/>
      <c r="V107" s="69"/>
      <c r="X107" s="21"/>
      <c r="Y107" s="13"/>
      <c r="Z107" s="54"/>
      <c r="AA107" s="64"/>
      <c r="AB107" s="69"/>
      <c r="AC107" s="69"/>
    </row>
    <row r="108" spans="1:29" x14ac:dyDescent="0.15">
      <c r="A108" s="58" t="s">
        <v>104</v>
      </c>
      <c r="C108" s="21"/>
      <c r="D108" s="13"/>
      <c r="E108" s="54"/>
      <c r="F108" s="64"/>
      <c r="G108" s="69"/>
      <c r="H108" s="69"/>
      <c r="J108" s="21"/>
      <c r="K108" s="13"/>
      <c r="L108" s="54"/>
      <c r="M108" s="64"/>
      <c r="N108" s="69"/>
      <c r="O108" s="69"/>
      <c r="Q108" s="21"/>
      <c r="R108" s="13"/>
      <c r="S108" s="54"/>
      <c r="T108" s="64"/>
      <c r="U108" s="69"/>
      <c r="V108" s="69"/>
      <c r="X108" s="21"/>
      <c r="Y108" s="13"/>
      <c r="Z108" s="54"/>
      <c r="AA108" s="64"/>
      <c r="AB108" s="69"/>
      <c r="AC108" s="69"/>
    </row>
  </sheetData>
  <mergeCells count="8">
    <mergeCell ref="B2:H2"/>
    <mergeCell ref="I2:O2"/>
    <mergeCell ref="P2:V2"/>
    <mergeCell ref="W2:AC2"/>
    <mergeCell ref="B3:H3"/>
    <mergeCell ref="I3:O3"/>
    <mergeCell ref="P3:V3"/>
    <mergeCell ref="W3:AC3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D03C-15C9-4249-BBDA-FBBC5BE75168}">
  <dimension ref="A1:T108"/>
  <sheetViews>
    <sheetView workbookViewId="0">
      <selection activeCell="B8" sqref="B8"/>
    </sheetView>
  </sheetViews>
  <sheetFormatPr defaultRowHeight="13.5" x14ac:dyDescent="0.15"/>
  <cols>
    <col min="1" max="1" width="26.375" customWidth="1"/>
    <col min="2" max="13" width="3.625" customWidth="1"/>
    <col min="14" max="19" width="3.5" customWidth="1"/>
  </cols>
  <sheetData>
    <row r="1" spans="1:20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20" x14ac:dyDescent="0.15">
      <c r="A2" s="194" t="s">
        <v>0</v>
      </c>
      <c r="B2" s="246">
        <v>14</v>
      </c>
      <c r="C2" s="246"/>
      <c r="D2" s="246"/>
      <c r="E2" s="246"/>
      <c r="F2" s="246"/>
      <c r="G2" s="246"/>
      <c r="H2" s="246">
        <v>15</v>
      </c>
      <c r="I2" s="246"/>
      <c r="J2" s="246"/>
      <c r="K2" s="246"/>
      <c r="L2" s="246"/>
      <c r="M2" s="246"/>
      <c r="N2" s="246">
        <v>16</v>
      </c>
      <c r="O2" s="246"/>
      <c r="P2" s="246"/>
      <c r="Q2" s="246"/>
      <c r="R2" s="246"/>
      <c r="S2" s="246"/>
    </row>
    <row r="3" spans="1:20" x14ac:dyDescent="0.15">
      <c r="A3" s="6" t="s">
        <v>1</v>
      </c>
      <c r="B3" s="243" t="s">
        <v>135</v>
      </c>
      <c r="C3" s="243"/>
      <c r="D3" s="243"/>
      <c r="E3" s="243"/>
      <c r="F3" s="243"/>
      <c r="G3" s="243"/>
      <c r="H3" s="243" t="s">
        <v>157</v>
      </c>
      <c r="I3" s="243"/>
      <c r="J3" s="243"/>
      <c r="K3" s="243"/>
      <c r="L3" s="243"/>
      <c r="M3" s="243"/>
      <c r="N3" s="243" t="s">
        <v>136</v>
      </c>
      <c r="O3" s="243"/>
      <c r="P3" s="243"/>
      <c r="Q3" s="243"/>
      <c r="R3" s="243"/>
      <c r="S3" s="243"/>
    </row>
    <row r="4" spans="1:20" x14ac:dyDescent="0.15">
      <c r="A4" s="8"/>
      <c r="B4" s="94" t="s">
        <v>169</v>
      </c>
      <c r="C4" s="95" t="s">
        <v>170</v>
      </c>
      <c r="D4" s="96" t="s">
        <v>92</v>
      </c>
      <c r="E4" s="97" t="s">
        <v>121</v>
      </c>
      <c r="F4" s="98" t="s">
        <v>171</v>
      </c>
      <c r="G4" s="144" t="s">
        <v>204</v>
      </c>
      <c r="H4" s="94" t="s">
        <v>169</v>
      </c>
      <c r="I4" s="95" t="s">
        <v>170</v>
      </c>
      <c r="J4" s="96" t="s">
        <v>92</v>
      </c>
      <c r="K4" s="97" t="s">
        <v>121</v>
      </c>
      <c r="L4" s="98" t="s">
        <v>171</v>
      </c>
      <c r="M4" s="144" t="s">
        <v>204</v>
      </c>
      <c r="N4" s="94" t="s">
        <v>169</v>
      </c>
      <c r="O4" s="95" t="s">
        <v>170</v>
      </c>
      <c r="P4" s="96" t="s">
        <v>92</v>
      </c>
      <c r="Q4" s="97" t="s">
        <v>121</v>
      </c>
      <c r="R4" s="98" t="s">
        <v>171</v>
      </c>
      <c r="S4" s="144" t="s">
        <v>204</v>
      </c>
    </row>
    <row r="5" spans="1:20" ht="14.25" x14ac:dyDescent="0.15">
      <c r="A5" s="26" t="s">
        <v>59</v>
      </c>
      <c r="B5" s="103">
        <f t="shared" ref="B5:S5" si="0">COUNT(B6:B83)</f>
        <v>6</v>
      </c>
      <c r="C5" s="104">
        <f t="shared" si="0"/>
        <v>9</v>
      </c>
      <c r="D5" s="105">
        <f t="shared" si="0"/>
        <v>7</v>
      </c>
      <c r="E5" s="106">
        <f t="shared" si="0"/>
        <v>11</v>
      </c>
      <c r="F5" s="62">
        <f t="shared" si="0"/>
        <v>12</v>
      </c>
      <c r="G5" s="68">
        <f t="shared" si="0"/>
        <v>11</v>
      </c>
      <c r="H5" s="103">
        <f t="shared" si="0"/>
        <v>10</v>
      </c>
      <c r="I5" s="104">
        <f t="shared" si="0"/>
        <v>12</v>
      </c>
      <c r="J5" s="105">
        <f t="shared" si="0"/>
        <v>12</v>
      </c>
      <c r="K5" s="106">
        <f t="shared" si="0"/>
        <v>11</v>
      </c>
      <c r="L5" s="62">
        <f t="shared" si="0"/>
        <v>12</v>
      </c>
      <c r="M5" s="68">
        <f t="shared" si="0"/>
        <v>10</v>
      </c>
      <c r="N5" s="103">
        <f t="shared" si="0"/>
        <v>7</v>
      </c>
      <c r="O5" s="104">
        <f t="shared" si="0"/>
        <v>10</v>
      </c>
      <c r="P5" s="105">
        <f t="shared" si="0"/>
        <v>16</v>
      </c>
      <c r="Q5" s="106">
        <f t="shared" si="0"/>
        <v>14</v>
      </c>
      <c r="R5" s="62">
        <f t="shared" si="0"/>
        <v>17</v>
      </c>
      <c r="S5" s="68">
        <f t="shared" si="0"/>
        <v>19</v>
      </c>
      <c r="T5" t="s">
        <v>240</v>
      </c>
    </row>
    <row r="6" spans="1:20" x14ac:dyDescent="0.15">
      <c r="A6" s="27" t="s">
        <v>60</v>
      </c>
      <c r="C6" s="120"/>
      <c r="D6" s="119"/>
      <c r="E6" s="121"/>
      <c r="F6" s="122"/>
      <c r="G6" s="150"/>
      <c r="H6" s="123"/>
      <c r="I6" s="115"/>
      <c r="J6" s="111"/>
      <c r="K6" s="112"/>
      <c r="L6" s="113"/>
      <c r="M6" s="145"/>
      <c r="N6" s="114"/>
      <c r="O6" s="115"/>
      <c r="P6" s="116">
        <v>1</v>
      </c>
      <c r="Q6" s="117"/>
      <c r="R6" s="118"/>
      <c r="S6" s="146">
        <v>1</v>
      </c>
      <c r="T6">
        <f>COUNTA(B6:S6)</f>
        <v>2</v>
      </c>
    </row>
    <row r="7" spans="1:20" x14ac:dyDescent="0.15">
      <c r="A7" s="27" t="s">
        <v>105</v>
      </c>
      <c r="C7" s="120"/>
      <c r="D7" s="119"/>
      <c r="E7" s="121"/>
      <c r="F7" s="122"/>
      <c r="G7" s="150"/>
      <c r="H7" s="123"/>
      <c r="I7" s="115"/>
      <c r="J7" s="111"/>
      <c r="K7" s="112"/>
      <c r="L7" s="113"/>
      <c r="M7" s="145"/>
      <c r="N7" s="114"/>
      <c r="O7" s="115"/>
      <c r="P7" s="111"/>
      <c r="Q7" s="112"/>
      <c r="R7" s="113"/>
      <c r="S7" s="145"/>
      <c r="T7">
        <f t="shared" ref="T7:T70" si="1">COUNTA(B7:S7)</f>
        <v>0</v>
      </c>
    </row>
    <row r="8" spans="1:20" x14ac:dyDescent="0.15">
      <c r="A8" s="2" t="s">
        <v>43</v>
      </c>
      <c r="C8" s="120"/>
      <c r="D8" s="119"/>
      <c r="E8" s="121"/>
      <c r="F8" s="122"/>
      <c r="G8" s="150"/>
      <c r="H8" s="123"/>
      <c r="I8" s="130">
        <v>1</v>
      </c>
      <c r="J8" s="131">
        <v>1</v>
      </c>
      <c r="K8" s="112"/>
      <c r="L8" s="132">
        <v>1</v>
      </c>
      <c r="M8" s="147"/>
      <c r="N8" s="114"/>
      <c r="O8" s="115"/>
      <c r="P8" s="111"/>
      <c r="Q8" s="112"/>
      <c r="R8" s="132">
        <v>1</v>
      </c>
      <c r="S8" s="147">
        <v>2</v>
      </c>
      <c r="T8">
        <f t="shared" si="1"/>
        <v>5</v>
      </c>
    </row>
    <row r="9" spans="1:20" x14ac:dyDescent="0.15">
      <c r="A9" s="27" t="s">
        <v>53</v>
      </c>
      <c r="C9" s="120"/>
      <c r="D9" s="119"/>
      <c r="E9" s="54">
        <v>1</v>
      </c>
      <c r="F9" s="64">
        <v>1</v>
      </c>
      <c r="G9" s="69">
        <v>1</v>
      </c>
      <c r="H9" s="123"/>
      <c r="I9" s="115"/>
      <c r="J9" s="111"/>
      <c r="K9" s="112"/>
      <c r="L9" s="113"/>
      <c r="M9" s="145"/>
      <c r="N9" s="114"/>
      <c r="O9" s="115"/>
      <c r="P9" s="111"/>
      <c r="Q9" s="112"/>
      <c r="R9" s="113"/>
      <c r="S9" s="145"/>
      <c r="T9">
        <f t="shared" si="1"/>
        <v>3</v>
      </c>
    </row>
    <row r="10" spans="1:20" x14ac:dyDescent="0.15">
      <c r="A10" s="2" t="s">
        <v>12</v>
      </c>
      <c r="B10">
        <v>1</v>
      </c>
      <c r="C10" s="21">
        <v>2</v>
      </c>
      <c r="D10" s="128">
        <v>2</v>
      </c>
      <c r="E10" s="54">
        <v>2</v>
      </c>
      <c r="F10" s="64">
        <v>2</v>
      </c>
      <c r="G10" s="69">
        <v>2</v>
      </c>
      <c r="H10">
        <v>3</v>
      </c>
      <c r="I10" s="21">
        <v>3</v>
      </c>
      <c r="J10" s="128">
        <v>2</v>
      </c>
      <c r="K10" s="54">
        <v>2</v>
      </c>
      <c r="L10" s="64">
        <v>2</v>
      </c>
      <c r="M10" s="69">
        <v>2</v>
      </c>
      <c r="N10">
        <v>4</v>
      </c>
      <c r="O10" s="21">
        <v>2</v>
      </c>
      <c r="P10" s="128">
        <v>1</v>
      </c>
      <c r="Q10" s="54">
        <v>1</v>
      </c>
      <c r="R10" s="64">
        <v>2</v>
      </c>
      <c r="S10" s="69">
        <v>1</v>
      </c>
      <c r="T10">
        <f t="shared" si="1"/>
        <v>18</v>
      </c>
    </row>
    <row r="11" spans="1:20" x14ac:dyDescent="0.15">
      <c r="A11" s="2" t="s">
        <v>93</v>
      </c>
      <c r="C11" s="21"/>
      <c r="D11" s="128"/>
      <c r="E11" s="54"/>
      <c r="F11" s="64"/>
      <c r="G11" s="69"/>
      <c r="I11" s="21"/>
      <c r="J11" s="128"/>
      <c r="K11" s="54"/>
      <c r="L11" s="64"/>
      <c r="M11" s="69"/>
      <c r="O11" s="21"/>
      <c r="P11" s="128"/>
      <c r="Q11" s="54"/>
      <c r="R11" s="64">
        <v>1</v>
      </c>
      <c r="S11" s="69">
        <v>2</v>
      </c>
      <c r="T11">
        <f t="shared" si="1"/>
        <v>2</v>
      </c>
    </row>
    <row r="12" spans="1:20" x14ac:dyDescent="0.15">
      <c r="A12" s="2" t="s">
        <v>33</v>
      </c>
      <c r="C12" s="21"/>
      <c r="D12" s="128"/>
      <c r="E12" s="54"/>
      <c r="F12" s="64"/>
      <c r="G12" s="69"/>
      <c r="I12" s="21"/>
      <c r="J12" s="128"/>
      <c r="K12" s="54"/>
      <c r="L12" s="64"/>
      <c r="M12" s="69"/>
      <c r="O12" s="21"/>
      <c r="P12" s="128"/>
      <c r="Q12" s="54"/>
      <c r="R12" s="64"/>
      <c r="S12" s="69"/>
      <c r="T12">
        <f t="shared" si="1"/>
        <v>0</v>
      </c>
    </row>
    <row r="13" spans="1:20" x14ac:dyDescent="0.15">
      <c r="A13" s="2" t="s">
        <v>13</v>
      </c>
      <c r="C13" s="21"/>
      <c r="D13" s="128"/>
      <c r="E13" s="54"/>
      <c r="F13" s="64"/>
      <c r="G13" s="69"/>
      <c r="I13" s="21"/>
      <c r="J13" s="128"/>
      <c r="K13" s="54"/>
      <c r="L13" s="64"/>
      <c r="M13" s="69"/>
      <c r="O13" s="21">
        <v>1</v>
      </c>
      <c r="P13" s="128">
        <v>1</v>
      </c>
      <c r="Q13" s="54">
        <v>1</v>
      </c>
      <c r="R13" s="64">
        <v>1</v>
      </c>
      <c r="S13" s="69">
        <v>1</v>
      </c>
      <c r="T13">
        <f t="shared" si="1"/>
        <v>5</v>
      </c>
    </row>
    <row r="14" spans="1:20" x14ac:dyDescent="0.15">
      <c r="A14" s="2" t="s">
        <v>190</v>
      </c>
      <c r="C14" s="21"/>
      <c r="D14" s="128"/>
      <c r="E14" s="54"/>
      <c r="F14" s="64"/>
      <c r="G14" s="69"/>
      <c r="I14" s="21"/>
      <c r="J14" s="128"/>
      <c r="K14" s="54"/>
      <c r="L14" s="64"/>
      <c r="M14" s="69"/>
      <c r="O14" s="21"/>
      <c r="P14" s="128"/>
      <c r="Q14" s="54"/>
      <c r="R14" s="64"/>
      <c r="S14" s="69"/>
      <c r="T14">
        <f t="shared" si="1"/>
        <v>0</v>
      </c>
    </row>
    <row r="15" spans="1:20" x14ac:dyDescent="0.15">
      <c r="A15" s="2" t="s">
        <v>14</v>
      </c>
      <c r="C15" s="21"/>
      <c r="D15" s="128"/>
      <c r="E15" s="54"/>
      <c r="F15" s="64"/>
      <c r="G15" s="69"/>
      <c r="I15" s="21"/>
      <c r="J15" s="128"/>
      <c r="K15" s="54"/>
      <c r="L15" s="64">
        <v>1</v>
      </c>
      <c r="M15" s="69"/>
      <c r="O15" s="21"/>
      <c r="P15" s="128"/>
      <c r="Q15" s="54"/>
      <c r="R15" s="64"/>
      <c r="S15" s="69"/>
      <c r="T15">
        <f t="shared" si="1"/>
        <v>1</v>
      </c>
    </row>
    <row r="16" spans="1:20" x14ac:dyDescent="0.15">
      <c r="A16" s="2" t="s">
        <v>26</v>
      </c>
      <c r="C16" s="21"/>
      <c r="D16" s="128"/>
      <c r="E16" s="54"/>
      <c r="F16" s="64"/>
      <c r="G16" s="69"/>
      <c r="I16" s="21"/>
      <c r="J16" s="128"/>
      <c r="K16" s="54"/>
      <c r="L16" s="64"/>
      <c r="M16" s="69"/>
      <c r="O16" s="21"/>
      <c r="P16" s="128"/>
      <c r="Q16" s="54"/>
      <c r="R16" s="64"/>
      <c r="S16" s="69"/>
      <c r="T16">
        <f t="shared" si="1"/>
        <v>0</v>
      </c>
    </row>
    <row r="17" spans="1:20" x14ac:dyDescent="0.15">
      <c r="A17" s="2" t="s">
        <v>51</v>
      </c>
      <c r="C17" s="21"/>
      <c r="D17" s="128"/>
      <c r="E17" s="54">
        <v>1</v>
      </c>
      <c r="F17" s="64">
        <v>1</v>
      </c>
      <c r="G17" s="69">
        <v>1</v>
      </c>
      <c r="I17" s="21">
        <v>2</v>
      </c>
      <c r="J17" s="128">
        <v>2</v>
      </c>
      <c r="K17" s="54">
        <v>3</v>
      </c>
      <c r="L17" s="64">
        <v>2</v>
      </c>
      <c r="M17" s="69"/>
      <c r="O17" s="21"/>
      <c r="P17" s="128">
        <v>2</v>
      </c>
      <c r="Q17" s="54">
        <v>1</v>
      </c>
      <c r="R17" s="64">
        <v>1</v>
      </c>
      <c r="S17" s="69">
        <v>1</v>
      </c>
      <c r="T17">
        <f t="shared" si="1"/>
        <v>11</v>
      </c>
    </row>
    <row r="18" spans="1:20" x14ac:dyDescent="0.15">
      <c r="A18" s="2" t="s">
        <v>44</v>
      </c>
      <c r="C18" s="21"/>
      <c r="D18" s="128"/>
      <c r="E18" s="54"/>
      <c r="F18" s="64"/>
      <c r="G18" s="69"/>
      <c r="I18" s="21"/>
      <c r="J18" s="128"/>
      <c r="K18" s="54"/>
      <c r="L18" s="64"/>
      <c r="M18" s="69"/>
      <c r="O18" s="21"/>
      <c r="P18" s="128"/>
      <c r="Q18" s="54"/>
      <c r="R18" s="64"/>
      <c r="S18" s="69"/>
      <c r="T18">
        <f t="shared" si="1"/>
        <v>0</v>
      </c>
    </row>
    <row r="19" spans="1:20" x14ac:dyDescent="0.15">
      <c r="A19" s="2" t="s">
        <v>4</v>
      </c>
      <c r="B19">
        <v>1</v>
      </c>
      <c r="C19" s="21"/>
      <c r="D19" s="128"/>
      <c r="E19" s="54">
        <v>1</v>
      </c>
      <c r="F19" s="64">
        <v>1</v>
      </c>
      <c r="G19" s="69">
        <v>1</v>
      </c>
      <c r="H19">
        <v>3</v>
      </c>
      <c r="I19" s="21">
        <v>3</v>
      </c>
      <c r="J19" s="128">
        <v>2</v>
      </c>
      <c r="K19" s="54">
        <v>3</v>
      </c>
      <c r="L19" s="64">
        <v>1</v>
      </c>
      <c r="M19" s="69">
        <v>1</v>
      </c>
      <c r="N19">
        <v>2</v>
      </c>
      <c r="O19" s="21">
        <v>1</v>
      </c>
      <c r="P19" s="128">
        <v>1</v>
      </c>
      <c r="Q19" s="54">
        <v>1</v>
      </c>
      <c r="R19" s="64">
        <v>1</v>
      </c>
      <c r="S19" s="69">
        <v>1</v>
      </c>
      <c r="T19">
        <f t="shared" si="1"/>
        <v>16</v>
      </c>
    </row>
    <row r="20" spans="1:20" x14ac:dyDescent="0.15">
      <c r="A20" s="2" t="s">
        <v>232</v>
      </c>
      <c r="C20" s="21"/>
      <c r="D20" s="128"/>
      <c r="E20" s="54"/>
      <c r="F20" s="64"/>
      <c r="G20" s="69"/>
      <c r="I20" s="21"/>
      <c r="J20" s="128"/>
      <c r="K20" s="54"/>
      <c r="L20" s="64"/>
      <c r="M20" s="69"/>
      <c r="O20" s="21"/>
      <c r="P20" s="128"/>
      <c r="Q20" s="54"/>
      <c r="R20" s="64"/>
      <c r="S20" s="69"/>
      <c r="T20">
        <f t="shared" si="1"/>
        <v>0</v>
      </c>
    </row>
    <row r="21" spans="1:20" x14ac:dyDescent="0.15">
      <c r="A21" s="2" t="s">
        <v>15</v>
      </c>
      <c r="C21" s="21">
        <v>1</v>
      </c>
      <c r="D21" s="128"/>
      <c r="E21" s="54"/>
      <c r="F21" s="64"/>
      <c r="G21" s="69"/>
      <c r="I21" s="21"/>
      <c r="J21" s="128"/>
      <c r="K21" s="54"/>
      <c r="L21" s="64"/>
      <c r="M21" s="69"/>
      <c r="O21" s="21"/>
      <c r="P21" s="128"/>
      <c r="Q21" s="54"/>
      <c r="R21" s="64"/>
      <c r="S21" s="69"/>
      <c r="T21">
        <f t="shared" si="1"/>
        <v>1</v>
      </c>
    </row>
    <row r="22" spans="1:20" x14ac:dyDescent="0.15">
      <c r="A22" s="2" t="s">
        <v>5</v>
      </c>
      <c r="B22">
        <v>2</v>
      </c>
      <c r="C22" s="21">
        <v>1</v>
      </c>
      <c r="D22" s="128">
        <v>1</v>
      </c>
      <c r="E22" s="54">
        <v>1</v>
      </c>
      <c r="F22" s="64">
        <v>1</v>
      </c>
      <c r="G22" s="69"/>
      <c r="H22">
        <v>3</v>
      </c>
      <c r="I22" s="21">
        <v>2</v>
      </c>
      <c r="J22" s="128">
        <v>1</v>
      </c>
      <c r="K22" s="54">
        <v>1</v>
      </c>
      <c r="L22" s="64">
        <v>1</v>
      </c>
      <c r="M22" s="69">
        <v>1</v>
      </c>
      <c r="O22" s="21">
        <v>2</v>
      </c>
      <c r="P22" s="128">
        <v>1</v>
      </c>
      <c r="Q22" s="54">
        <v>1</v>
      </c>
      <c r="R22" s="64">
        <v>2</v>
      </c>
      <c r="S22" s="69">
        <v>1</v>
      </c>
      <c r="T22">
        <f t="shared" si="1"/>
        <v>16</v>
      </c>
    </row>
    <row r="23" spans="1:20" x14ac:dyDescent="0.15">
      <c r="A23" s="2" t="s">
        <v>46</v>
      </c>
      <c r="C23" s="21"/>
      <c r="D23" s="128"/>
      <c r="E23" s="54"/>
      <c r="F23" s="64"/>
      <c r="G23" s="69"/>
      <c r="I23" s="21"/>
      <c r="J23" s="128"/>
      <c r="K23" s="54"/>
      <c r="L23" s="64"/>
      <c r="M23" s="69"/>
      <c r="O23" s="21"/>
      <c r="P23" s="128"/>
      <c r="Q23" s="54"/>
      <c r="R23" s="64"/>
      <c r="S23" s="69"/>
      <c r="T23">
        <f t="shared" si="1"/>
        <v>0</v>
      </c>
    </row>
    <row r="24" spans="1:20" x14ac:dyDescent="0.15">
      <c r="A24" s="2" t="s">
        <v>228</v>
      </c>
      <c r="C24" s="21"/>
      <c r="D24" s="128"/>
      <c r="E24" s="54"/>
      <c r="F24" s="64"/>
      <c r="G24" s="69"/>
      <c r="I24" s="21"/>
      <c r="J24" s="128"/>
      <c r="K24" s="54"/>
      <c r="L24" s="64"/>
      <c r="M24" s="69"/>
      <c r="O24" s="21"/>
      <c r="P24" s="128"/>
      <c r="Q24" s="54"/>
      <c r="R24" s="64"/>
      <c r="S24" s="69"/>
      <c r="T24">
        <f t="shared" si="1"/>
        <v>0</v>
      </c>
    </row>
    <row r="25" spans="1:20" x14ac:dyDescent="0.15">
      <c r="A25" s="5" t="s">
        <v>133</v>
      </c>
      <c r="C25" s="21"/>
      <c r="D25" s="128"/>
      <c r="E25" s="54"/>
      <c r="F25" s="64"/>
      <c r="G25" s="69"/>
      <c r="I25" s="21"/>
      <c r="J25" s="128"/>
      <c r="K25" s="54"/>
      <c r="L25" s="64"/>
      <c r="M25" s="69"/>
      <c r="O25" s="21"/>
      <c r="P25" s="128"/>
      <c r="Q25" s="54"/>
      <c r="R25" s="64"/>
      <c r="S25" s="69"/>
      <c r="T25">
        <f t="shared" si="1"/>
        <v>0</v>
      </c>
    </row>
    <row r="26" spans="1:20" x14ac:dyDescent="0.15">
      <c r="A26" s="5" t="s">
        <v>212</v>
      </c>
      <c r="C26" s="21"/>
      <c r="D26" s="128"/>
      <c r="E26" s="54"/>
      <c r="F26" s="64"/>
      <c r="G26" s="69"/>
      <c r="I26" s="21"/>
      <c r="J26" s="128"/>
      <c r="K26" s="54"/>
      <c r="L26" s="64"/>
      <c r="M26" s="69"/>
      <c r="O26" s="21"/>
      <c r="P26" s="128"/>
      <c r="Q26" s="54"/>
      <c r="R26" s="64"/>
      <c r="S26" s="69"/>
      <c r="T26">
        <f t="shared" si="1"/>
        <v>0</v>
      </c>
    </row>
    <row r="27" spans="1:20" x14ac:dyDescent="0.15">
      <c r="A27" s="2" t="s">
        <v>45</v>
      </c>
      <c r="C27" s="21"/>
      <c r="D27" s="128"/>
      <c r="E27" s="54"/>
      <c r="F27" s="64"/>
      <c r="G27" s="69"/>
      <c r="I27" s="21"/>
      <c r="J27" s="128"/>
      <c r="K27" s="54"/>
      <c r="L27" s="64"/>
      <c r="M27" s="69"/>
      <c r="O27" s="21"/>
      <c r="P27" s="128">
        <v>1</v>
      </c>
      <c r="Q27" s="54">
        <v>1</v>
      </c>
      <c r="R27" s="64">
        <v>2</v>
      </c>
      <c r="S27" s="69">
        <v>1</v>
      </c>
      <c r="T27">
        <f t="shared" si="1"/>
        <v>4</v>
      </c>
    </row>
    <row r="28" spans="1:20" x14ac:dyDescent="0.15">
      <c r="A28" s="2" t="s">
        <v>16</v>
      </c>
      <c r="C28" s="21">
        <v>1</v>
      </c>
      <c r="D28" s="128"/>
      <c r="E28" s="54">
        <v>1</v>
      </c>
      <c r="F28" s="64">
        <v>1</v>
      </c>
      <c r="G28" s="69">
        <v>1</v>
      </c>
      <c r="I28" s="21"/>
      <c r="J28" s="128"/>
      <c r="K28" s="54"/>
      <c r="L28" s="64"/>
      <c r="M28" s="69"/>
      <c r="O28" s="21">
        <v>1</v>
      </c>
      <c r="P28" s="128">
        <v>1</v>
      </c>
      <c r="Q28" s="54">
        <v>1</v>
      </c>
      <c r="R28" s="64">
        <v>2</v>
      </c>
      <c r="S28" s="69">
        <v>2</v>
      </c>
      <c r="T28">
        <f t="shared" si="1"/>
        <v>9</v>
      </c>
    </row>
    <row r="29" spans="1:20" x14ac:dyDescent="0.15">
      <c r="A29" s="2" t="s">
        <v>219</v>
      </c>
      <c r="C29" s="21"/>
      <c r="D29" s="128"/>
      <c r="E29" s="54"/>
      <c r="F29" s="64"/>
      <c r="G29" s="69"/>
      <c r="I29" s="21"/>
      <c r="J29" s="128"/>
      <c r="K29" s="54"/>
      <c r="L29" s="64"/>
      <c r="M29" s="69"/>
      <c r="O29" s="21"/>
      <c r="P29" s="128"/>
      <c r="Q29" s="54"/>
      <c r="R29" s="64"/>
      <c r="S29" s="69"/>
      <c r="T29">
        <f t="shared" si="1"/>
        <v>0</v>
      </c>
    </row>
    <row r="30" spans="1:20" x14ac:dyDescent="0.15">
      <c r="A30" s="5" t="s">
        <v>70</v>
      </c>
      <c r="C30" s="21"/>
      <c r="D30" s="128"/>
      <c r="E30" s="54"/>
      <c r="F30" s="64"/>
      <c r="G30" s="69"/>
      <c r="I30" s="21"/>
      <c r="J30" s="128"/>
      <c r="K30" s="54"/>
      <c r="L30" s="64"/>
      <c r="M30" s="69"/>
      <c r="O30" s="21"/>
      <c r="P30" s="128"/>
      <c r="Q30" s="54"/>
      <c r="R30" s="64"/>
      <c r="S30" s="69"/>
      <c r="T30">
        <f t="shared" si="1"/>
        <v>0</v>
      </c>
    </row>
    <row r="31" spans="1:20" x14ac:dyDescent="0.15">
      <c r="A31" s="5" t="s">
        <v>221</v>
      </c>
      <c r="C31" s="21"/>
      <c r="D31" s="128"/>
      <c r="E31" s="54"/>
      <c r="F31" s="64"/>
      <c r="G31" s="69"/>
      <c r="I31" s="21"/>
      <c r="J31" s="128"/>
      <c r="K31" s="54"/>
      <c r="L31" s="64"/>
      <c r="M31" s="69"/>
      <c r="O31" s="21"/>
      <c r="P31" s="128"/>
      <c r="Q31" s="54"/>
      <c r="R31" s="64"/>
      <c r="S31" s="69"/>
      <c r="T31">
        <f t="shared" si="1"/>
        <v>0</v>
      </c>
    </row>
    <row r="32" spans="1:20" x14ac:dyDescent="0.15">
      <c r="A32" s="5" t="s">
        <v>199</v>
      </c>
      <c r="C32" s="21"/>
      <c r="D32" s="128"/>
      <c r="E32" s="54"/>
      <c r="F32" s="64"/>
      <c r="G32" s="69"/>
      <c r="I32" s="21"/>
      <c r="J32" s="128"/>
      <c r="K32" s="54"/>
      <c r="L32" s="64"/>
      <c r="M32" s="69"/>
      <c r="O32" s="21"/>
      <c r="P32" s="128"/>
      <c r="Q32" s="54"/>
      <c r="R32" s="64"/>
      <c r="S32" s="69"/>
      <c r="T32">
        <f t="shared" si="1"/>
        <v>0</v>
      </c>
    </row>
    <row r="33" spans="1:20" x14ac:dyDescent="0.15">
      <c r="A33" s="5" t="s">
        <v>222</v>
      </c>
      <c r="C33" s="21"/>
      <c r="D33" s="128"/>
      <c r="E33" s="54"/>
      <c r="F33" s="64"/>
      <c r="G33" s="69"/>
      <c r="I33" s="21"/>
      <c r="J33" s="128"/>
      <c r="K33" s="54"/>
      <c r="L33" s="64"/>
      <c r="M33" s="69"/>
      <c r="O33" s="21"/>
      <c r="P33" s="128"/>
      <c r="Q33" s="54"/>
      <c r="R33" s="64"/>
      <c r="S33" s="69"/>
      <c r="T33">
        <f t="shared" si="1"/>
        <v>0</v>
      </c>
    </row>
    <row r="34" spans="1:20" x14ac:dyDescent="0.15">
      <c r="A34" s="2" t="s">
        <v>62</v>
      </c>
      <c r="C34" s="21"/>
      <c r="D34" s="128"/>
      <c r="E34" s="54"/>
      <c r="F34" s="64"/>
      <c r="G34" s="69"/>
      <c r="I34" s="21"/>
      <c r="J34" s="128"/>
      <c r="K34" s="54"/>
      <c r="L34" s="64"/>
      <c r="M34" s="69"/>
      <c r="O34" s="21"/>
      <c r="P34" s="128"/>
      <c r="Q34" s="54"/>
      <c r="R34" s="64"/>
      <c r="S34" s="69"/>
      <c r="T34">
        <f t="shared" si="1"/>
        <v>0</v>
      </c>
    </row>
    <row r="35" spans="1:20" x14ac:dyDescent="0.15">
      <c r="A35" s="2" t="s">
        <v>17</v>
      </c>
      <c r="C35" s="21"/>
      <c r="D35" s="128"/>
      <c r="E35" s="54"/>
      <c r="F35" s="64"/>
      <c r="G35" s="69"/>
      <c r="I35" s="21"/>
      <c r="J35" s="128"/>
      <c r="K35" s="54"/>
      <c r="L35" s="64"/>
      <c r="M35" s="69"/>
      <c r="O35" s="21"/>
      <c r="P35" s="128"/>
      <c r="Q35" s="54"/>
      <c r="R35" s="64"/>
      <c r="S35" s="69"/>
      <c r="T35">
        <f t="shared" si="1"/>
        <v>0</v>
      </c>
    </row>
    <row r="36" spans="1:20" x14ac:dyDescent="0.15">
      <c r="A36" s="2" t="s">
        <v>49</v>
      </c>
      <c r="C36" s="21">
        <v>2</v>
      </c>
      <c r="D36" s="128">
        <v>2</v>
      </c>
      <c r="E36" s="54">
        <v>3</v>
      </c>
      <c r="F36" s="64">
        <v>3</v>
      </c>
      <c r="G36" s="69">
        <v>3</v>
      </c>
      <c r="I36" s="21">
        <v>3</v>
      </c>
      <c r="J36" s="128">
        <v>3</v>
      </c>
      <c r="K36" s="54">
        <v>2</v>
      </c>
      <c r="L36" s="64">
        <v>3</v>
      </c>
      <c r="M36" s="69">
        <v>3</v>
      </c>
      <c r="O36" s="21">
        <v>1</v>
      </c>
      <c r="P36" s="128">
        <v>2</v>
      </c>
      <c r="Q36" s="54">
        <v>1</v>
      </c>
      <c r="R36" s="64">
        <v>2</v>
      </c>
      <c r="S36" s="69">
        <v>2</v>
      </c>
      <c r="T36">
        <f t="shared" si="1"/>
        <v>15</v>
      </c>
    </row>
    <row r="37" spans="1:20" x14ac:dyDescent="0.15">
      <c r="A37" s="2" t="s">
        <v>6</v>
      </c>
      <c r="C37" s="21"/>
      <c r="D37" s="128"/>
      <c r="E37" s="54"/>
      <c r="F37" s="64"/>
      <c r="G37" s="69"/>
      <c r="I37" s="21"/>
      <c r="J37" s="128"/>
      <c r="K37" s="54"/>
      <c r="L37" s="64"/>
      <c r="M37" s="69"/>
      <c r="O37" s="21"/>
      <c r="P37" s="128"/>
      <c r="Q37" s="54"/>
      <c r="R37" s="64"/>
      <c r="S37" s="69"/>
      <c r="T37">
        <f t="shared" si="1"/>
        <v>0</v>
      </c>
    </row>
    <row r="38" spans="1:20" x14ac:dyDescent="0.15">
      <c r="A38" s="2" t="s">
        <v>19</v>
      </c>
      <c r="B38">
        <v>2</v>
      </c>
      <c r="C38" s="21"/>
      <c r="D38" s="128">
        <v>1</v>
      </c>
      <c r="E38" s="54"/>
      <c r="F38" s="64">
        <v>1</v>
      </c>
      <c r="G38" s="69">
        <v>1</v>
      </c>
      <c r="H38">
        <v>2</v>
      </c>
      <c r="I38" s="21">
        <v>2</v>
      </c>
      <c r="J38" s="128">
        <v>1</v>
      </c>
      <c r="K38" s="54">
        <v>2</v>
      </c>
      <c r="L38" s="64">
        <v>2</v>
      </c>
      <c r="M38" s="69">
        <v>2</v>
      </c>
      <c r="N38">
        <v>5</v>
      </c>
      <c r="O38" s="21">
        <v>1</v>
      </c>
      <c r="P38" s="128">
        <v>1</v>
      </c>
      <c r="Q38" s="54">
        <v>1</v>
      </c>
      <c r="R38" s="64">
        <v>1</v>
      </c>
      <c r="S38" s="69">
        <v>1</v>
      </c>
      <c r="T38">
        <f t="shared" si="1"/>
        <v>16</v>
      </c>
    </row>
    <row r="39" spans="1:20" x14ac:dyDescent="0.15">
      <c r="A39" s="2" t="s">
        <v>68</v>
      </c>
      <c r="C39" s="21"/>
      <c r="D39" s="128"/>
      <c r="E39" s="54"/>
      <c r="F39" s="64"/>
      <c r="G39" s="69"/>
      <c r="I39" s="21"/>
      <c r="J39" s="128"/>
      <c r="K39" s="54"/>
      <c r="L39" s="64"/>
      <c r="M39" s="69"/>
      <c r="O39" s="21"/>
      <c r="P39" s="128"/>
      <c r="Q39" s="54"/>
      <c r="R39" s="64"/>
      <c r="S39" s="69"/>
      <c r="T39">
        <f t="shared" si="1"/>
        <v>0</v>
      </c>
    </row>
    <row r="40" spans="1:20" x14ac:dyDescent="0.15">
      <c r="A40" s="2" t="s">
        <v>37</v>
      </c>
      <c r="C40" s="21"/>
      <c r="D40" s="128"/>
      <c r="E40" s="54"/>
      <c r="F40" s="64"/>
      <c r="G40" s="69"/>
      <c r="I40" s="21"/>
      <c r="J40" s="128"/>
      <c r="K40" s="54"/>
      <c r="L40" s="64"/>
      <c r="M40" s="69"/>
      <c r="O40" s="21"/>
      <c r="P40" s="128"/>
      <c r="Q40" s="54"/>
      <c r="R40" s="64"/>
      <c r="S40" s="69"/>
      <c r="T40">
        <f t="shared" si="1"/>
        <v>0</v>
      </c>
    </row>
    <row r="41" spans="1:20" x14ac:dyDescent="0.15">
      <c r="A41" s="2" t="s">
        <v>20</v>
      </c>
      <c r="B41">
        <v>1</v>
      </c>
      <c r="C41" s="21"/>
      <c r="D41" s="128"/>
      <c r="E41" s="54"/>
      <c r="F41" s="64"/>
      <c r="G41" s="69"/>
      <c r="H41">
        <v>2</v>
      </c>
      <c r="I41" s="21">
        <v>3</v>
      </c>
      <c r="J41" s="128">
        <v>2</v>
      </c>
      <c r="K41" s="54">
        <v>4</v>
      </c>
      <c r="L41" s="64">
        <v>4</v>
      </c>
      <c r="M41" s="69">
        <v>3</v>
      </c>
      <c r="N41">
        <v>3</v>
      </c>
      <c r="O41" s="21"/>
      <c r="P41" s="128"/>
      <c r="Q41" s="54"/>
      <c r="R41" s="64"/>
      <c r="S41" s="69"/>
      <c r="T41">
        <f t="shared" si="1"/>
        <v>8</v>
      </c>
    </row>
    <row r="42" spans="1:20" x14ac:dyDescent="0.15">
      <c r="A42" s="2" t="s">
        <v>11</v>
      </c>
      <c r="C42" s="21"/>
      <c r="D42" s="128"/>
      <c r="E42" s="54"/>
      <c r="F42" s="64"/>
      <c r="G42" s="69"/>
      <c r="H42">
        <v>2</v>
      </c>
      <c r="I42" s="21"/>
      <c r="J42" s="128"/>
      <c r="K42" s="54"/>
      <c r="L42" s="64"/>
      <c r="M42" s="69"/>
      <c r="O42" s="21"/>
      <c r="P42" s="128">
        <v>1</v>
      </c>
      <c r="Q42" s="54">
        <v>1</v>
      </c>
      <c r="R42" s="64">
        <v>1</v>
      </c>
      <c r="S42" s="69">
        <v>1</v>
      </c>
      <c r="T42">
        <f t="shared" si="1"/>
        <v>5</v>
      </c>
    </row>
    <row r="43" spans="1:20" x14ac:dyDescent="0.15">
      <c r="A43" s="2" t="s">
        <v>21</v>
      </c>
      <c r="C43" s="21">
        <v>1</v>
      </c>
      <c r="D43" s="128">
        <v>1</v>
      </c>
      <c r="E43" s="54">
        <v>1</v>
      </c>
      <c r="F43" s="64">
        <v>2</v>
      </c>
      <c r="G43" s="69">
        <v>1</v>
      </c>
      <c r="H43">
        <v>3</v>
      </c>
      <c r="I43" s="21">
        <v>2</v>
      </c>
      <c r="J43" s="128">
        <v>1</v>
      </c>
      <c r="K43" s="54">
        <v>1</v>
      </c>
      <c r="L43" s="64">
        <v>1</v>
      </c>
      <c r="M43" s="69">
        <v>1</v>
      </c>
      <c r="N43">
        <v>4</v>
      </c>
      <c r="O43" s="21">
        <v>2</v>
      </c>
      <c r="P43" s="128">
        <v>3</v>
      </c>
      <c r="Q43" s="54">
        <v>3</v>
      </c>
      <c r="R43" s="64">
        <v>3</v>
      </c>
      <c r="S43" s="69">
        <v>2</v>
      </c>
      <c r="T43">
        <f t="shared" si="1"/>
        <v>17</v>
      </c>
    </row>
    <row r="44" spans="1:20" x14ac:dyDescent="0.15">
      <c r="A44" s="2" t="s">
        <v>197</v>
      </c>
      <c r="C44" s="21"/>
      <c r="D44" s="128"/>
      <c r="E44" s="54"/>
      <c r="F44" s="64"/>
      <c r="G44" s="69"/>
      <c r="I44" s="21"/>
      <c r="J44" s="128"/>
      <c r="K44" s="54"/>
      <c r="L44" s="64"/>
      <c r="M44" s="69"/>
      <c r="O44" s="21"/>
      <c r="P44" s="128"/>
      <c r="Q44" s="54"/>
      <c r="R44" s="64"/>
      <c r="S44" s="69"/>
      <c r="T44">
        <f t="shared" si="1"/>
        <v>0</v>
      </c>
    </row>
    <row r="45" spans="1:20" x14ac:dyDescent="0.15">
      <c r="A45" s="2" t="s">
        <v>196</v>
      </c>
      <c r="C45" s="21"/>
      <c r="D45" s="128"/>
      <c r="E45" s="54"/>
      <c r="F45" s="64"/>
      <c r="G45" s="69"/>
      <c r="I45" s="21"/>
      <c r="J45" s="128"/>
      <c r="K45" s="54"/>
      <c r="L45" s="64"/>
      <c r="M45" s="69"/>
      <c r="O45" s="21"/>
      <c r="P45" s="128"/>
      <c r="Q45" s="54"/>
      <c r="R45" s="64"/>
      <c r="S45" s="69"/>
      <c r="T45">
        <f t="shared" si="1"/>
        <v>0</v>
      </c>
    </row>
    <row r="46" spans="1:20" x14ac:dyDescent="0.15">
      <c r="A46" s="5" t="s">
        <v>198</v>
      </c>
      <c r="C46" s="21"/>
      <c r="D46" s="128"/>
      <c r="E46" s="54"/>
      <c r="F46" s="64"/>
      <c r="G46" s="69"/>
      <c r="I46" s="21"/>
      <c r="J46" s="128"/>
      <c r="K46" s="54"/>
      <c r="L46" s="64"/>
      <c r="M46" s="69"/>
      <c r="O46" s="21"/>
      <c r="P46" s="128"/>
      <c r="Q46" s="54"/>
      <c r="R46" s="64"/>
      <c r="S46" s="69"/>
      <c r="T46">
        <f t="shared" si="1"/>
        <v>0</v>
      </c>
    </row>
    <row r="47" spans="1:20" x14ac:dyDescent="0.15">
      <c r="A47" s="2" t="s">
        <v>35</v>
      </c>
      <c r="C47" s="21"/>
      <c r="D47" s="128"/>
      <c r="E47" s="54">
        <v>1</v>
      </c>
      <c r="F47" s="64">
        <v>1</v>
      </c>
      <c r="G47" s="69"/>
      <c r="H47">
        <v>1</v>
      </c>
      <c r="I47" s="21">
        <v>1</v>
      </c>
      <c r="J47" s="128"/>
      <c r="K47" s="54"/>
      <c r="L47" s="64"/>
      <c r="M47" s="69"/>
      <c r="N47">
        <v>1</v>
      </c>
      <c r="O47" s="21"/>
      <c r="P47" s="128"/>
      <c r="Q47" s="54"/>
      <c r="R47" s="64"/>
      <c r="S47" s="69"/>
      <c r="T47">
        <f t="shared" si="1"/>
        <v>5</v>
      </c>
    </row>
    <row r="48" spans="1:20" x14ac:dyDescent="0.15">
      <c r="A48" s="2" t="s">
        <v>110</v>
      </c>
      <c r="C48" s="21"/>
      <c r="D48" s="128"/>
      <c r="E48" s="54"/>
      <c r="F48" s="64"/>
      <c r="G48" s="69"/>
      <c r="I48" s="21"/>
      <c r="J48" s="128"/>
      <c r="K48" s="54"/>
      <c r="L48" s="64"/>
      <c r="M48" s="69"/>
      <c r="O48" s="21"/>
      <c r="P48" s="128"/>
      <c r="Q48" s="54"/>
      <c r="R48" s="64"/>
      <c r="S48" s="69"/>
      <c r="T48">
        <f t="shared" si="1"/>
        <v>0</v>
      </c>
    </row>
    <row r="49" spans="1:20" x14ac:dyDescent="0.15">
      <c r="A49" s="2" t="s">
        <v>25</v>
      </c>
      <c r="C49" s="21"/>
      <c r="D49" s="128"/>
      <c r="E49" s="54"/>
      <c r="F49" s="64"/>
      <c r="G49" s="69"/>
      <c r="I49" s="21"/>
      <c r="J49" s="128"/>
      <c r="K49" s="54"/>
      <c r="L49" s="64"/>
      <c r="M49" s="69"/>
      <c r="O49" s="21"/>
      <c r="P49" s="128"/>
      <c r="Q49" s="54"/>
      <c r="R49" s="64"/>
      <c r="S49" s="69"/>
      <c r="T49">
        <f t="shared" si="1"/>
        <v>0</v>
      </c>
    </row>
    <row r="50" spans="1:20" x14ac:dyDescent="0.15">
      <c r="A50" s="2" t="s">
        <v>38</v>
      </c>
      <c r="C50" s="21"/>
      <c r="D50" s="128"/>
      <c r="E50" s="54"/>
      <c r="F50" s="64"/>
      <c r="G50" s="69"/>
      <c r="I50" s="21"/>
      <c r="J50" s="128"/>
      <c r="K50" s="54"/>
      <c r="L50" s="64"/>
      <c r="M50" s="69"/>
      <c r="O50" s="21"/>
      <c r="P50" s="128"/>
      <c r="Q50" s="54"/>
      <c r="R50" s="64"/>
      <c r="S50" s="69"/>
      <c r="T50">
        <f t="shared" si="1"/>
        <v>0</v>
      </c>
    </row>
    <row r="51" spans="1:20" x14ac:dyDescent="0.15">
      <c r="A51" s="2" t="s">
        <v>27</v>
      </c>
      <c r="C51" s="21"/>
      <c r="D51" s="128"/>
      <c r="E51" s="54"/>
      <c r="F51" s="64"/>
      <c r="G51" s="69"/>
      <c r="I51" s="21"/>
      <c r="J51" s="128"/>
      <c r="K51" s="54"/>
      <c r="L51" s="64"/>
      <c r="M51" s="69"/>
      <c r="O51" s="21"/>
      <c r="P51" s="128"/>
      <c r="Q51" s="54"/>
      <c r="R51" s="64"/>
      <c r="S51" s="69"/>
      <c r="T51">
        <f t="shared" si="1"/>
        <v>0</v>
      </c>
    </row>
    <row r="52" spans="1:20" x14ac:dyDescent="0.15">
      <c r="A52" s="2" t="s">
        <v>229</v>
      </c>
      <c r="C52" s="21"/>
      <c r="D52" s="128"/>
      <c r="E52" s="54"/>
      <c r="F52" s="64"/>
      <c r="G52" s="69"/>
      <c r="I52" s="21"/>
      <c r="J52" s="128"/>
      <c r="K52" s="54"/>
      <c r="L52" s="64"/>
      <c r="M52" s="69"/>
      <c r="O52" s="21"/>
      <c r="P52" s="128"/>
      <c r="Q52" s="54"/>
      <c r="R52" s="64"/>
      <c r="S52" s="69"/>
      <c r="T52">
        <f t="shared" si="1"/>
        <v>0</v>
      </c>
    </row>
    <row r="53" spans="1:20" x14ac:dyDescent="0.15">
      <c r="A53" s="2" t="s">
        <v>36</v>
      </c>
      <c r="C53" s="21"/>
      <c r="D53" s="128"/>
      <c r="E53" s="54"/>
      <c r="F53" s="64"/>
      <c r="G53" s="69"/>
      <c r="I53" s="21"/>
      <c r="J53" s="128"/>
      <c r="K53" s="54"/>
      <c r="L53" s="64"/>
      <c r="M53" s="69"/>
      <c r="O53" s="21"/>
      <c r="P53" s="128"/>
      <c r="Q53" s="54"/>
      <c r="R53" s="64"/>
      <c r="S53" s="69"/>
      <c r="T53">
        <f t="shared" si="1"/>
        <v>0</v>
      </c>
    </row>
    <row r="54" spans="1:20" x14ac:dyDescent="0.15">
      <c r="A54" s="2" t="s">
        <v>50</v>
      </c>
      <c r="C54" s="21"/>
      <c r="D54" s="128"/>
      <c r="E54" s="54"/>
      <c r="F54" s="64"/>
      <c r="G54" s="69"/>
      <c r="I54" s="21"/>
      <c r="J54" s="128"/>
      <c r="K54" s="54"/>
      <c r="L54" s="64"/>
      <c r="M54" s="69"/>
      <c r="O54" s="21">
        <v>1</v>
      </c>
      <c r="P54" s="128">
        <v>1</v>
      </c>
      <c r="Q54" s="54">
        <v>2</v>
      </c>
      <c r="R54" s="64">
        <v>1</v>
      </c>
      <c r="S54" s="69">
        <v>1</v>
      </c>
      <c r="T54">
        <f t="shared" si="1"/>
        <v>5</v>
      </c>
    </row>
    <row r="55" spans="1:20" x14ac:dyDescent="0.15">
      <c r="A55" s="2" t="s">
        <v>231</v>
      </c>
      <c r="C55" s="21"/>
      <c r="D55" s="128"/>
      <c r="E55" s="54"/>
      <c r="F55" s="64"/>
      <c r="G55" s="69"/>
      <c r="I55" s="21"/>
      <c r="J55" s="128"/>
      <c r="K55" s="54"/>
      <c r="L55" s="64"/>
      <c r="M55" s="69"/>
      <c r="O55" s="21"/>
      <c r="P55" s="128"/>
      <c r="Q55" s="54"/>
      <c r="R55" s="64"/>
      <c r="S55" s="69"/>
      <c r="T55">
        <f t="shared" si="1"/>
        <v>0</v>
      </c>
    </row>
    <row r="56" spans="1:20" x14ac:dyDescent="0.15">
      <c r="A56" s="2" t="s">
        <v>190</v>
      </c>
      <c r="C56" s="21"/>
      <c r="D56" s="128"/>
      <c r="E56" s="54"/>
      <c r="F56" s="64"/>
      <c r="G56" s="69"/>
      <c r="I56" s="21"/>
      <c r="J56" s="128"/>
      <c r="K56" s="54"/>
      <c r="L56" s="64"/>
      <c r="M56" s="69"/>
      <c r="O56" s="21"/>
      <c r="P56" s="128"/>
      <c r="Q56" s="54"/>
      <c r="R56" s="64"/>
      <c r="S56" s="69"/>
      <c r="T56">
        <f t="shared" si="1"/>
        <v>0</v>
      </c>
    </row>
    <row r="57" spans="1:20" x14ac:dyDescent="0.15">
      <c r="A57" s="2" t="s">
        <v>58</v>
      </c>
      <c r="C57" s="21"/>
      <c r="D57" s="128"/>
      <c r="E57" s="54"/>
      <c r="F57" s="64"/>
      <c r="G57" s="69"/>
      <c r="I57" s="21"/>
      <c r="J57" s="128"/>
      <c r="K57" s="54"/>
      <c r="L57" s="64"/>
      <c r="M57" s="69"/>
      <c r="O57" s="21"/>
      <c r="P57" s="128"/>
      <c r="Q57" s="54"/>
      <c r="R57" s="64"/>
      <c r="S57" s="69">
        <v>1</v>
      </c>
      <c r="T57">
        <f t="shared" si="1"/>
        <v>1</v>
      </c>
    </row>
    <row r="58" spans="1:20" x14ac:dyDescent="0.15">
      <c r="A58" s="2" t="s">
        <v>57</v>
      </c>
      <c r="C58" s="21"/>
      <c r="D58" s="128"/>
      <c r="E58" s="54"/>
      <c r="F58" s="64"/>
      <c r="G58" s="69"/>
      <c r="I58" s="21"/>
      <c r="J58" s="128"/>
      <c r="K58" s="54"/>
      <c r="L58" s="64"/>
      <c r="M58" s="69"/>
      <c r="O58" s="21"/>
      <c r="P58" s="128"/>
      <c r="Q58" s="54"/>
      <c r="R58" s="64"/>
      <c r="S58" s="69"/>
      <c r="T58">
        <f t="shared" si="1"/>
        <v>0</v>
      </c>
    </row>
    <row r="59" spans="1:20" x14ac:dyDescent="0.15">
      <c r="A59" s="2" t="s">
        <v>28</v>
      </c>
      <c r="C59" s="21"/>
      <c r="D59" s="128"/>
      <c r="E59" s="54"/>
      <c r="F59" s="64"/>
      <c r="G59" s="69"/>
      <c r="I59" s="21"/>
      <c r="J59" s="128"/>
      <c r="K59" s="54"/>
      <c r="L59" s="64"/>
      <c r="M59" s="69"/>
      <c r="O59" s="21"/>
      <c r="P59" s="128"/>
      <c r="Q59" s="54"/>
      <c r="R59" s="64"/>
      <c r="S59" s="69"/>
      <c r="T59">
        <f t="shared" si="1"/>
        <v>0</v>
      </c>
    </row>
    <row r="60" spans="1:20" x14ac:dyDescent="0.15">
      <c r="A60" s="2" t="s">
        <v>194</v>
      </c>
      <c r="C60" s="21"/>
      <c r="D60" s="128"/>
      <c r="E60" s="54"/>
      <c r="F60" s="64"/>
      <c r="G60" s="69"/>
      <c r="I60" s="21"/>
      <c r="J60" s="128"/>
      <c r="K60" s="54"/>
      <c r="L60" s="64"/>
      <c r="M60" s="69"/>
      <c r="O60" s="21"/>
      <c r="P60" s="128"/>
      <c r="Q60" s="54"/>
      <c r="R60" s="64"/>
      <c r="S60" s="69"/>
      <c r="T60">
        <f t="shared" si="1"/>
        <v>0</v>
      </c>
    </row>
    <row r="61" spans="1:20" x14ac:dyDescent="0.15">
      <c r="A61" s="2" t="s">
        <v>10</v>
      </c>
      <c r="C61" s="21"/>
      <c r="D61" s="128"/>
      <c r="E61" s="54"/>
      <c r="F61" s="64"/>
      <c r="G61" s="69"/>
      <c r="I61" s="21"/>
      <c r="J61" s="128"/>
      <c r="K61" s="54"/>
      <c r="L61" s="64"/>
      <c r="M61" s="69"/>
      <c r="O61" s="21"/>
      <c r="P61" s="128"/>
      <c r="Q61" s="54"/>
      <c r="R61" s="64"/>
      <c r="S61" s="69"/>
      <c r="T61">
        <f t="shared" si="1"/>
        <v>0</v>
      </c>
    </row>
    <row r="62" spans="1:20" x14ac:dyDescent="0.15">
      <c r="A62" s="5" t="s">
        <v>174</v>
      </c>
      <c r="C62" s="120"/>
      <c r="D62" s="119"/>
      <c r="E62" s="121"/>
      <c r="F62" s="122"/>
      <c r="G62" s="150"/>
      <c r="H62" s="4"/>
      <c r="I62" s="138"/>
      <c r="J62" s="38">
        <v>1</v>
      </c>
      <c r="K62" s="112">
        <v>1</v>
      </c>
      <c r="L62" s="113"/>
      <c r="M62" s="145"/>
      <c r="N62" s="114"/>
      <c r="O62" s="115"/>
      <c r="P62" s="116"/>
      <c r="Q62" s="117"/>
      <c r="R62" s="118"/>
      <c r="S62" s="146"/>
      <c r="T62">
        <f t="shared" si="1"/>
        <v>2</v>
      </c>
    </row>
    <row r="63" spans="1:20" x14ac:dyDescent="0.15">
      <c r="A63" s="2" t="s">
        <v>22</v>
      </c>
      <c r="C63" s="21"/>
      <c r="D63" s="128"/>
      <c r="E63" s="54"/>
      <c r="F63" s="64"/>
      <c r="G63" s="69"/>
      <c r="H63">
        <v>4</v>
      </c>
      <c r="I63" s="21"/>
      <c r="J63" s="128"/>
      <c r="K63" s="54"/>
      <c r="L63" s="64"/>
      <c r="M63" s="69">
        <v>1</v>
      </c>
      <c r="O63" s="21"/>
      <c r="P63" s="128"/>
      <c r="Q63" s="54"/>
      <c r="R63" s="64"/>
      <c r="S63" s="69"/>
      <c r="T63">
        <f t="shared" si="1"/>
        <v>2</v>
      </c>
    </row>
    <row r="64" spans="1:20" x14ac:dyDescent="0.15">
      <c r="A64" s="5" t="s">
        <v>132</v>
      </c>
      <c r="C64" s="21"/>
      <c r="D64" s="128"/>
      <c r="E64" s="54"/>
      <c r="F64" s="64"/>
      <c r="G64" s="69"/>
      <c r="I64" s="21"/>
      <c r="J64" s="128"/>
      <c r="K64" s="54"/>
      <c r="L64" s="64"/>
      <c r="M64" s="69"/>
      <c r="O64" s="21"/>
      <c r="P64" s="128"/>
      <c r="Q64" s="54"/>
      <c r="R64" s="64"/>
      <c r="S64" s="69"/>
      <c r="T64">
        <f t="shared" si="1"/>
        <v>0</v>
      </c>
    </row>
    <row r="65" spans="1:20" x14ac:dyDescent="0.15">
      <c r="A65" s="5" t="s">
        <v>191</v>
      </c>
      <c r="C65" s="21"/>
      <c r="D65" s="128"/>
      <c r="E65" s="54"/>
      <c r="F65" s="64"/>
      <c r="G65" s="69"/>
      <c r="I65" s="21"/>
      <c r="J65" s="128"/>
      <c r="K65" s="54"/>
      <c r="L65" s="64"/>
      <c r="M65" s="69"/>
      <c r="O65" s="21"/>
      <c r="P65" s="128"/>
      <c r="Q65" s="54"/>
      <c r="R65" s="64"/>
      <c r="S65" s="69"/>
      <c r="T65">
        <f t="shared" si="1"/>
        <v>0</v>
      </c>
    </row>
    <row r="66" spans="1:20" x14ac:dyDescent="0.15">
      <c r="A66" s="5" t="s">
        <v>218</v>
      </c>
      <c r="C66" s="21"/>
      <c r="D66" s="128"/>
      <c r="E66" s="54"/>
      <c r="F66" s="64"/>
      <c r="G66" s="69"/>
      <c r="I66" s="21"/>
      <c r="J66" s="128"/>
      <c r="K66" s="54"/>
      <c r="L66" s="64"/>
      <c r="M66" s="69"/>
      <c r="O66" s="21"/>
      <c r="P66" s="128"/>
      <c r="Q66" s="54"/>
      <c r="R66" s="64"/>
      <c r="S66" s="69"/>
      <c r="T66">
        <f t="shared" si="1"/>
        <v>0</v>
      </c>
    </row>
    <row r="67" spans="1:20" x14ac:dyDescent="0.15">
      <c r="A67" s="5" t="s">
        <v>203</v>
      </c>
      <c r="C67" s="21"/>
      <c r="D67" s="128"/>
      <c r="E67" s="54"/>
      <c r="F67" s="64"/>
      <c r="G67" s="69"/>
      <c r="I67" s="21"/>
      <c r="J67" s="128"/>
      <c r="K67" s="54"/>
      <c r="L67" s="64"/>
      <c r="M67" s="69"/>
      <c r="O67" s="21"/>
      <c r="P67" s="128"/>
      <c r="Q67" s="54"/>
      <c r="R67" s="64"/>
      <c r="S67" s="69"/>
      <c r="T67">
        <f t="shared" si="1"/>
        <v>0</v>
      </c>
    </row>
    <row r="68" spans="1:20" x14ac:dyDescent="0.15">
      <c r="A68" s="2" t="s">
        <v>23</v>
      </c>
      <c r="C68" s="21"/>
      <c r="D68" s="128"/>
      <c r="E68" s="54"/>
      <c r="F68" s="64"/>
      <c r="G68" s="69"/>
      <c r="I68" s="21"/>
      <c r="J68" s="128"/>
      <c r="K68" s="54"/>
      <c r="L68" s="64"/>
      <c r="M68" s="69"/>
      <c r="O68" s="21"/>
      <c r="P68" s="128"/>
      <c r="Q68" s="54"/>
      <c r="R68" s="64"/>
      <c r="S68" s="69"/>
      <c r="T68">
        <f t="shared" si="1"/>
        <v>0</v>
      </c>
    </row>
    <row r="69" spans="1:20" x14ac:dyDescent="0.15">
      <c r="A69" s="2" t="s">
        <v>208</v>
      </c>
      <c r="C69" s="21"/>
      <c r="D69" s="128"/>
      <c r="E69" s="54"/>
      <c r="F69" s="64"/>
      <c r="G69" s="69"/>
      <c r="I69" s="21"/>
      <c r="J69" s="128"/>
      <c r="K69" s="54"/>
      <c r="L69" s="64"/>
      <c r="M69" s="69"/>
      <c r="O69" s="21"/>
      <c r="P69" s="128"/>
      <c r="Q69" s="54"/>
      <c r="R69" s="64"/>
      <c r="S69" s="69"/>
      <c r="T69">
        <f t="shared" si="1"/>
        <v>0</v>
      </c>
    </row>
    <row r="70" spans="1:20" x14ac:dyDescent="0.15">
      <c r="A70" s="2" t="s">
        <v>41</v>
      </c>
      <c r="C70" s="21"/>
      <c r="D70" s="128"/>
      <c r="E70" s="54"/>
      <c r="F70" s="64"/>
      <c r="G70" s="69"/>
      <c r="I70" s="21"/>
      <c r="J70" s="128"/>
      <c r="K70" s="54"/>
      <c r="L70" s="64"/>
      <c r="M70" s="69"/>
      <c r="O70" s="21"/>
      <c r="P70" s="128"/>
      <c r="Q70" s="54"/>
      <c r="R70" s="64"/>
      <c r="S70" s="69"/>
      <c r="T70">
        <f t="shared" si="1"/>
        <v>0</v>
      </c>
    </row>
    <row r="71" spans="1:20" x14ac:dyDescent="0.15">
      <c r="A71" s="5" t="s">
        <v>95</v>
      </c>
      <c r="C71" s="21"/>
      <c r="D71" s="128"/>
      <c r="E71" s="54"/>
      <c r="F71" s="64"/>
      <c r="G71" s="69"/>
      <c r="I71" s="21"/>
      <c r="J71" s="128"/>
      <c r="K71" s="54"/>
      <c r="L71" s="64"/>
      <c r="M71" s="69"/>
      <c r="O71" s="21"/>
      <c r="P71" s="128"/>
      <c r="Q71" s="54"/>
      <c r="R71" s="64"/>
      <c r="S71" s="69"/>
      <c r="T71">
        <f t="shared" ref="T71:T84" si="2">COUNTA(B71:S71)</f>
        <v>0</v>
      </c>
    </row>
    <row r="72" spans="1:20" x14ac:dyDescent="0.15">
      <c r="A72" s="5" t="s">
        <v>111</v>
      </c>
      <c r="C72" s="21"/>
      <c r="D72" s="128"/>
      <c r="E72" s="54"/>
      <c r="F72" s="64"/>
      <c r="G72" s="69"/>
      <c r="I72" s="21"/>
      <c r="J72" s="128"/>
      <c r="K72" s="54"/>
      <c r="L72" s="64"/>
      <c r="M72" s="69"/>
      <c r="O72" s="21"/>
      <c r="P72" s="128"/>
      <c r="Q72" s="54"/>
      <c r="R72" s="64"/>
      <c r="S72" s="69"/>
      <c r="T72">
        <f t="shared" si="2"/>
        <v>0</v>
      </c>
    </row>
    <row r="73" spans="1:20" x14ac:dyDescent="0.15">
      <c r="A73" s="2" t="s">
        <v>7</v>
      </c>
      <c r="C73" s="21">
        <v>1</v>
      </c>
      <c r="D73" s="128"/>
      <c r="E73" s="54"/>
      <c r="F73" s="64"/>
      <c r="G73" s="69"/>
      <c r="H73">
        <v>1</v>
      </c>
      <c r="I73" s="21">
        <v>2</v>
      </c>
      <c r="J73" s="128">
        <v>2</v>
      </c>
      <c r="K73" s="54">
        <v>2</v>
      </c>
      <c r="L73" s="64">
        <v>2</v>
      </c>
      <c r="M73" s="69">
        <v>2</v>
      </c>
      <c r="O73" s="21">
        <v>2</v>
      </c>
      <c r="P73" s="128">
        <v>2</v>
      </c>
      <c r="Q73" s="54">
        <v>2</v>
      </c>
      <c r="R73" s="64">
        <v>2</v>
      </c>
      <c r="S73" s="69">
        <v>1</v>
      </c>
      <c r="T73">
        <f t="shared" si="2"/>
        <v>12</v>
      </c>
    </row>
    <row r="74" spans="1:20" x14ac:dyDescent="0.15">
      <c r="A74" s="2" t="s">
        <v>32</v>
      </c>
      <c r="C74" s="21"/>
      <c r="D74" s="128"/>
      <c r="E74" s="54"/>
      <c r="F74" s="64"/>
      <c r="G74" s="69"/>
      <c r="I74" s="21"/>
      <c r="J74" s="128"/>
      <c r="K74" s="54"/>
      <c r="L74" s="64"/>
      <c r="M74" s="69"/>
      <c r="O74" s="21"/>
      <c r="P74" s="128"/>
      <c r="Q74" s="54"/>
      <c r="R74" s="64"/>
      <c r="S74" s="69"/>
      <c r="T74">
        <f t="shared" si="2"/>
        <v>0</v>
      </c>
    </row>
    <row r="75" spans="1:20" x14ac:dyDescent="0.15">
      <c r="A75" s="5" t="s">
        <v>72</v>
      </c>
      <c r="C75" s="21"/>
      <c r="D75" s="128"/>
      <c r="E75" s="54"/>
      <c r="F75" s="64"/>
      <c r="G75" s="69"/>
      <c r="I75" s="21"/>
      <c r="J75" s="128"/>
      <c r="K75" s="54"/>
      <c r="L75" s="64"/>
      <c r="M75" s="69"/>
      <c r="O75" s="21"/>
      <c r="P75" s="128"/>
      <c r="Q75" s="54"/>
      <c r="R75" s="64"/>
      <c r="S75" s="69"/>
      <c r="T75">
        <f t="shared" si="2"/>
        <v>0</v>
      </c>
    </row>
    <row r="76" spans="1:20" x14ac:dyDescent="0.15">
      <c r="A76" s="5" t="s">
        <v>61</v>
      </c>
      <c r="C76" s="21">
        <v>1</v>
      </c>
      <c r="D76" s="128"/>
      <c r="E76" s="54">
        <v>1</v>
      </c>
      <c r="F76" s="64">
        <v>1</v>
      </c>
      <c r="G76" s="69">
        <v>1</v>
      </c>
      <c r="I76" s="21"/>
      <c r="J76" s="128"/>
      <c r="K76" s="54"/>
      <c r="L76" s="64"/>
      <c r="M76" s="69"/>
      <c r="O76" s="21"/>
      <c r="P76" s="128">
        <v>1</v>
      </c>
      <c r="Q76" s="54">
        <v>1</v>
      </c>
      <c r="R76" s="64">
        <v>1</v>
      </c>
      <c r="S76" s="69"/>
      <c r="T76">
        <f t="shared" si="2"/>
        <v>7</v>
      </c>
    </row>
    <row r="77" spans="1:20" x14ac:dyDescent="0.15">
      <c r="A77" s="5" t="s">
        <v>42</v>
      </c>
      <c r="C77" s="21"/>
      <c r="D77" s="128"/>
      <c r="E77" s="54"/>
      <c r="F77" s="64"/>
      <c r="G77" s="69"/>
      <c r="I77" s="21"/>
      <c r="J77" s="128"/>
      <c r="K77" s="54"/>
      <c r="L77" s="64"/>
      <c r="M77" s="69"/>
      <c r="O77" s="21"/>
      <c r="P77" s="128"/>
      <c r="Q77" s="54"/>
      <c r="R77" s="64"/>
      <c r="S77" s="69"/>
      <c r="T77">
        <f t="shared" si="2"/>
        <v>0</v>
      </c>
    </row>
    <row r="78" spans="1:20" x14ac:dyDescent="0.15">
      <c r="A78" s="5" t="s">
        <v>205</v>
      </c>
      <c r="C78" s="21"/>
      <c r="D78" s="128"/>
      <c r="E78" s="54"/>
      <c r="F78" s="64"/>
      <c r="G78" s="69"/>
      <c r="I78" s="21"/>
      <c r="J78" s="128"/>
      <c r="K78" s="54"/>
      <c r="L78" s="64"/>
      <c r="M78" s="69"/>
      <c r="O78" s="21"/>
      <c r="P78" s="128"/>
      <c r="Q78" s="54"/>
      <c r="R78" s="64"/>
      <c r="S78" s="69"/>
      <c r="T78">
        <f t="shared" si="2"/>
        <v>0</v>
      </c>
    </row>
    <row r="79" spans="1:20" x14ac:dyDescent="0.15">
      <c r="A79" s="2" t="s">
        <v>213</v>
      </c>
      <c r="C79" s="21"/>
      <c r="D79" s="128"/>
      <c r="E79" s="54"/>
      <c r="F79" s="64"/>
      <c r="G79" s="69"/>
      <c r="I79" s="21"/>
      <c r="J79" s="128"/>
      <c r="K79" s="54"/>
      <c r="L79" s="64"/>
      <c r="M79" s="69"/>
      <c r="O79" s="21"/>
      <c r="P79" s="128"/>
      <c r="Q79" s="54"/>
      <c r="R79" s="64"/>
      <c r="S79" s="69"/>
      <c r="T79">
        <f t="shared" si="2"/>
        <v>0</v>
      </c>
    </row>
    <row r="80" spans="1:20" x14ac:dyDescent="0.15">
      <c r="A80" s="5" t="s">
        <v>96</v>
      </c>
      <c r="C80" s="21"/>
      <c r="D80" s="128"/>
      <c r="E80" s="54"/>
      <c r="F80" s="64"/>
      <c r="G80" s="69"/>
      <c r="I80" s="21"/>
      <c r="J80" s="128"/>
      <c r="K80" s="54"/>
      <c r="L80" s="64"/>
      <c r="M80" s="69"/>
      <c r="O80" s="21"/>
      <c r="P80" s="128"/>
      <c r="Q80" s="54"/>
      <c r="R80" s="64"/>
      <c r="S80" s="69"/>
      <c r="T80">
        <f t="shared" si="2"/>
        <v>0</v>
      </c>
    </row>
    <row r="81" spans="1:20" x14ac:dyDescent="0.15">
      <c r="A81" s="2" t="s">
        <v>175</v>
      </c>
      <c r="C81" s="21"/>
      <c r="D81" s="128"/>
      <c r="E81" s="54"/>
      <c r="F81" s="64"/>
      <c r="G81" s="69"/>
      <c r="I81" s="21"/>
      <c r="J81" s="128"/>
      <c r="K81" s="54"/>
      <c r="L81" s="64"/>
      <c r="M81" s="69"/>
      <c r="O81" s="21"/>
      <c r="P81" s="128"/>
      <c r="Q81" s="54"/>
      <c r="R81" s="64"/>
      <c r="S81" s="69"/>
      <c r="T81">
        <f t="shared" si="2"/>
        <v>0</v>
      </c>
    </row>
    <row r="82" spans="1:20" x14ac:dyDescent="0.15">
      <c r="A82" s="2" t="s">
        <v>24</v>
      </c>
      <c r="B82">
        <v>4</v>
      </c>
      <c r="C82" s="21">
        <v>2</v>
      </c>
      <c r="D82" s="128">
        <v>1</v>
      </c>
      <c r="E82" s="54"/>
      <c r="F82" s="64"/>
      <c r="G82" s="69">
        <v>1</v>
      </c>
      <c r="I82" s="21">
        <v>3</v>
      </c>
      <c r="J82" s="128">
        <v>1</v>
      </c>
      <c r="K82" s="54">
        <v>1</v>
      </c>
      <c r="L82" s="64"/>
      <c r="M82" s="69"/>
      <c r="N82">
        <v>3</v>
      </c>
      <c r="O82" s="21"/>
      <c r="P82" s="128">
        <v>1</v>
      </c>
      <c r="Q82" s="54"/>
      <c r="R82" s="64"/>
      <c r="S82" s="69">
        <v>1</v>
      </c>
      <c r="T82">
        <f t="shared" si="2"/>
        <v>10</v>
      </c>
    </row>
    <row r="83" spans="1:20" x14ac:dyDescent="0.15">
      <c r="A83" s="2" t="s">
        <v>189</v>
      </c>
      <c r="C83" s="21"/>
      <c r="D83" s="128">
        <v>1</v>
      </c>
      <c r="E83" s="54">
        <v>2</v>
      </c>
      <c r="F83" s="64">
        <v>1</v>
      </c>
      <c r="G83" s="69">
        <v>1</v>
      </c>
      <c r="I83" s="21"/>
      <c r="J83" s="128"/>
      <c r="K83" s="54"/>
      <c r="L83" s="64">
        <v>1</v>
      </c>
      <c r="M83" s="69">
        <v>2</v>
      </c>
      <c r="O83" s="21"/>
      <c r="P83" s="128"/>
      <c r="Q83" s="54"/>
      <c r="R83" s="64">
        <v>1</v>
      </c>
      <c r="S83" s="69">
        <v>1</v>
      </c>
      <c r="T83">
        <f t="shared" si="2"/>
        <v>8</v>
      </c>
    </row>
    <row r="84" spans="1:20" x14ac:dyDescent="0.15">
      <c r="A84" s="5" t="s">
        <v>202</v>
      </c>
      <c r="C84" s="21"/>
      <c r="D84" s="128"/>
      <c r="E84" s="54"/>
      <c r="F84" s="64"/>
      <c r="G84" s="69"/>
      <c r="H84" s="124"/>
      <c r="I84" s="21"/>
      <c r="J84" s="128"/>
      <c r="K84" s="54"/>
      <c r="L84" s="64"/>
      <c r="M84" s="69"/>
      <c r="O84" s="21"/>
      <c r="P84" s="128"/>
      <c r="Q84" s="54"/>
      <c r="R84" s="64"/>
      <c r="S84" s="69"/>
      <c r="T84">
        <f t="shared" si="2"/>
        <v>0</v>
      </c>
    </row>
    <row r="85" spans="1:20" ht="175.5" x14ac:dyDescent="0.15">
      <c r="A85" t="s">
        <v>8</v>
      </c>
      <c r="C85" s="140" t="s">
        <v>176</v>
      </c>
    </row>
    <row r="87" spans="1:20" x14ac:dyDescent="0.15">
      <c r="A87">
        <f>COUNTA(A6:A83)</f>
        <v>78</v>
      </c>
      <c r="C87" t="s">
        <v>182</v>
      </c>
    </row>
    <row r="88" spans="1:20" x14ac:dyDescent="0.15">
      <c r="C88" t="s">
        <v>183</v>
      </c>
    </row>
    <row r="89" spans="1:20" x14ac:dyDescent="0.15">
      <c r="C89" t="s">
        <v>184</v>
      </c>
    </row>
    <row r="96" spans="1:20" x14ac:dyDescent="0.15">
      <c r="A96" s="3" t="s">
        <v>56</v>
      </c>
      <c r="C96" s="21"/>
      <c r="D96" s="128"/>
      <c r="E96" s="54"/>
      <c r="F96" s="64"/>
      <c r="G96" s="69"/>
      <c r="I96" s="21"/>
      <c r="J96" s="128"/>
      <c r="K96" s="54"/>
      <c r="L96" s="64"/>
      <c r="M96" s="69"/>
      <c r="O96" s="21"/>
      <c r="P96" s="128"/>
      <c r="Q96" s="54"/>
      <c r="R96" s="64"/>
      <c r="S96" s="69"/>
    </row>
    <row r="97" spans="1:19" x14ac:dyDescent="0.15">
      <c r="A97" s="5" t="s">
        <v>185</v>
      </c>
      <c r="C97" s="21"/>
      <c r="D97" s="128"/>
      <c r="E97" s="54"/>
      <c r="F97" s="64"/>
      <c r="G97" s="69"/>
      <c r="I97" s="21"/>
      <c r="J97" s="128"/>
      <c r="K97" s="54"/>
      <c r="L97" s="64"/>
      <c r="M97" s="69"/>
      <c r="O97" s="21"/>
      <c r="P97" s="128"/>
      <c r="Q97" s="54"/>
      <c r="R97" s="64"/>
      <c r="S97" s="69"/>
    </row>
    <row r="98" spans="1:19" x14ac:dyDescent="0.15">
      <c r="A98" s="7" t="s">
        <v>47</v>
      </c>
      <c r="C98" s="21"/>
      <c r="D98" s="128"/>
      <c r="E98" s="54"/>
      <c r="F98" s="64"/>
      <c r="G98" s="69"/>
      <c r="I98" s="21"/>
      <c r="J98" s="128"/>
      <c r="K98" s="54"/>
      <c r="L98" s="64"/>
      <c r="M98" s="69"/>
      <c r="O98" s="21"/>
      <c r="P98" s="128"/>
      <c r="Q98" s="54"/>
      <c r="R98" s="64"/>
      <c r="S98" s="69"/>
    </row>
    <row r="99" spans="1:19" x14ac:dyDescent="0.15">
      <c r="A99" s="39" t="s">
        <v>29</v>
      </c>
      <c r="C99" s="21"/>
      <c r="D99" s="128"/>
      <c r="E99" s="54"/>
      <c r="F99" s="64"/>
      <c r="G99" s="69"/>
      <c r="I99" s="21"/>
      <c r="J99" s="128"/>
      <c r="K99" s="54"/>
      <c r="L99" s="64"/>
      <c r="M99" s="69"/>
      <c r="O99" s="21"/>
      <c r="P99" s="128"/>
      <c r="Q99" s="54"/>
      <c r="R99" s="64"/>
      <c r="S99" s="69"/>
    </row>
    <row r="100" spans="1:19" x14ac:dyDescent="0.15">
      <c r="A100" s="5" t="s">
        <v>48</v>
      </c>
      <c r="C100" s="21"/>
      <c r="D100" s="128"/>
      <c r="E100" s="54"/>
      <c r="F100" s="64"/>
      <c r="G100" s="69"/>
      <c r="I100" s="21"/>
      <c r="J100" s="128"/>
      <c r="K100" s="54"/>
      <c r="L100" s="64"/>
      <c r="M100" s="69"/>
      <c r="O100" s="21"/>
      <c r="P100" s="128"/>
      <c r="Q100" s="54"/>
      <c r="R100" s="64"/>
      <c r="S100" s="69"/>
    </row>
    <row r="101" spans="1:19" x14ac:dyDescent="0.15">
      <c r="A101" s="5" t="s">
        <v>106</v>
      </c>
      <c r="C101" s="21">
        <v>1</v>
      </c>
      <c r="D101" s="128">
        <v>1</v>
      </c>
      <c r="E101" s="54">
        <v>1</v>
      </c>
      <c r="F101" s="64"/>
      <c r="G101" s="69"/>
      <c r="I101" s="21">
        <v>2</v>
      </c>
      <c r="J101" s="128"/>
      <c r="K101" s="54">
        <v>2</v>
      </c>
      <c r="L101" s="64"/>
      <c r="M101" s="69"/>
      <c r="O101" s="21">
        <v>1</v>
      </c>
      <c r="P101" s="128">
        <v>1</v>
      </c>
      <c r="Q101" s="54">
        <v>1</v>
      </c>
      <c r="R101" s="64"/>
      <c r="S101" s="69"/>
    </row>
    <row r="102" spans="1:19" x14ac:dyDescent="0.15">
      <c r="A102" s="7" t="s">
        <v>186</v>
      </c>
      <c r="C102" s="21"/>
      <c r="D102" s="128"/>
      <c r="E102" s="54"/>
      <c r="F102" s="64"/>
      <c r="G102" s="69"/>
      <c r="I102" s="21"/>
      <c r="J102" s="128"/>
      <c r="K102" s="54"/>
      <c r="L102" s="64"/>
      <c r="M102" s="69"/>
      <c r="O102" s="21"/>
      <c r="P102" s="128"/>
      <c r="Q102" s="54"/>
      <c r="R102" s="64"/>
      <c r="S102" s="69"/>
    </row>
    <row r="103" spans="1:19" x14ac:dyDescent="0.15">
      <c r="A103" s="36" t="s">
        <v>94</v>
      </c>
      <c r="C103" s="21"/>
      <c r="D103" s="128"/>
      <c r="E103" s="54"/>
      <c r="F103" s="64"/>
      <c r="G103" s="69"/>
      <c r="I103" s="21"/>
      <c r="J103" s="128"/>
      <c r="K103" s="54"/>
      <c r="L103" s="64"/>
      <c r="M103" s="69"/>
      <c r="O103" s="21"/>
      <c r="P103" s="128"/>
      <c r="Q103" s="54"/>
      <c r="R103" s="64"/>
      <c r="S103" s="69"/>
    </row>
    <row r="104" spans="1:19" x14ac:dyDescent="0.15">
      <c r="A104" s="40" t="s">
        <v>91</v>
      </c>
      <c r="C104" s="21"/>
      <c r="D104" s="128"/>
      <c r="E104" s="54"/>
      <c r="F104" s="64"/>
      <c r="G104" s="69"/>
      <c r="I104" s="21"/>
      <c r="J104" s="128">
        <v>1</v>
      </c>
      <c r="K104" s="54">
        <v>1</v>
      </c>
      <c r="L104" s="64"/>
      <c r="M104" s="69"/>
      <c r="O104" s="21"/>
      <c r="P104" s="128"/>
      <c r="Q104" s="54"/>
      <c r="R104" s="64"/>
      <c r="S104" s="69"/>
    </row>
    <row r="105" spans="1:19" x14ac:dyDescent="0.15">
      <c r="A105" s="39" t="s">
        <v>69</v>
      </c>
      <c r="C105" s="21"/>
      <c r="D105" s="128"/>
      <c r="E105" s="54"/>
      <c r="F105" s="64"/>
      <c r="G105" s="69"/>
      <c r="I105" s="21"/>
      <c r="J105" s="128"/>
      <c r="K105" s="54"/>
      <c r="L105" s="64"/>
      <c r="M105" s="69"/>
      <c r="O105" s="21"/>
      <c r="P105" s="128"/>
      <c r="Q105" s="54"/>
      <c r="R105" s="64"/>
      <c r="S105" s="69"/>
    </row>
    <row r="106" spans="1:19" x14ac:dyDescent="0.15">
      <c r="A106" s="39" t="s">
        <v>67</v>
      </c>
      <c r="C106" s="21"/>
      <c r="D106" s="128"/>
      <c r="E106" s="54"/>
      <c r="F106" s="64"/>
      <c r="G106" s="69"/>
      <c r="I106" s="21"/>
      <c r="J106" s="128"/>
      <c r="K106" s="54"/>
      <c r="L106" s="64"/>
      <c r="M106" s="69"/>
      <c r="O106" s="21"/>
      <c r="P106" s="128"/>
      <c r="Q106" s="54"/>
      <c r="R106" s="64"/>
      <c r="S106" s="69"/>
    </row>
    <row r="107" spans="1:19" x14ac:dyDescent="0.15">
      <c r="A107" s="41" t="s">
        <v>66</v>
      </c>
      <c r="C107" s="21"/>
      <c r="D107" s="128"/>
      <c r="E107" s="54"/>
      <c r="F107" s="64"/>
      <c r="G107" s="69"/>
      <c r="I107" s="21"/>
      <c r="J107" s="128"/>
      <c r="K107" s="54"/>
      <c r="L107" s="64"/>
      <c r="M107" s="69"/>
      <c r="O107" s="21"/>
      <c r="P107" s="128"/>
      <c r="Q107" s="54"/>
      <c r="R107" s="64"/>
      <c r="S107" s="69"/>
    </row>
    <row r="108" spans="1:19" x14ac:dyDescent="0.15">
      <c r="A108" s="58" t="s">
        <v>104</v>
      </c>
    </row>
  </sheetData>
  <mergeCells count="6">
    <mergeCell ref="B2:G2"/>
    <mergeCell ref="H2:M2"/>
    <mergeCell ref="N2:S2"/>
    <mergeCell ref="B3:G3"/>
    <mergeCell ref="H3:M3"/>
    <mergeCell ref="N3:S3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DB1C-4418-4857-8EE6-EAC02E0D1DE0}">
  <dimension ref="A1:AX108"/>
  <sheetViews>
    <sheetView zoomScale="80" zoomScaleNormal="80" workbookViewId="0">
      <selection activeCell="A21" sqref="A21"/>
    </sheetView>
  </sheetViews>
  <sheetFormatPr defaultRowHeight="13.5" x14ac:dyDescent="0.15"/>
  <cols>
    <col min="1" max="1" width="26.375" customWidth="1"/>
    <col min="2" max="7" width="3.75" customWidth="1"/>
    <col min="8" max="13" width="3.625" customWidth="1"/>
    <col min="14" max="19" width="3.375" customWidth="1"/>
    <col min="20" max="25" width="3.625" customWidth="1"/>
    <col min="26" max="27" width="3.375" customWidth="1"/>
    <col min="28" max="31" width="3.5" customWidth="1"/>
    <col min="32" max="46" width="3.375" customWidth="1"/>
    <col min="47" max="49" width="4.125" customWidth="1"/>
  </cols>
  <sheetData>
    <row r="1" spans="1:50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50" x14ac:dyDescent="0.15">
      <c r="A2" s="194" t="s">
        <v>0</v>
      </c>
      <c r="B2" s="246">
        <v>17</v>
      </c>
      <c r="C2" s="246"/>
      <c r="D2" s="246"/>
      <c r="E2" s="246"/>
      <c r="F2" s="246"/>
      <c r="G2" s="246"/>
      <c r="H2" s="246">
        <v>18</v>
      </c>
      <c r="I2" s="246"/>
      <c r="J2" s="246"/>
      <c r="K2" s="246"/>
      <c r="L2" s="246"/>
      <c r="M2" s="246"/>
      <c r="N2" s="246">
        <v>19</v>
      </c>
      <c r="O2" s="246"/>
      <c r="P2" s="246"/>
      <c r="Q2" s="246"/>
      <c r="R2" s="246"/>
      <c r="S2" s="246"/>
      <c r="T2" s="246">
        <v>20</v>
      </c>
      <c r="U2" s="246"/>
      <c r="V2" s="246"/>
      <c r="W2" s="246"/>
      <c r="X2" s="246"/>
      <c r="Y2" s="246"/>
      <c r="Z2" s="246">
        <v>21</v>
      </c>
      <c r="AA2" s="246"/>
      <c r="AB2" s="246"/>
      <c r="AC2" s="246"/>
      <c r="AD2" s="246"/>
      <c r="AE2" s="246"/>
      <c r="AF2" s="246">
        <v>22</v>
      </c>
      <c r="AG2" s="246"/>
      <c r="AH2" s="246"/>
      <c r="AI2" s="246"/>
      <c r="AJ2" s="246"/>
      <c r="AK2" s="246"/>
      <c r="AL2" s="246">
        <v>22</v>
      </c>
      <c r="AM2" s="246"/>
      <c r="AN2" s="246"/>
      <c r="AO2" s="246"/>
      <c r="AP2" s="246"/>
      <c r="AQ2" s="246"/>
      <c r="AR2" s="246">
        <v>23</v>
      </c>
      <c r="AS2" s="246"/>
      <c r="AT2" s="246"/>
      <c r="AU2" s="246"/>
      <c r="AV2" s="246"/>
      <c r="AW2" s="246"/>
    </row>
    <row r="3" spans="1:50" x14ac:dyDescent="0.15">
      <c r="A3" s="6" t="s">
        <v>1</v>
      </c>
      <c r="B3" s="243" t="s">
        <v>158</v>
      </c>
      <c r="C3" s="243"/>
      <c r="D3" s="243"/>
      <c r="E3" s="243"/>
      <c r="F3" s="243"/>
      <c r="G3" s="243"/>
      <c r="H3" s="243" t="s">
        <v>159</v>
      </c>
      <c r="I3" s="243"/>
      <c r="J3" s="243"/>
      <c r="K3" s="243"/>
      <c r="L3" s="243"/>
      <c r="M3" s="243"/>
      <c r="N3" s="243" t="s">
        <v>160</v>
      </c>
      <c r="O3" s="243"/>
      <c r="P3" s="243"/>
      <c r="Q3" s="243"/>
      <c r="R3" s="243"/>
      <c r="S3" s="243"/>
      <c r="T3" s="243" t="s">
        <v>137</v>
      </c>
      <c r="U3" s="243"/>
      <c r="V3" s="243"/>
      <c r="W3" s="243"/>
      <c r="X3" s="243"/>
      <c r="Y3" s="243"/>
      <c r="Z3" s="243" t="s">
        <v>138</v>
      </c>
      <c r="AA3" s="243"/>
      <c r="AB3" s="243"/>
      <c r="AC3" s="243"/>
      <c r="AD3" s="243"/>
      <c r="AE3" s="243"/>
      <c r="AF3" s="243" t="s">
        <v>206</v>
      </c>
      <c r="AG3" s="243"/>
      <c r="AH3" s="243"/>
      <c r="AI3" s="243"/>
      <c r="AJ3" s="243"/>
      <c r="AK3" s="243"/>
      <c r="AL3" s="243" t="s">
        <v>207</v>
      </c>
      <c r="AM3" s="243"/>
      <c r="AN3" s="243"/>
      <c r="AO3" s="243"/>
      <c r="AP3" s="243"/>
      <c r="AQ3" s="243"/>
      <c r="AR3" s="243" t="s">
        <v>139</v>
      </c>
      <c r="AS3" s="243"/>
      <c r="AT3" s="243"/>
      <c r="AU3" s="243"/>
      <c r="AV3" s="243"/>
      <c r="AW3" s="243"/>
    </row>
    <row r="4" spans="1:50" x14ac:dyDescent="0.15">
      <c r="A4" s="8"/>
      <c r="B4" s="94" t="s">
        <v>169</v>
      </c>
      <c r="C4" s="95" t="s">
        <v>170</v>
      </c>
      <c r="D4" s="96" t="s">
        <v>92</v>
      </c>
      <c r="E4" s="97" t="s">
        <v>121</v>
      </c>
      <c r="F4" s="98" t="s">
        <v>171</v>
      </c>
      <c r="G4" s="144" t="s">
        <v>204</v>
      </c>
      <c r="H4" s="94" t="s">
        <v>169</v>
      </c>
      <c r="I4" s="95" t="s">
        <v>170</v>
      </c>
      <c r="J4" s="96" t="s">
        <v>92</v>
      </c>
      <c r="K4" s="97" t="s">
        <v>121</v>
      </c>
      <c r="L4" s="98" t="s">
        <v>171</v>
      </c>
      <c r="M4" s="144" t="s">
        <v>204</v>
      </c>
      <c r="N4" s="94" t="s">
        <v>169</v>
      </c>
      <c r="O4" s="95" t="s">
        <v>170</v>
      </c>
      <c r="P4" s="96" t="s">
        <v>92</v>
      </c>
      <c r="Q4" s="97" t="s">
        <v>121</v>
      </c>
      <c r="R4" s="98" t="s">
        <v>171</v>
      </c>
      <c r="S4" s="144" t="s">
        <v>204</v>
      </c>
      <c r="T4" s="94" t="s">
        <v>169</v>
      </c>
      <c r="U4" s="95" t="s">
        <v>170</v>
      </c>
      <c r="V4" s="96" t="s">
        <v>92</v>
      </c>
      <c r="W4" s="97" t="s">
        <v>121</v>
      </c>
      <c r="X4" s="98" t="s">
        <v>171</v>
      </c>
      <c r="Y4" s="144" t="s">
        <v>204</v>
      </c>
      <c r="Z4" s="94" t="s">
        <v>169</v>
      </c>
      <c r="AA4" s="95" t="s">
        <v>170</v>
      </c>
      <c r="AB4" s="96" t="s">
        <v>92</v>
      </c>
      <c r="AC4" s="97" t="s">
        <v>121</v>
      </c>
      <c r="AD4" s="98" t="s">
        <v>171</v>
      </c>
      <c r="AE4" s="144" t="s">
        <v>204</v>
      </c>
      <c r="AF4" s="94" t="s">
        <v>169</v>
      </c>
      <c r="AG4" s="95" t="s">
        <v>170</v>
      </c>
      <c r="AH4" s="96" t="s">
        <v>92</v>
      </c>
      <c r="AI4" s="97" t="s">
        <v>121</v>
      </c>
      <c r="AJ4" s="98" t="s">
        <v>171</v>
      </c>
      <c r="AK4" s="144" t="s">
        <v>204</v>
      </c>
      <c r="AL4" s="94" t="s">
        <v>169</v>
      </c>
      <c r="AM4" s="95" t="s">
        <v>170</v>
      </c>
      <c r="AN4" s="96" t="s">
        <v>92</v>
      </c>
      <c r="AO4" s="97" t="s">
        <v>121</v>
      </c>
      <c r="AP4" s="98" t="s">
        <v>171</v>
      </c>
      <c r="AQ4" s="144" t="s">
        <v>204</v>
      </c>
      <c r="AR4" s="94" t="s">
        <v>169</v>
      </c>
      <c r="AS4" s="95" t="s">
        <v>170</v>
      </c>
      <c r="AT4" s="96" t="s">
        <v>92</v>
      </c>
      <c r="AU4" s="97" t="s">
        <v>121</v>
      </c>
      <c r="AV4" s="98" t="s">
        <v>171</v>
      </c>
      <c r="AW4" s="144" t="s">
        <v>204</v>
      </c>
    </row>
    <row r="5" spans="1:50" ht="14.25" x14ac:dyDescent="0.15">
      <c r="A5" s="26" t="s">
        <v>59</v>
      </c>
      <c r="B5" s="103">
        <f t="shared" ref="B5:AW5" si="0">COUNT(B6:B83)</f>
        <v>8</v>
      </c>
      <c r="C5" s="104">
        <f t="shared" si="0"/>
        <v>8</v>
      </c>
      <c r="D5" s="105">
        <f t="shared" si="0"/>
        <v>10</v>
      </c>
      <c r="E5" s="106">
        <f t="shared" si="0"/>
        <v>14</v>
      </c>
      <c r="F5" s="62">
        <f t="shared" si="0"/>
        <v>13</v>
      </c>
      <c r="G5" s="68">
        <f t="shared" si="0"/>
        <v>13</v>
      </c>
      <c r="H5" s="103">
        <f t="shared" si="0"/>
        <v>6</v>
      </c>
      <c r="I5" s="104">
        <f t="shared" si="0"/>
        <v>6</v>
      </c>
      <c r="J5" s="105">
        <f t="shared" si="0"/>
        <v>10</v>
      </c>
      <c r="K5" s="106">
        <f t="shared" si="0"/>
        <v>10</v>
      </c>
      <c r="L5" s="62">
        <f t="shared" si="0"/>
        <v>11</v>
      </c>
      <c r="M5" s="68">
        <f t="shared" si="0"/>
        <v>12</v>
      </c>
      <c r="N5" s="103">
        <f t="shared" si="0"/>
        <v>4</v>
      </c>
      <c r="O5" s="104">
        <f t="shared" si="0"/>
        <v>4</v>
      </c>
      <c r="P5" s="105">
        <f t="shared" si="0"/>
        <v>6</v>
      </c>
      <c r="Q5" s="106">
        <f t="shared" si="0"/>
        <v>6</v>
      </c>
      <c r="R5" s="62">
        <f t="shared" si="0"/>
        <v>8</v>
      </c>
      <c r="S5" s="68">
        <f t="shared" si="0"/>
        <v>8</v>
      </c>
      <c r="T5" s="103">
        <f t="shared" si="0"/>
        <v>9</v>
      </c>
      <c r="U5" s="104">
        <f t="shared" si="0"/>
        <v>7</v>
      </c>
      <c r="V5" s="105">
        <f t="shared" si="0"/>
        <v>11</v>
      </c>
      <c r="W5" s="106">
        <f t="shared" si="0"/>
        <v>12</v>
      </c>
      <c r="X5" s="62">
        <f t="shared" si="0"/>
        <v>11</v>
      </c>
      <c r="Y5" s="68">
        <f t="shared" si="0"/>
        <v>14</v>
      </c>
      <c r="Z5" s="103">
        <f t="shared" si="0"/>
        <v>4</v>
      </c>
      <c r="AA5" s="104">
        <f t="shared" si="0"/>
        <v>8</v>
      </c>
      <c r="AB5" s="105">
        <f t="shared" si="0"/>
        <v>10</v>
      </c>
      <c r="AC5" s="106">
        <f t="shared" si="0"/>
        <v>11</v>
      </c>
      <c r="AD5" s="62">
        <f t="shared" si="0"/>
        <v>15</v>
      </c>
      <c r="AE5" s="68">
        <f t="shared" si="0"/>
        <v>13</v>
      </c>
      <c r="AF5" s="103">
        <f t="shared" si="0"/>
        <v>4</v>
      </c>
      <c r="AG5" s="104">
        <f t="shared" si="0"/>
        <v>2</v>
      </c>
      <c r="AH5" s="105">
        <f t="shared" si="0"/>
        <v>1</v>
      </c>
      <c r="AI5" s="106">
        <f t="shared" si="0"/>
        <v>2</v>
      </c>
      <c r="AJ5" s="62">
        <f t="shared" si="0"/>
        <v>2</v>
      </c>
      <c r="AK5" s="68">
        <f t="shared" si="0"/>
        <v>1</v>
      </c>
      <c r="AL5" s="103">
        <f t="shared" si="0"/>
        <v>0</v>
      </c>
      <c r="AM5" s="104">
        <f t="shared" si="0"/>
        <v>4</v>
      </c>
      <c r="AN5" s="105">
        <f t="shared" si="0"/>
        <v>4</v>
      </c>
      <c r="AO5" s="106">
        <f t="shared" si="0"/>
        <v>3</v>
      </c>
      <c r="AP5" s="62">
        <f t="shared" si="0"/>
        <v>5</v>
      </c>
      <c r="AQ5" s="68">
        <f t="shared" si="0"/>
        <v>4</v>
      </c>
      <c r="AR5" s="103">
        <f t="shared" si="0"/>
        <v>8</v>
      </c>
      <c r="AS5" s="104">
        <f t="shared" si="0"/>
        <v>9</v>
      </c>
      <c r="AT5" s="105">
        <f t="shared" si="0"/>
        <v>8</v>
      </c>
      <c r="AU5" s="106">
        <f t="shared" si="0"/>
        <v>10</v>
      </c>
      <c r="AV5" s="62">
        <f t="shared" si="0"/>
        <v>10</v>
      </c>
      <c r="AW5" s="68">
        <f t="shared" si="0"/>
        <v>11</v>
      </c>
      <c r="AX5" t="s">
        <v>240</v>
      </c>
    </row>
    <row r="6" spans="1:50" x14ac:dyDescent="0.15">
      <c r="A6" s="27" t="s">
        <v>60</v>
      </c>
      <c r="B6" s="114"/>
      <c r="C6" s="115"/>
      <c r="D6" s="111"/>
      <c r="E6" s="112"/>
      <c r="F6" s="113"/>
      <c r="G6" s="145"/>
      <c r="H6" s="114"/>
      <c r="I6" s="115"/>
      <c r="J6" s="111"/>
      <c r="K6" s="112"/>
      <c r="L6" s="113"/>
      <c r="M6" s="145"/>
      <c r="N6" s="114"/>
      <c r="O6" s="115"/>
      <c r="P6" s="111"/>
      <c r="Q6" s="112"/>
      <c r="R6" s="113"/>
      <c r="S6" s="145"/>
      <c r="T6" s="114"/>
      <c r="U6" s="115"/>
      <c r="V6" s="111"/>
      <c r="W6" s="112"/>
      <c r="X6" s="113"/>
      <c r="Y6" s="145"/>
      <c r="Z6" s="114"/>
      <c r="AA6" s="115"/>
      <c r="AB6" s="111"/>
      <c r="AC6" s="112"/>
      <c r="AD6" s="113"/>
      <c r="AE6" s="145"/>
      <c r="AF6" s="114"/>
      <c r="AG6" s="115"/>
      <c r="AH6" s="111"/>
      <c r="AI6" s="112"/>
      <c r="AJ6" s="113"/>
      <c r="AK6" s="145"/>
      <c r="AL6" s="114"/>
      <c r="AM6" s="115"/>
      <c r="AN6" s="111"/>
      <c r="AO6" s="112"/>
      <c r="AP6" s="113"/>
      <c r="AQ6" s="145"/>
      <c r="AR6" s="114"/>
      <c r="AS6" s="115"/>
      <c r="AT6" s="111"/>
      <c r="AU6" s="112"/>
      <c r="AV6" s="113"/>
      <c r="AW6" s="145"/>
      <c r="AX6">
        <f>COUNTA(B6:AW6)</f>
        <v>0</v>
      </c>
    </row>
    <row r="7" spans="1:50" x14ac:dyDescent="0.15">
      <c r="A7" s="27" t="s">
        <v>105</v>
      </c>
      <c r="B7" s="114"/>
      <c r="C7" s="115"/>
      <c r="D7" s="111"/>
      <c r="E7" s="112"/>
      <c r="F7" s="113"/>
      <c r="G7" s="145"/>
      <c r="H7" s="114"/>
      <c r="I7" s="115"/>
      <c r="J7" s="111"/>
      <c r="K7" s="112"/>
      <c r="L7" s="113"/>
      <c r="M7" s="145"/>
      <c r="N7" s="114"/>
      <c r="O7" s="115"/>
      <c r="P7" s="111"/>
      <c r="Q7" s="112"/>
      <c r="R7" s="113"/>
      <c r="S7" s="145"/>
      <c r="T7" s="114"/>
      <c r="U7" s="115"/>
      <c r="V7" s="111"/>
      <c r="W7" s="112"/>
      <c r="X7" s="113"/>
      <c r="Y7" s="145"/>
      <c r="Z7" s="114"/>
      <c r="AA7" s="115"/>
      <c r="AB7" s="111"/>
      <c r="AC7" s="112"/>
      <c r="AD7" s="113"/>
      <c r="AE7" s="145"/>
      <c r="AF7" s="114"/>
      <c r="AG7" s="115"/>
      <c r="AH7" s="111"/>
      <c r="AI7" s="112"/>
      <c r="AJ7" s="113"/>
      <c r="AK7" s="145"/>
      <c r="AL7" s="114"/>
      <c r="AM7" s="115"/>
      <c r="AN7" s="111"/>
      <c r="AO7" s="112"/>
      <c r="AP7" s="113"/>
      <c r="AQ7" s="145"/>
      <c r="AR7" s="114"/>
      <c r="AS7" s="115"/>
      <c r="AT7" s="111"/>
      <c r="AU7" s="112"/>
      <c r="AV7" s="113"/>
      <c r="AW7" s="145"/>
      <c r="AX7">
        <f t="shared" ref="AX7:AX70" si="1">COUNTA(B7:AW7)</f>
        <v>0</v>
      </c>
    </row>
    <row r="8" spans="1:50" x14ac:dyDescent="0.15">
      <c r="A8" s="2" t="s">
        <v>43</v>
      </c>
      <c r="B8" s="114"/>
      <c r="C8" s="115"/>
      <c r="D8" s="111"/>
      <c r="E8" s="112"/>
      <c r="F8" s="132">
        <v>1</v>
      </c>
      <c r="G8" s="147"/>
      <c r="H8" s="114"/>
      <c r="I8" s="115"/>
      <c r="J8" s="111"/>
      <c r="K8" s="112"/>
      <c r="L8" s="132">
        <v>1</v>
      </c>
      <c r="M8" s="147">
        <v>2</v>
      </c>
      <c r="N8" s="114"/>
      <c r="O8" s="115"/>
      <c r="P8" s="111"/>
      <c r="Q8" s="112"/>
      <c r="R8" s="113"/>
      <c r="S8" s="145"/>
      <c r="T8" s="114"/>
      <c r="U8" s="115"/>
      <c r="V8" s="111"/>
      <c r="W8" s="112"/>
      <c r="X8" s="113"/>
      <c r="Y8" s="145"/>
      <c r="Z8" s="114"/>
      <c r="AA8" s="115"/>
      <c r="AB8" s="111"/>
      <c r="AC8" s="112"/>
      <c r="AD8" s="132">
        <v>1</v>
      </c>
      <c r="AE8" s="147"/>
      <c r="AF8" s="114"/>
      <c r="AG8" s="115"/>
      <c r="AH8" s="111"/>
      <c r="AI8" s="112"/>
      <c r="AJ8" s="113"/>
      <c r="AK8" s="145"/>
      <c r="AL8" s="114"/>
      <c r="AM8" s="115"/>
      <c r="AN8" s="111"/>
      <c r="AO8" s="112"/>
      <c r="AP8" s="113"/>
      <c r="AQ8" s="145"/>
      <c r="AR8" s="114"/>
      <c r="AS8" s="115"/>
      <c r="AT8" s="111"/>
      <c r="AU8" s="112"/>
      <c r="AV8" s="113">
        <v>1</v>
      </c>
      <c r="AW8" s="145"/>
      <c r="AX8">
        <f t="shared" si="1"/>
        <v>5</v>
      </c>
    </row>
    <row r="9" spans="1:50" x14ac:dyDescent="0.15">
      <c r="A9" s="27" t="s">
        <v>53</v>
      </c>
      <c r="B9" s="114"/>
      <c r="C9" s="115"/>
      <c r="D9" s="111"/>
      <c r="E9" s="112"/>
      <c r="F9" s="113"/>
      <c r="G9" s="145"/>
      <c r="H9" s="114"/>
      <c r="I9" s="115"/>
      <c r="J9" s="111"/>
      <c r="K9" s="112"/>
      <c r="L9" s="113"/>
      <c r="M9" s="145"/>
      <c r="N9" s="114"/>
      <c r="O9" s="115"/>
      <c r="P9" s="111"/>
      <c r="Q9" s="112"/>
      <c r="R9" s="113"/>
      <c r="S9" s="145"/>
      <c r="T9" s="114"/>
      <c r="U9" s="115"/>
      <c r="V9" s="111"/>
      <c r="W9" s="112"/>
      <c r="X9" s="113"/>
      <c r="Y9" s="145"/>
      <c r="Z9" s="114"/>
      <c r="AA9" s="115"/>
      <c r="AB9" s="111"/>
      <c r="AC9" s="117">
        <v>1</v>
      </c>
      <c r="AD9" s="118">
        <v>1</v>
      </c>
      <c r="AE9" s="146"/>
      <c r="AF9" s="114"/>
      <c r="AG9" s="115"/>
      <c r="AH9" s="111"/>
      <c r="AI9" s="112"/>
      <c r="AJ9" s="113"/>
      <c r="AK9" s="145"/>
      <c r="AL9" s="114"/>
      <c r="AM9" s="115"/>
      <c r="AN9" s="111"/>
      <c r="AO9" s="112"/>
      <c r="AP9" s="113"/>
      <c r="AQ9" s="145"/>
      <c r="AR9" s="114"/>
      <c r="AS9" s="115"/>
      <c r="AT9" s="111"/>
      <c r="AU9" s="112"/>
      <c r="AV9" s="113"/>
      <c r="AW9" s="145"/>
      <c r="AX9">
        <f t="shared" si="1"/>
        <v>2</v>
      </c>
    </row>
    <row r="10" spans="1:50" x14ac:dyDescent="0.15">
      <c r="A10" s="2" t="s">
        <v>12</v>
      </c>
      <c r="B10">
        <v>4</v>
      </c>
      <c r="C10" s="21">
        <v>4</v>
      </c>
      <c r="D10" s="128">
        <v>1</v>
      </c>
      <c r="E10" s="54">
        <v>4</v>
      </c>
      <c r="F10" s="64">
        <v>3</v>
      </c>
      <c r="G10" s="69">
        <v>4</v>
      </c>
      <c r="H10">
        <v>3</v>
      </c>
      <c r="I10" s="21">
        <v>3</v>
      </c>
      <c r="J10" s="128">
        <v>2</v>
      </c>
      <c r="K10" s="54">
        <v>2</v>
      </c>
      <c r="L10" s="64">
        <v>1</v>
      </c>
      <c r="M10" s="69">
        <v>1</v>
      </c>
      <c r="N10">
        <v>3</v>
      </c>
      <c r="O10" s="21">
        <v>3</v>
      </c>
      <c r="P10" s="128">
        <v>3</v>
      </c>
      <c r="Q10" s="54">
        <v>3</v>
      </c>
      <c r="R10" s="64">
        <v>3</v>
      </c>
      <c r="S10" s="69">
        <v>3</v>
      </c>
      <c r="U10" s="21"/>
      <c r="V10" s="128">
        <v>1</v>
      </c>
      <c r="W10" s="54">
        <v>1</v>
      </c>
      <c r="X10" s="64">
        <v>1</v>
      </c>
      <c r="Y10" s="69">
        <v>1</v>
      </c>
      <c r="Z10">
        <v>3</v>
      </c>
      <c r="AA10" s="21">
        <v>2</v>
      </c>
      <c r="AB10" s="128">
        <v>2</v>
      </c>
      <c r="AC10" s="54">
        <v>2</v>
      </c>
      <c r="AD10" s="64">
        <v>2</v>
      </c>
      <c r="AE10" s="69">
        <v>2</v>
      </c>
      <c r="AF10">
        <v>3</v>
      </c>
      <c r="AG10" s="21">
        <v>1</v>
      </c>
      <c r="AH10" s="128"/>
      <c r="AI10" s="54"/>
      <c r="AJ10" s="64"/>
      <c r="AK10" s="69"/>
      <c r="AM10" s="21"/>
      <c r="AN10" s="128"/>
      <c r="AO10" s="54"/>
      <c r="AP10" s="64">
        <v>1</v>
      </c>
      <c r="AQ10" s="69">
        <v>1</v>
      </c>
      <c r="AR10">
        <v>1</v>
      </c>
      <c r="AS10" s="21">
        <v>1</v>
      </c>
      <c r="AT10" s="128">
        <v>1</v>
      </c>
      <c r="AU10" s="54">
        <v>1</v>
      </c>
      <c r="AV10" s="64">
        <v>1</v>
      </c>
      <c r="AW10" s="69">
        <v>1</v>
      </c>
      <c r="AX10">
        <f t="shared" si="1"/>
        <v>38</v>
      </c>
    </row>
    <row r="11" spans="1:50" x14ac:dyDescent="0.15">
      <c r="A11" s="2" t="s">
        <v>93</v>
      </c>
      <c r="C11" s="21"/>
      <c r="D11" s="128"/>
      <c r="E11" s="54"/>
      <c r="F11" s="64"/>
      <c r="G11" s="69"/>
      <c r="I11" s="21"/>
      <c r="J11" s="128"/>
      <c r="K11" s="54"/>
      <c r="L11" s="64"/>
      <c r="M11" s="69"/>
      <c r="O11" s="21"/>
      <c r="P11" s="128"/>
      <c r="Q11" s="54">
        <v>1</v>
      </c>
      <c r="R11" s="64">
        <v>1</v>
      </c>
      <c r="S11" s="69">
        <v>1</v>
      </c>
      <c r="U11" s="21"/>
      <c r="V11" s="128"/>
      <c r="W11" s="54"/>
      <c r="X11" s="64"/>
      <c r="Y11" s="69"/>
      <c r="AA11" s="21"/>
      <c r="AB11" s="128"/>
      <c r="AC11" s="54"/>
      <c r="AD11" s="64"/>
      <c r="AE11" s="69">
        <v>1</v>
      </c>
      <c r="AG11" s="21"/>
      <c r="AH11" s="128"/>
      <c r="AI11" s="54"/>
      <c r="AJ11" s="64"/>
      <c r="AK11" s="69"/>
      <c r="AM11" s="21"/>
      <c r="AN11" s="128"/>
      <c r="AO11" s="54"/>
      <c r="AP11" s="64"/>
      <c r="AQ11" s="69"/>
      <c r="AS11" s="21"/>
      <c r="AT11" s="128"/>
      <c r="AU11" s="54"/>
      <c r="AV11" s="64"/>
      <c r="AW11" s="69"/>
      <c r="AX11">
        <f t="shared" si="1"/>
        <v>4</v>
      </c>
    </row>
    <row r="12" spans="1:50" x14ac:dyDescent="0.15">
      <c r="A12" s="2" t="s">
        <v>33</v>
      </c>
      <c r="C12" s="21"/>
      <c r="D12" s="128"/>
      <c r="E12" s="54"/>
      <c r="F12" s="64"/>
      <c r="G12" s="69"/>
      <c r="I12" s="21"/>
      <c r="J12" s="128"/>
      <c r="K12" s="54"/>
      <c r="L12" s="64"/>
      <c r="M12" s="69"/>
      <c r="O12" s="21"/>
      <c r="P12" s="128"/>
      <c r="Q12" s="54"/>
      <c r="R12" s="64"/>
      <c r="S12" s="69"/>
      <c r="U12" s="21"/>
      <c r="V12" s="128"/>
      <c r="W12" s="54"/>
      <c r="X12" s="64"/>
      <c r="Y12" s="69"/>
      <c r="AA12" s="21"/>
      <c r="AB12" s="128"/>
      <c r="AC12" s="54"/>
      <c r="AD12" s="64"/>
      <c r="AE12" s="69"/>
      <c r="AG12" s="21"/>
      <c r="AH12" s="128"/>
      <c r="AI12" s="54"/>
      <c r="AJ12" s="64"/>
      <c r="AK12" s="69"/>
      <c r="AM12" s="21"/>
      <c r="AN12" s="128"/>
      <c r="AO12" s="54"/>
      <c r="AP12" s="64"/>
      <c r="AQ12" s="69"/>
      <c r="AS12" s="21"/>
      <c r="AT12" s="128"/>
      <c r="AU12" s="54"/>
      <c r="AV12" s="64"/>
      <c r="AW12" s="69"/>
      <c r="AX12">
        <f t="shared" si="1"/>
        <v>0</v>
      </c>
    </row>
    <row r="13" spans="1:50" x14ac:dyDescent="0.15">
      <c r="A13" s="2" t="s">
        <v>13</v>
      </c>
      <c r="C13" s="21"/>
      <c r="D13" s="128"/>
      <c r="E13" s="54"/>
      <c r="F13" s="64"/>
      <c r="G13" s="69"/>
      <c r="I13" s="21"/>
      <c r="J13" s="128"/>
      <c r="K13" s="54"/>
      <c r="L13" s="64"/>
      <c r="M13" s="69"/>
      <c r="O13" s="21"/>
      <c r="P13" s="128"/>
      <c r="Q13" s="54"/>
      <c r="R13" s="64">
        <v>1</v>
      </c>
      <c r="S13" s="69"/>
      <c r="U13" s="21"/>
      <c r="V13" s="128"/>
      <c r="W13" s="54"/>
      <c r="X13" s="64"/>
      <c r="Y13" s="69"/>
      <c r="AA13" s="21"/>
      <c r="AB13" s="128"/>
      <c r="AC13" s="54"/>
      <c r="AD13" s="64"/>
      <c r="AE13" s="69"/>
      <c r="AG13" s="21"/>
      <c r="AH13" s="128"/>
      <c r="AI13" s="54"/>
      <c r="AJ13" s="64"/>
      <c r="AK13" s="69"/>
      <c r="AM13" s="21"/>
      <c r="AN13" s="128"/>
      <c r="AO13" s="54"/>
      <c r="AP13" s="64"/>
      <c r="AQ13" s="69"/>
      <c r="AS13" s="21"/>
      <c r="AT13" s="128"/>
      <c r="AU13" s="54"/>
      <c r="AV13" s="64"/>
      <c r="AW13" s="69"/>
      <c r="AX13">
        <f t="shared" si="1"/>
        <v>1</v>
      </c>
    </row>
    <row r="14" spans="1:50" x14ac:dyDescent="0.15">
      <c r="A14" s="2" t="s">
        <v>190</v>
      </c>
      <c r="C14" s="21"/>
      <c r="D14" s="128"/>
      <c r="E14" s="54"/>
      <c r="F14" s="64"/>
      <c r="G14" s="69"/>
      <c r="I14" s="21"/>
      <c r="J14" s="128"/>
      <c r="K14" s="54"/>
      <c r="L14" s="64"/>
      <c r="M14" s="69"/>
      <c r="O14" s="21"/>
      <c r="P14" s="128"/>
      <c r="Q14" s="54"/>
      <c r="R14" s="64"/>
      <c r="S14" s="69"/>
      <c r="U14" s="21"/>
      <c r="V14" s="128"/>
      <c r="W14" s="54"/>
      <c r="X14" s="64"/>
      <c r="Y14" s="69"/>
      <c r="AA14" s="21"/>
      <c r="AB14" s="128"/>
      <c r="AC14" s="54"/>
      <c r="AD14" s="64"/>
      <c r="AE14" s="69"/>
      <c r="AG14" s="21"/>
      <c r="AH14" s="128"/>
      <c r="AI14" s="54"/>
      <c r="AJ14" s="64"/>
      <c r="AK14" s="69"/>
      <c r="AM14" s="21"/>
      <c r="AN14" s="128"/>
      <c r="AO14" s="54"/>
      <c r="AP14" s="64"/>
      <c r="AQ14" s="69"/>
      <c r="AS14" s="21"/>
      <c r="AT14" s="128"/>
      <c r="AU14" s="54"/>
      <c r="AV14" s="64"/>
      <c r="AW14" s="69"/>
      <c r="AX14">
        <f t="shared" si="1"/>
        <v>0</v>
      </c>
    </row>
    <row r="15" spans="1:50" x14ac:dyDescent="0.15">
      <c r="A15" s="2" t="s">
        <v>14</v>
      </c>
      <c r="C15" s="21"/>
      <c r="D15" s="128"/>
      <c r="E15" s="54">
        <v>1</v>
      </c>
      <c r="F15" s="64">
        <v>1</v>
      </c>
      <c r="G15" s="69"/>
      <c r="H15">
        <v>3</v>
      </c>
      <c r="I15" s="21"/>
      <c r="J15" s="128"/>
      <c r="K15" s="54"/>
      <c r="L15" s="64"/>
      <c r="M15" s="69"/>
      <c r="O15" s="21"/>
      <c r="P15" s="128"/>
      <c r="Q15" s="54"/>
      <c r="R15" s="64"/>
      <c r="S15" s="69"/>
      <c r="T15">
        <v>2</v>
      </c>
      <c r="U15" s="21"/>
      <c r="V15" s="128">
        <v>1</v>
      </c>
      <c r="W15" s="54">
        <v>1</v>
      </c>
      <c r="X15" s="64">
        <v>2</v>
      </c>
      <c r="Y15" s="69">
        <v>1</v>
      </c>
      <c r="AA15" s="21"/>
      <c r="AB15" s="128"/>
      <c r="AC15" s="54"/>
      <c r="AD15" s="64">
        <v>1</v>
      </c>
      <c r="AE15" s="69"/>
      <c r="AG15" s="21"/>
      <c r="AH15" s="128"/>
      <c r="AI15" s="54"/>
      <c r="AJ15" s="64"/>
      <c r="AK15" s="69"/>
      <c r="AM15" s="21"/>
      <c r="AN15" s="128"/>
      <c r="AO15" s="54"/>
      <c r="AP15" s="64"/>
      <c r="AQ15" s="69"/>
      <c r="AS15" s="21"/>
      <c r="AT15" s="128"/>
      <c r="AU15" s="54"/>
      <c r="AV15" s="64"/>
      <c r="AW15" s="69"/>
      <c r="AX15">
        <f t="shared" si="1"/>
        <v>9</v>
      </c>
    </row>
    <row r="16" spans="1:50" x14ac:dyDescent="0.15">
      <c r="A16" s="2" t="s">
        <v>26</v>
      </c>
      <c r="C16" s="21"/>
      <c r="D16" s="128"/>
      <c r="E16" s="54"/>
      <c r="F16" s="64"/>
      <c r="G16" s="69"/>
      <c r="I16" s="21"/>
      <c r="J16" s="128"/>
      <c r="K16" s="54"/>
      <c r="L16" s="64"/>
      <c r="M16" s="69"/>
      <c r="O16" s="21"/>
      <c r="P16" s="128"/>
      <c r="Q16" s="54"/>
      <c r="R16" s="64"/>
      <c r="S16" s="69"/>
      <c r="U16" s="21"/>
      <c r="V16" s="128"/>
      <c r="W16" s="54"/>
      <c r="X16" s="64"/>
      <c r="Y16" s="69"/>
      <c r="AA16" s="21"/>
      <c r="AB16" s="128"/>
      <c r="AC16" s="54"/>
      <c r="AD16" s="64"/>
      <c r="AE16" s="69"/>
      <c r="AG16" s="21"/>
      <c r="AH16" s="128"/>
      <c r="AI16" s="54"/>
      <c r="AJ16" s="64"/>
      <c r="AK16" s="69"/>
      <c r="AM16" s="21"/>
      <c r="AN16" s="128"/>
      <c r="AO16" s="54"/>
      <c r="AP16" s="64"/>
      <c r="AQ16" s="69"/>
      <c r="AS16" s="21"/>
      <c r="AT16" s="128"/>
      <c r="AU16" s="54"/>
      <c r="AV16" s="64"/>
      <c r="AW16" s="69"/>
      <c r="AX16">
        <f t="shared" si="1"/>
        <v>0</v>
      </c>
    </row>
    <row r="17" spans="1:50" x14ac:dyDescent="0.15">
      <c r="A17" s="2" t="s">
        <v>51</v>
      </c>
      <c r="C17" s="21"/>
      <c r="D17" s="128"/>
      <c r="E17" s="54"/>
      <c r="F17" s="64"/>
      <c r="G17" s="69"/>
      <c r="I17" s="21"/>
      <c r="J17" s="128"/>
      <c r="K17" s="54"/>
      <c r="L17" s="64"/>
      <c r="M17" s="69"/>
      <c r="O17" s="21"/>
      <c r="P17" s="128">
        <v>1</v>
      </c>
      <c r="Q17" s="54">
        <v>1</v>
      </c>
      <c r="R17" s="64">
        <v>1</v>
      </c>
      <c r="S17" s="69">
        <v>1</v>
      </c>
      <c r="U17" s="21"/>
      <c r="V17" s="128"/>
      <c r="W17" s="54"/>
      <c r="X17" s="64"/>
      <c r="Y17" s="69"/>
      <c r="AA17" s="21">
        <v>2</v>
      </c>
      <c r="AB17" s="128">
        <v>1</v>
      </c>
      <c r="AC17" s="54">
        <v>1</v>
      </c>
      <c r="AD17" s="64">
        <v>1</v>
      </c>
      <c r="AE17" s="69">
        <v>1</v>
      </c>
      <c r="AG17" s="21"/>
      <c r="AH17" s="128"/>
      <c r="AI17" s="54"/>
      <c r="AJ17" s="64"/>
      <c r="AK17" s="69"/>
      <c r="AM17" s="21"/>
      <c r="AN17" s="128"/>
      <c r="AO17" s="54"/>
      <c r="AP17" s="64"/>
      <c r="AQ17" s="69"/>
      <c r="AS17" s="21"/>
      <c r="AT17" s="128"/>
      <c r="AU17" s="54">
        <v>1</v>
      </c>
      <c r="AV17" s="64"/>
      <c r="AW17" s="69"/>
      <c r="AX17">
        <f t="shared" si="1"/>
        <v>10</v>
      </c>
    </row>
    <row r="18" spans="1:50" x14ac:dyDescent="0.15">
      <c r="A18" s="2" t="s">
        <v>44</v>
      </c>
      <c r="C18" s="21"/>
      <c r="D18" s="128"/>
      <c r="E18" s="54">
        <v>1</v>
      </c>
      <c r="F18" s="64"/>
      <c r="G18" s="69">
        <v>1</v>
      </c>
      <c r="I18" s="21"/>
      <c r="J18" s="128"/>
      <c r="K18" s="54">
        <v>1</v>
      </c>
      <c r="L18" s="64">
        <v>1</v>
      </c>
      <c r="M18" s="69"/>
      <c r="O18" s="21"/>
      <c r="P18" s="128"/>
      <c r="Q18" s="54">
        <v>1</v>
      </c>
      <c r="R18" s="64">
        <v>1</v>
      </c>
      <c r="S18" s="69"/>
      <c r="U18" s="21">
        <v>2</v>
      </c>
      <c r="V18" s="128">
        <v>2</v>
      </c>
      <c r="W18" s="54">
        <v>2</v>
      </c>
      <c r="X18" s="64">
        <v>3</v>
      </c>
      <c r="Y18" s="69">
        <v>3</v>
      </c>
      <c r="AA18" s="21"/>
      <c r="AB18" s="128"/>
      <c r="AC18" s="54"/>
      <c r="AD18" s="64"/>
      <c r="AE18" s="69">
        <v>1</v>
      </c>
      <c r="AG18" s="21"/>
      <c r="AH18" s="128"/>
      <c r="AI18" s="54"/>
      <c r="AJ18" s="64"/>
      <c r="AK18" s="69"/>
      <c r="AM18" s="21"/>
      <c r="AN18" s="128"/>
      <c r="AO18" s="54"/>
      <c r="AP18" s="64"/>
      <c r="AQ18" s="69"/>
      <c r="AS18" s="21"/>
      <c r="AT18" s="128"/>
      <c r="AU18" s="54"/>
      <c r="AV18" s="64"/>
      <c r="AW18" s="69">
        <v>1</v>
      </c>
      <c r="AX18">
        <f t="shared" si="1"/>
        <v>13</v>
      </c>
    </row>
    <row r="19" spans="1:50" x14ac:dyDescent="0.15">
      <c r="A19" s="2" t="s">
        <v>4</v>
      </c>
      <c r="B19">
        <v>1</v>
      </c>
      <c r="C19" s="21"/>
      <c r="D19" s="128"/>
      <c r="E19" s="54">
        <v>1</v>
      </c>
      <c r="F19" s="64">
        <v>1</v>
      </c>
      <c r="G19" s="69">
        <v>1</v>
      </c>
      <c r="I19" s="21"/>
      <c r="J19" s="128">
        <v>1</v>
      </c>
      <c r="K19" s="54">
        <v>1</v>
      </c>
      <c r="L19" s="64">
        <v>1</v>
      </c>
      <c r="M19" s="69">
        <v>1</v>
      </c>
      <c r="O19" s="21">
        <v>1</v>
      </c>
      <c r="P19" s="128">
        <v>1</v>
      </c>
      <c r="Q19" s="54"/>
      <c r="R19" s="64">
        <v>1</v>
      </c>
      <c r="S19" s="69"/>
      <c r="T19">
        <v>2</v>
      </c>
      <c r="U19" s="21">
        <v>1</v>
      </c>
      <c r="V19" s="128">
        <v>2</v>
      </c>
      <c r="W19" s="54">
        <v>1</v>
      </c>
      <c r="X19" s="64">
        <v>2</v>
      </c>
      <c r="Y19" s="69">
        <v>2</v>
      </c>
      <c r="AA19" s="21"/>
      <c r="AB19" s="128">
        <v>1</v>
      </c>
      <c r="AC19" s="54">
        <v>1</v>
      </c>
      <c r="AD19" s="64">
        <v>1</v>
      </c>
      <c r="AE19" s="69">
        <v>1</v>
      </c>
      <c r="AG19" s="21"/>
      <c r="AH19" s="128"/>
      <c r="AI19" s="54"/>
      <c r="AJ19" s="64"/>
      <c r="AK19" s="69"/>
      <c r="AM19" s="21"/>
      <c r="AN19" s="128"/>
      <c r="AO19" s="54"/>
      <c r="AP19" s="64"/>
      <c r="AQ19" s="69"/>
      <c r="AS19" s="21"/>
      <c r="AT19" s="128"/>
      <c r="AU19" s="54"/>
      <c r="AV19" s="64"/>
      <c r="AW19" s="69"/>
      <c r="AX19">
        <f t="shared" si="1"/>
        <v>21</v>
      </c>
    </row>
    <row r="20" spans="1:50" x14ac:dyDescent="0.15">
      <c r="A20" s="2" t="s">
        <v>232</v>
      </c>
      <c r="C20" s="21"/>
      <c r="D20" s="128"/>
      <c r="E20" s="54"/>
      <c r="F20" s="64"/>
      <c r="G20" s="69"/>
      <c r="I20" s="21"/>
      <c r="J20" s="128"/>
      <c r="K20" s="54"/>
      <c r="L20" s="64"/>
      <c r="M20" s="69"/>
      <c r="O20" s="21"/>
      <c r="P20" s="128"/>
      <c r="Q20" s="54"/>
      <c r="R20" s="64"/>
      <c r="S20" s="69"/>
      <c r="U20" s="21"/>
      <c r="V20" s="128"/>
      <c r="W20" s="54"/>
      <c r="X20" s="64"/>
      <c r="Y20" s="69"/>
      <c r="AA20" s="21"/>
      <c r="AB20" s="128"/>
      <c r="AC20" s="54"/>
      <c r="AD20" s="64"/>
      <c r="AE20" s="69"/>
      <c r="AG20" s="21"/>
      <c r="AH20" s="128"/>
      <c r="AI20" s="54"/>
      <c r="AJ20" s="64"/>
      <c r="AK20" s="69"/>
      <c r="AM20" s="21"/>
      <c r="AN20" s="128"/>
      <c r="AO20" s="54"/>
      <c r="AP20" s="64"/>
      <c r="AQ20" s="69"/>
      <c r="AS20" s="21"/>
      <c r="AT20" s="128"/>
      <c r="AU20" s="54"/>
      <c r="AV20" s="64"/>
      <c r="AW20" s="69"/>
      <c r="AX20">
        <f t="shared" si="1"/>
        <v>0</v>
      </c>
    </row>
    <row r="21" spans="1:50" x14ac:dyDescent="0.15">
      <c r="A21" s="2" t="s">
        <v>15</v>
      </c>
      <c r="C21" s="21"/>
      <c r="D21" s="128"/>
      <c r="E21" s="54"/>
      <c r="F21" s="64"/>
      <c r="G21" s="69"/>
      <c r="I21" s="21"/>
      <c r="J21" s="128"/>
      <c r="K21" s="54"/>
      <c r="L21" s="64"/>
      <c r="M21" s="69"/>
      <c r="O21" s="21"/>
      <c r="P21" s="128"/>
      <c r="Q21" s="54"/>
      <c r="R21" s="64"/>
      <c r="S21" s="69"/>
      <c r="U21" s="21"/>
      <c r="V21" s="128"/>
      <c r="W21" s="54"/>
      <c r="X21" s="64"/>
      <c r="Y21" s="69"/>
      <c r="AA21" s="21"/>
      <c r="AB21" s="128"/>
      <c r="AC21" s="54"/>
      <c r="AD21" s="64"/>
      <c r="AE21" s="69"/>
      <c r="AG21" s="21"/>
      <c r="AH21" s="128"/>
      <c r="AI21" s="54"/>
      <c r="AJ21" s="64"/>
      <c r="AK21" s="69"/>
      <c r="AM21" s="21"/>
      <c r="AN21" s="128"/>
      <c r="AO21" s="54"/>
      <c r="AP21" s="64"/>
      <c r="AQ21" s="69"/>
      <c r="AS21" s="21"/>
      <c r="AT21" s="128"/>
      <c r="AU21" s="54"/>
      <c r="AV21" s="64"/>
      <c r="AW21" s="69"/>
      <c r="AX21">
        <f t="shared" si="1"/>
        <v>0</v>
      </c>
    </row>
    <row r="22" spans="1:50" x14ac:dyDescent="0.15">
      <c r="A22" s="2" t="s">
        <v>5</v>
      </c>
      <c r="C22" s="21"/>
      <c r="D22" s="128"/>
      <c r="E22" s="54">
        <v>1</v>
      </c>
      <c r="F22" s="64">
        <v>1</v>
      </c>
      <c r="G22" s="69">
        <v>1</v>
      </c>
      <c r="H22">
        <v>1</v>
      </c>
      <c r="I22" s="21">
        <v>1</v>
      </c>
      <c r="J22" s="128">
        <v>1</v>
      </c>
      <c r="K22" s="54">
        <v>1</v>
      </c>
      <c r="L22" s="64"/>
      <c r="M22" s="69">
        <v>1</v>
      </c>
      <c r="O22" s="21"/>
      <c r="P22" s="128"/>
      <c r="Q22" s="54"/>
      <c r="R22" s="64"/>
      <c r="S22" s="69"/>
      <c r="T22">
        <v>1</v>
      </c>
      <c r="U22" s="21"/>
      <c r="V22" s="128">
        <v>1</v>
      </c>
      <c r="W22" s="54">
        <v>1</v>
      </c>
      <c r="X22" s="64"/>
      <c r="Y22" s="69">
        <v>1</v>
      </c>
      <c r="AA22" s="21"/>
      <c r="AB22" s="128">
        <v>1</v>
      </c>
      <c r="AC22" s="54">
        <v>1</v>
      </c>
      <c r="AD22" s="64">
        <v>1</v>
      </c>
      <c r="AE22" s="69">
        <v>1</v>
      </c>
      <c r="AF22">
        <v>1</v>
      </c>
      <c r="AG22" s="21"/>
      <c r="AH22" s="128"/>
      <c r="AI22" s="54">
        <v>1</v>
      </c>
      <c r="AJ22" s="64">
        <v>1</v>
      </c>
      <c r="AK22" s="69">
        <v>1</v>
      </c>
      <c r="AM22" s="21"/>
      <c r="AN22" s="128"/>
      <c r="AO22" s="54"/>
      <c r="AP22" s="64"/>
      <c r="AQ22" s="69"/>
      <c r="AR22">
        <v>1</v>
      </c>
      <c r="AS22" s="21">
        <v>1</v>
      </c>
      <c r="AT22" s="128">
        <v>1</v>
      </c>
      <c r="AU22" s="54">
        <v>1</v>
      </c>
      <c r="AV22" s="64">
        <v>1</v>
      </c>
      <c r="AW22" s="69">
        <v>1</v>
      </c>
      <c r="AX22">
        <f t="shared" si="1"/>
        <v>26</v>
      </c>
    </row>
    <row r="23" spans="1:50" x14ac:dyDescent="0.15">
      <c r="A23" s="2" t="s">
        <v>46</v>
      </c>
      <c r="B23">
        <v>3</v>
      </c>
      <c r="C23" s="21">
        <v>1</v>
      </c>
      <c r="D23" s="128">
        <v>1</v>
      </c>
      <c r="E23" s="54">
        <v>1</v>
      </c>
      <c r="F23" s="64">
        <v>2</v>
      </c>
      <c r="G23" s="69">
        <v>1</v>
      </c>
      <c r="I23" s="21">
        <v>1</v>
      </c>
      <c r="J23" s="128">
        <v>2</v>
      </c>
      <c r="K23" s="54">
        <v>2</v>
      </c>
      <c r="L23" s="64">
        <v>3</v>
      </c>
      <c r="M23" s="69">
        <v>2</v>
      </c>
      <c r="O23" s="21"/>
      <c r="P23" s="128"/>
      <c r="Q23" s="54"/>
      <c r="R23" s="64"/>
      <c r="S23" s="69"/>
      <c r="U23" s="21"/>
      <c r="V23" s="128"/>
      <c r="W23" s="54"/>
      <c r="X23" s="64"/>
      <c r="Y23" s="69"/>
      <c r="AA23" s="21"/>
      <c r="AB23" s="128"/>
      <c r="AC23" s="54"/>
      <c r="AD23" s="64"/>
      <c r="AE23" s="69"/>
      <c r="AG23" s="21"/>
      <c r="AH23" s="128"/>
      <c r="AI23" s="54"/>
      <c r="AJ23" s="64"/>
      <c r="AK23" s="69"/>
      <c r="AM23" s="21"/>
      <c r="AN23" s="128"/>
      <c r="AO23" s="54"/>
      <c r="AP23" s="64"/>
      <c r="AQ23" s="69"/>
      <c r="AS23" s="21"/>
      <c r="AT23" s="128"/>
      <c r="AU23" s="54"/>
      <c r="AV23" s="64"/>
      <c r="AW23" s="69"/>
      <c r="AX23">
        <f t="shared" si="1"/>
        <v>11</v>
      </c>
    </row>
    <row r="24" spans="1:50" x14ac:dyDescent="0.15">
      <c r="A24" s="2" t="s">
        <v>228</v>
      </c>
      <c r="C24" s="21"/>
      <c r="D24" s="128"/>
      <c r="E24" s="54"/>
      <c r="F24" s="64"/>
      <c r="G24" s="69"/>
      <c r="I24" s="21"/>
      <c r="J24" s="128"/>
      <c r="K24" s="54"/>
      <c r="L24" s="64"/>
      <c r="M24" s="69"/>
      <c r="O24" s="21"/>
      <c r="P24" s="128"/>
      <c r="Q24" s="54"/>
      <c r="R24" s="64"/>
      <c r="S24" s="69"/>
      <c r="U24" s="21"/>
      <c r="V24" s="128"/>
      <c r="W24" s="54"/>
      <c r="X24" s="64"/>
      <c r="Y24" s="69"/>
      <c r="AA24" s="21"/>
      <c r="AB24" s="128"/>
      <c r="AC24" s="54"/>
      <c r="AD24" s="64"/>
      <c r="AE24" s="69"/>
      <c r="AG24" s="21"/>
      <c r="AH24" s="128"/>
      <c r="AI24" s="54"/>
      <c r="AJ24" s="64"/>
      <c r="AK24" s="69"/>
      <c r="AM24" s="21"/>
      <c r="AN24" s="128"/>
      <c r="AO24" s="54"/>
      <c r="AP24" s="64"/>
      <c r="AQ24" s="69"/>
      <c r="AS24" s="21"/>
      <c r="AT24" s="128"/>
      <c r="AU24" s="54"/>
      <c r="AV24" s="64"/>
      <c r="AW24" s="69"/>
      <c r="AX24">
        <f t="shared" si="1"/>
        <v>0</v>
      </c>
    </row>
    <row r="25" spans="1:50" x14ac:dyDescent="0.15">
      <c r="A25" s="5" t="s">
        <v>133</v>
      </c>
      <c r="C25" s="21"/>
      <c r="D25" s="128"/>
      <c r="E25" s="54"/>
      <c r="F25" s="64"/>
      <c r="G25" s="69"/>
      <c r="I25" s="21"/>
      <c r="J25" s="128"/>
      <c r="K25" s="54"/>
      <c r="L25" s="64"/>
      <c r="M25" s="69"/>
      <c r="O25" s="21"/>
      <c r="P25" s="128"/>
      <c r="Q25" s="54"/>
      <c r="R25" s="64"/>
      <c r="S25" s="69"/>
      <c r="U25" s="21"/>
      <c r="V25" s="128"/>
      <c r="W25" s="54"/>
      <c r="X25" s="64"/>
      <c r="Y25" s="69"/>
      <c r="AA25" s="21"/>
      <c r="AB25" s="128"/>
      <c r="AC25" s="54"/>
      <c r="AD25" s="64"/>
      <c r="AE25" s="69"/>
      <c r="AG25" s="21"/>
      <c r="AH25" s="128"/>
      <c r="AI25" s="54"/>
      <c r="AJ25" s="64"/>
      <c r="AK25" s="69"/>
      <c r="AM25" s="21"/>
      <c r="AN25" s="128"/>
      <c r="AO25" s="54"/>
      <c r="AP25" s="64"/>
      <c r="AQ25" s="69"/>
      <c r="AS25" s="21"/>
      <c r="AT25" s="128"/>
      <c r="AU25" s="54"/>
      <c r="AV25" s="64"/>
      <c r="AW25" s="69"/>
      <c r="AX25">
        <f t="shared" si="1"/>
        <v>0</v>
      </c>
    </row>
    <row r="26" spans="1:50" x14ac:dyDescent="0.15">
      <c r="A26" s="5" t="s">
        <v>212</v>
      </c>
      <c r="C26" s="21"/>
      <c r="D26" s="128"/>
      <c r="E26" s="54"/>
      <c r="F26" s="64"/>
      <c r="G26" s="69"/>
      <c r="I26" s="21"/>
      <c r="J26" s="128"/>
      <c r="K26" s="54"/>
      <c r="L26" s="64"/>
      <c r="M26" s="69"/>
      <c r="O26" s="21"/>
      <c r="P26" s="128"/>
      <c r="Q26" s="54"/>
      <c r="R26" s="64"/>
      <c r="S26" s="69"/>
      <c r="U26" s="21"/>
      <c r="V26" s="128"/>
      <c r="W26" s="54"/>
      <c r="X26" s="64"/>
      <c r="Y26" s="69"/>
      <c r="AA26" s="21"/>
      <c r="AB26" s="128"/>
      <c r="AC26" s="54"/>
      <c r="AD26" s="64"/>
      <c r="AE26" s="69"/>
      <c r="AG26" s="21"/>
      <c r="AH26" s="128"/>
      <c r="AI26" s="54"/>
      <c r="AJ26" s="64"/>
      <c r="AK26" s="69"/>
      <c r="AM26" s="21"/>
      <c r="AN26" s="128"/>
      <c r="AO26" s="54"/>
      <c r="AP26" s="64"/>
      <c r="AQ26" s="69"/>
      <c r="AS26" s="21"/>
      <c r="AT26" s="128"/>
      <c r="AU26" s="54"/>
      <c r="AV26" s="64"/>
      <c r="AW26" s="69"/>
      <c r="AX26">
        <f t="shared" si="1"/>
        <v>0</v>
      </c>
    </row>
    <row r="27" spans="1:50" x14ac:dyDescent="0.15">
      <c r="A27" s="2" t="s">
        <v>45</v>
      </c>
      <c r="C27" s="21"/>
      <c r="D27" s="128"/>
      <c r="E27" s="54"/>
      <c r="F27" s="64"/>
      <c r="G27" s="69"/>
      <c r="I27" s="21"/>
      <c r="J27" s="128"/>
      <c r="K27" s="54"/>
      <c r="L27" s="64"/>
      <c r="M27" s="69"/>
      <c r="O27" s="21"/>
      <c r="P27" s="128"/>
      <c r="Q27" s="54"/>
      <c r="R27" s="64"/>
      <c r="S27" s="69"/>
      <c r="U27" s="21"/>
      <c r="V27" s="128"/>
      <c r="W27" s="54"/>
      <c r="X27" s="64"/>
      <c r="Y27" s="69"/>
      <c r="AA27" s="21"/>
      <c r="AB27" s="128"/>
      <c r="AC27" s="54"/>
      <c r="AD27" s="64"/>
      <c r="AE27" s="69"/>
      <c r="AG27" s="21"/>
      <c r="AH27" s="128"/>
      <c r="AI27" s="54"/>
      <c r="AJ27" s="64"/>
      <c r="AK27" s="69"/>
      <c r="AM27" s="21"/>
      <c r="AN27" s="128"/>
      <c r="AO27" s="54"/>
      <c r="AP27" s="64"/>
      <c r="AQ27" s="69"/>
      <c r="AS27" s="21"/>
      <c r="AT27" s="128"/>
      <c r="AU27" s="54"/>
      <c r="AV27" s="64"/>
      <c r="AW27" s="69"/>
      <c r="AX27">
        <f t="shared" si="1"/>
        <v>0</v>
      </c>
    </row>
    <row r="28" spans="1:50" x14ac:dyDescent="0.15">
      <c r="A28" s="2" t="s">
        <v>16</v>
      </c>
      <c r="B28">
        <v>1</v>
      </c>
      <c r="C28" s="21">
        <v>1</v>
      </c>
      <c r="D28" s="128">
        <v>1</v>
      </c>
      <c r="E28" s="54">
        <v>2</v>
      </c>
      <c r="F28" s="64">
        <v>2</v>
      </c>
      <c r="G28" s="69">
        <v>3</v>
      </c>
      <c r="I28" s="21"/>
      <c r="J28" s="128"/>
      <c r="K28" s="54"/>
      <c r="L28" s="64"/>
      <c r="M28" s="69"/>
      <c r="O28" s="21"/>
      <c r="P28" s="128"/>
      <c r="Q28" s="54"/>
      <c r="R28" s="64"/>
      <c r="S28" s="69"/>
      <c r="U28" s="21"/>
      <c r="V28" s="128"/>
      <c r="W28" s="54"/>
      <c r="X28" s="64"/>
      <c r="Y28" s="69"/>
      <c r="Z28">
        <v>1</v>
      </c>
      <c r="AA28" s="21">
        <v>1</v>
      </c>
      <c r="AB28" s="128">
        <v>1</v>
      </c>
      <c r="AC28" s="54">
        <v>1</v>
      </c>
      <c r="AD28" s="64">
        <v>1</v>
      </c>
      <c r="AE28" s="69">
        <v>1</v>
      </c>
      <c r="AF28">
        <v>1</v>
      </c>
      <c r="AG28" s="21"/>
      <c r="AH28" s="128"/>
      <c r="AI28" s="54"/>
      <c r="AJ28" s="64"/>
      <c r="AK28" s="69"/>
      <c r="AM28" s="21"/>
      <c r="AN28" s="128"/>
      <c r="AO28" s="54"/>
      <c r="AP28" s="64"/>
      <c r="AQ28" s="69"/>
      <c r="AS28" s="21"/>
      <c r="AT28" s="128"/>
      <c r="AU28" s="54"/>
      <c r="AV28" s="64"/>
      <c r="AW28" s="69"/>
      <c r="AX28">
        <f t="shared" si="1"/>
        <v>13</v>
      </c>
    </row>
    <row r="29" spans="1:50" x14ac:dyDescent="0.15">
      <c r="A29" s="2" t="s">
        <v>219</v>
      </c>
      <c r="C29" s="21"/>
      <c r="D29" s="128"/>
      <c r="E29" s="54"/>
      <c r="F29" s="64"/>
      <c r="G29" s="69"/>
      <c r="I29" s="21"/>
      <c r="J29" s="128"/>
      <c r="K29" s="54"/>
      <c r="L29" s="64"/>
      <c r="M29" s="69"/>
      <c r="O29" s="21"/>
      <c r="P29" s="128"/>
      <c r="Q29" s="54"/>
      <c r="R29" s="64"/>
      <c r="S29" s="69"/>
      <c r="U29" s="21"/>
      <c r="V29" s="128"/>
      <c r="W29" s="54"/>
      <c r="X29" s="64"/>
      <c r="Y29" s="69"/>
      <c r="AA29" s="21"/>
      <c r="AB29" s="128"/>
      <c r="AC29" s="54"/>
      <c r="AD29" s="64"/>
      <c r="AE29" s="69"/>
      <c r="AG29" s="21"/>
      <c r="AH29" s="128"/>
      <c r="AI29" s="54"/>
      <c r="AJ29" s="64"/>
      <c r="AK29" s="69"/>
      <c r="AM29" s="21"/>
      <c r="AN29" s="128"/>
      <c r="AO29" s="54"/>
      <c r="AP29" s="64"/>
      <c r="AQ29" s="69"/>
      <c r="AS29" s="21"/>
      <c r="AT29" s="128"/>
      <c r="AU29" s="54"/>
      <c r="AV29" s="64"/>
      <c r="AW29" s="69"/>
      <c r="AX29">
        <f t="shared" si="1"/>
        <v>0</v>
      </c>
    </row>
    <row r="30" spans="1:50" x14ac:dyDescent="0.15">
      <c r="A30" s="5" t="s">
        <v>70</v>
      </c>
      <c r="C30" s="21"/>
      <c r="D30" s="128"/>
      <c r="E30" s="54"/>
      <c r="F30" s="64"/>
      <c r="G30" s="69"/>
      <c r="I30" s="21"/>
      <c r="J30" s="128"/>
      <c r="K30" s="54"/>
      <c r="L30" s="64"/>
      <c r="M30" s="69"/>
      <c r="O30" s="21"/>
      <c r="P30" s="128"/>
      <c r="Q30" s="54"/>
      <c r="R30" s="64"/>
      <c r="S30" s="69"/>
      <c r="U30" s="21"/>
      <c r="V30" s="128"/>
      <c r="W30" s="54"/>
      <c r="X30" s="64"/>
      <c r="Y30" s="69"/>
      <c r="AA30" s="21"/>
      <c r="AB30" s="128"/>
      <c r="AC30" s="54"/>
      <c r="AD30" s="64"/>
      <c r="AE30" s="69"/>
      <c r="AG30" s="21"/>
      <c r="AH30" s="128"/>
      <c r="AI30" s="54"/>
      <c r="AJ30" s="64"/>
      <c r="AK30" s="69"/>
      <c r="AM30" s="21"/>
      <c r="AN30" s="128"/>
      <c r="AO30" s="54"/>
      <c r="AP30" s="64"/>
      <c r="AQ30" s="69"/>
      <c r="AS30" s="21"/>
      <c r="AT30" s="128"/>
      <c r="AU30" s="54"/>
      <c r="AV30" s="64"/>
      <c r="AW30" s="69"/>
      <c r="AX30">
        <f t="shared" si="1"/>
        <v>0</v>
      </c>
    </row>
    <row r="31" spans="1:50" x14ac:dyDescent="0.15">
      <c r="A31" s="5" t="s">
        <v>221</v>
      </c>
      <c r="C31" s="21"/>
      <c r="D31" s="128"/>
      <c r="E31" s="54"/>
      <c r="F31" s="64"/>
      <c r="G31" s="69"/>
      <c r="I31" s="21"/>
      <c r="J31" s="128"/>
      <c r="K31" s="54"/>
      <c r="L31" s="64"/>
      <c r="M31" s="69"/>
      <c r="O31" s="21"/>
      <c r="P31" s="128"/>
      <c r="Q31" s="54"/>
      <c r="R31" s="64"/>
      <c r="S31" s="69"/>
      <c r="U31" s="21"/>
      <c r="V31" s="128"/>
      <c r="W31" s="54"/>
      <c r="X31" s="64"/>
      <c r="Y31" s="69"/>
      <c r="AA31" s="21"/>
      <c r="AB31" s="128"/>
      <c r="AC31" s="54"/>
      <c r="AD31" s="64"/>
      <c r="AE31" s="69"/>
      <c r="AG31" s="21"/>
      <c r="AH31" s="128"/>
      <c r="AI31" s="54"/>
      <c r="AJ31" s="64"/>
      <c r="AK31" s="69"/>
      <c r="AM31" s="21"/>
      <c r="AN31" s="128"/>
      <c r="AO31" s="54"/>
      <c r="AP31" s="64"/>
      <c r="AQ31" s="69"/>
      <c r="AS31" s="21"/>
      <c r="AT31" s="128"/>
      <c r="AU31" s="54"/>
      <c r="AV31" s="64"/>
      <c r="AW31" s="69"/>
      <c r="AX31">
        <f t="shared" si="1"/>
        <v>0</v>
      </c>
    </row>
    <row r="32" spans="1:50" x14ac:dyDescent="0.15">
      <c r="A32" s="5" t="s">
        <v>199</v>
      </c>
      <c r="C32" s="21"/>
      <c r="D32" s="128"/>
      <c r="E32" s="54"/>
      <c r="F32" s="64"/>
      <c r="G32" s="69"/>
      <c r="I32" s="21"/>
      <c r="J32" s="128"/>
      <c r="K32" s="54"/>
      <c r="L32" s="64"/>
      <c r="M32" s="69"/>
      <c r="O32" s="21"/>
      <c r="P32" s="128"/>
      <c r="Q32" s="54"/>
      <c r="R32" s="64"/>
      <c r="S32" s="69"/>
      <c r="U32" s="21"/>
      <c r="V32" s="128"/>
      <c r="W32" s="54"/>
      <c r="X32" s="64"/>
      <c r="Y32" s="69"/>
      <c r="AA32" s="21"/>
      <c r="AB32" s="128"/>
      <c r="AC32" s="54"/>
      <c r="AD32" s="64"/>
      <c r="AE32" s="69"/>
      <c r="AG32" s="21"/>
      <c r="AH32" s="128"/>
      <c r="AI32" s="54"/>
      <c r="AJ32" s="64"/>
      <c r="AK32" s="69"/>
      <c r="AM32" s="21"/>
      <c r="AN32" s="128"/>
      <c r="AO32" s="54"/>
      <c r="AP32" s="64"/>
      <c r="AQ32" s="69"/>
      <c r="AS32" s="21"/>
      <c r="AT32" s="128"/>
      <c r="AU32" s="54"/>
      <c r="AV32" s="64"/>
      <c r="AW32" s="69"/>
      <c r="AX32">
        <f t="shared" si="1"/>
        <v>0</v>
      </c>
    </row>
    <row r="33" spans="1:50" x14ac:dyDescent="0.15">
      <c r="A33" s="5" t="s">
        <v>222</v>
      </c>
      <c r="C33" s="21"/>
      <c r="D33" s="128"/>
      <c r="E33" s="54"/>
      <c r="F33" s="64"/>
      <c r="G33" s="69"/>
      <c r="I33" s="21"/>
      <c r="J33" s="128"/>
      <c r="K33" s="54"/>
      <c r="L33" s="64"/>
      <c r="M33" s="69"/>
      <c r="O33" s="21"/>
      <c r="P33" s="128"/>
      <c r="Q33" s="54"/>
      <c r="R33" s="64"/>
      <c r="S33" s="69"/>
      <c r="U33" s="21"/>
      <c r="V33" s="128"/>
      <c r="W33" s="54"/>
      <c r="X33" s="64"/>
      <c r="Y33" s="69"/>
      <c r="AA33" s="21"/>
      <c r="AB33" s="128"/>
      <c r="AC33" s="54"/>
      <c r="AD33" s="64"/>
      <c r="AE33" s="69"/>
      <c r="AG33" s="21"/>
      <c r="AH33" s="128"/>
      <c r="AI33" s="54"/>
      <c r="AJ33" s="64"/>
      <c r="AK33" s="69"/>
      <c r="AM33" s="21"/>
      <c r="AN33" s="128"/>
      <c r="AO33" s="54"/>
      <c r="AP33" s="64"/>
      <c r="AQ33" s="69"/>
      <c r="AS33" s="21"/>
      <c r="AT33" s="128"/>
      <c r="AU33" s="54"/>
      <c r="AV33" s="64"/>
      <c r="AW33" s="69"/>
      <c r="AX33">
        <f t="shared" si="1"/>
        <v>0</v>
      </c>
    </row>
    <row r="34" spans="1:50" x14ac:dyDescent="0.15">
      <c r="A34" s="2" t="s">
        <v>62</v>
      </c>
      <c r="C34" s="21"/>
      <c r="D34" s="128"/>
      <c r="E34" s="54"/>
      <c r="F34" s="64"/>
      <c r="G34" s="69"/>
      <c r="I34" s="21"/>
      <c r="J34" s="128"/>
      <c r="K34" s="54"/>
      <c r="L34" s="64"/>
      <c r="M34" s="69"/>
      <c r="O34" s="21"/>
      <c r="P34" s="128"/>
      <c r="Q34" s="54"/>
      <c r="R34" s="64"/>
      <c r="S34" s="69"/>
      <c r="U34" s="21"/>
      <c r="V34" s="128"/>
      <c r="W34" s="54"/>
      <c r="X34" s="64"/>
      <c r="Y34" s="69"/>
      <c r="AA34" s="21"/>
      <c r="AB34" s="128"/>
      <c r="AC34" s="54"/>
      <c r="AD34" s="64"/>
      <c r="AE34" s="69"/>
      <c r="AG34" s="21"/>
      <c r="AH34" s="128"/>
      <c r="AI34" s="54"/>
      <c r="AJ34" s="64"/>
      <c r="AK34" s="69"/>
      <c r="AM34" s="21"/>
      <c r="AN34" s="128"/>
      <c r="AO34" s="54"/>
      <c r="AP34" s="64"/>
      <c r="AQ34" s="69"/>
      <c r="AS34" s="21"/>
      <c r="AT34" s="128"/>
      <c r="AU34" s="54"/>
      <c r="AV34" s="64"/>
      <c r="AW34" s="69"/>
      <c r="AX34">
        <f t="shared" si="1"/>
        <v>0</v>
      </c>
    </row>
    <row r="35" spans="1:50" x14ac:dyDescent="0.15">
      <c r="A35" s="2" t="s">
        <v>17</v>
      </c>
      <c r="C35" s="21"/>
      <c r="D35" s="128"/>
      <c r="E35" s="54"/>
      <c r="F35" s="64"/>
      <c r="G35" s="69"/>
      <c r="I35" s="21"/>
      <c r="J35" s="128"/>
      <c r="K35" s="54"/>
      <c r="L35" s="64"/>
      <c r="M35" s="69"/>
      <c r="O35" s="21"/>
      <c r="P35" s="128"/>
      <c r="Q35" s="54"/>
      <c r="R35" s="64"/>
      <c r="S35" s="69"/>
      <c r="U35" s="21"/>
      <c r="V35" s="128"/>
      <c r="W35" s="54"/>
      <c r="X35" s="64"/>
      <c r="Y35" s="69"/>
      <c r="AA35" s="21"/>
      <c r="AB35" s="128"/>
      <c r="AC35" s="54"/>
      <c r="AD35" s="64"/>
      <c r="AE35" s="69"/>
      <c r="AG35" s="21"/>
      <c r="AH35" s="128"/>
      <c r="AI35" s="54"/>
      <c r="AJ35" s="64"/>
      <c r="AK35" s="69"/>
      <c r="AM35" s="21"/>
      <c r="AN35" s="128"/>
      <c r="AO35" s="54"/>
      <c r="AP35" s="64"/>
      <c r="AQ35" s="69"/>
      <c r="AS35" s="21"/>
      <c r="AT35" s="128"/>
      <c r="AU35" s="54"/>
      <c r="AV35" s="64"/>
      <c r="AW35" s="69"/>
      <c r="AX35">
        <f t="shared" si="1"/>
        <v>0</v>
      </c>
    </row>
    <row r="36" spans="1:50" x14ac:dyDescent="0.15">
      <c r="A36" s="2" t="s">
        <v>49</v>
      </c>
      <c r="C36" s="21">
        <v>3</v>
      </c>
      <c r="D36" s="128">
        <v>2</v>
      </c>
      <c r="E36" s="54">
        <v>1</v>
      </c>
      <c r="F36" s="64">
        <v>2</v>
      </c>
      <c r="G36" s="69">
        <v>2</v>
      </c>
      <c r="I36" s="21"/>
      <c r="J36" s="128">
        <v>2</v>
      </c>
      <c r="K36" s="54">
        <v>2</v>
      </c>
      <c r="L36" s="64">
        <v>2</v>
      </c>
      <c r="M36" s="69">
        <v>2</v>
      </c>
      <c r="O36" s="21">
        <v>2</v>
      </c>
      <c r="P36" s="128">
        <v>2</v>
      </c>
      <c r="Q36" s="54">
        <v>2</v>
      </c>
      <c r="R36" s="64">
        <v>2</v>
      </c>
      <c r="S36" s="69">
        <v>2</v>
      </c>
      <c r="U36" s="21">
        <v>3</v>
      </c>
      <c r="V36" s="128">
        <v>3</v>
      </c>
      <c r="W36" s="54">
        <v>2</v>
      </c>
      <c r="X36" s="64">
        <v>2</v>
      </c>
      <c r="Y36" s="69">
        <v>3</v>
      </c>
      <c r="AA36" s="21">
        <v>2</v>
      </c>
      <c r="AB36" s="128">
        <v>2</v>
      </c>
      <c r="AC36" s="54">
        <v>2</v>
      </c>
      <c r="AD36" s="64">
        <v>2</v>
      </c>
      <c r="AE36" s="69">
        <v>2</v>
      </c>
      <c r="AG36" s="21"/>
      <c r="AH36" s="128"/>
      <c r="AI36" s="54"/>
      <c r="AJ36" s="64"/>
      <c r="AK36" s="69"/>
      <c r="AM36" s="21">
        <v>1</v>
      </c>
      <c r="AN36" s="128">
        <v>1</v>
      </c>
      <c r="AO36" s="54"/>
      <c r="AP36" s="64">
        <v>1</v>
      </c>
      <c r="AQ36" s="69">
        <v>1</v>
      </c>
      <c r="AS36" s="21">
        <v>1</v>
      </c>
      <c r="AT36" s="128">
        <v>2</v>
      </c>
      <c r="AU36" s="54">
        <v>1</v>
      </c>
      <c r="AV36" s="64">
        <v>1</v>
      </c>
      <c r="AW36" s="69">
        <v>1</v>
      </c>
      <c r="AX36">
        <f t="shared" si="1"/>
        <v>33</v>
      </c>
    </row>
    <row r="37" spans="1:50" x14ac:dyDescent="0.15">
      <c r="A37" s="2" t="s">
        <v>6</v>
      </c>
      <c r="C37" s="21"/>
      <c r="D37" s="128"/>
      <c r="E37" s="54"/>
      <c r="F37" s="64"/>
      <c r="G37" s="69"/>
      <c r="I37" s="21"/>
      <c r="J37" s="128"/>
      <c r="K37" s="54"/>
      <c r="L37" s="64"/>
      <c r="M37" s="69"/>
      <c r="O37" s="21"/>
      <c r="P37" s="128"/>
      <c r="Q37" s="54"/>
      <c r="R37" s="64"/>
      <c r="S37" s="69"/>
      <c r="U37" s="21"/>
      <c r="V37" s="128"/>
      <c r="W37" s="54"/>
      <c r="X37" s="64"/>
      <c r="Y37" s="69"/>
      <c r="AA37" s="21"/>
      <c r="AB37" s="128"/>
      <c r="AC37" s="54"/>
      <c r="AD37" s="64"/>
      <c r="AE37" s="69"/>
      <c r="AG37" s="21"/>
      <c r="AH37" s="128"/>
      <c r="AI37" s="54"/>
      <c r="AJ37" s="64"/>
      <c r="AK37" s="69"/>
      <c r="AM37" s="21"/>
      <c r="AN37" s="128"/>
      <c r="AO37" s="54"/>
      <c r="AP37" s="64"/>
      <c r="AQ37" s="69"/>
      <c r="AS37" s="21"/>
      <c r="AT37" s="128"/>
      <c r="AU37" s="54"/>
      <c r="AV37" s="64"/>
      <c r="AW37" s="69"/>
      <c r="AX37">
        <f t="shared" si="1"/>
        <v>0</v>
      </c>
    </row>
    <row r="38" spans="1:50" x14ac:dyDescent="0.15">
      <c r="A38" s="2" t="s">
        <v>19</v>
      </c>
      <c r="B38">
        <v>5</v>
      </c>
      <c r="C38" s="21">
        <v>5</v>
      </c>
      <c r="D38" s="128">
        <v>5</v>
      </c>
      <c r="E38" s="54">
        <v>5</v>
      </c>
      <c r="F38" s="64">
        <v>5</v>
      </c>
      <c r="G38" s="69">
        <v>5</v>
      </c>
      <c r="H38">
        <v>5</v>
      </c>
      <c r="I38" s="21">
        <v>2</v>
      </c>
      <c r="J38" s="128">
        <v>1</v>
      </c>
      <c r="K38" s="54">
        <v>2</v>
      </c>
      <c r="L38" s="64">
        <v>3</v>
      </c>
      <c r="M38" s="69">
        <v>3</v>
      </c>
      <c r="O38" s="21"/>
      <c r="P38" s="128"/>
      <c r="Q38" s="54"/>
      <c r="R38" s="64"/>
      <c r="S38" s="69"/>
      <c r="T38">
        <v>1</v>
      </c>
      <c r="U38" s="21">
        <v>3</v>
      </c>
      <c r="V38" s="128">
        <v>1</v>
      </c>
      <c r="W38" s="54">
        <v>1</v>
      </c>
      <c r="X38" s="64">
        <v>2</v>
      </c>
      <c r="Y38" s="69">
        <v>2</v>
      </c>
      <c r="AA38" s="21"/>
      <c r="AB38" s="128">
        <v>1</v>
      </c>
      <c r="AC38" s="54"/>
      <c r="AD38" s="64">
        <v>1</v>
      </c>
      <c r="AE38" s="69">
        <v>1</v>
      </c>
      <c r="AG38" s="21"/>
      <c r="AH38" s="128"/>
      <c r="AI38" s="54"/>
      <c r="AJ38" s="64"/>
      <c r="AK38" s="69"/>
      <c r="AM38" s="21">
        <v>1</v>
      </c>
      <c r="AN38" s="128">
        <v>1</v>
      </c>
      <c r="AO38" s="54">
        <v>1</v>
      </c>
      <c r="AP38" s="64">
        <v>1</v>
      </c>
      <c r="AQ38" s="69">
        <v>1</v>
      </c>
      <c r="AR38">
        <v>1</v>
      </c>
      <c r="AS38" s="21">
        <v>2</v>
      </c>
      <c r="AT38" s="128">
        <v>2</v>
      </c>
      <c r="AU38" s="54">
        <v>2</v>
      </c>
      <c r="AV38" s="64">
        <v>2</v>
      </c>
      <c r="AW38" s="69">
        <v>2</v>
      </c>
      <c r="AX38">
        <f t="shared" si="1"/>
        <v>32</v>
      </c>
    </row>
    <row r="39" spans="1:50" x14ac:dyDescent="0.15">
      <c r="A39" s="2" t="s">
        <v>68</v>
      </c>
      <c r="C39" s="21"/>
      <c r="D39" s="128"/>
      <c r="E39" s="54"/>
      <c r="F39" s="64"/>
      <c r="G39" s="69"/>
      <c r="I39" s="21"/>
      <c r="J39" s="128"/>
      <c r="K39" s="54"/>
      <c r="L39" s="64"/>
      <c r="M39" s="69"/>
      <c r="O39" s="21"/>
      <c r="P39" s="128"/>
      <c r="Q39" s="54"/>
      <c r="R39" s="64"/>
      <c r="S39" s="69"/>
      <c r="U39" s="21"/>
      <c r="V39" s="128"/>
      <c r="W39" s="54"/>
      <c r="X39" s="64"/>
      <c r="Y39" s="69"/>
      <c r="AA39" s="21"/>
      <c r="AB39" s="128"/>
      <c r="AC39" s="54"/>
      <c r="AD39" s="64"/>
      <c r="AE39" s="69"/>
      <c r="AG39" s="21"/>
      <c r="AH39" s="128"/>
      <c r="AI39" s="54"/>
      <c r="AJ39" s="64"/>
      <c r="AK39" s="69"/>
      <c r="AM39" s="21"/>
      <c r="AN39" s="128"/>
      <c r="AO39" s="54"/>
      <c r="AP39" s="64"/>
      <c r="AQ39" s="69"/>
      <c r="AR39">
        <v>1</v>
      </c>
      <c r="AS39" s="21"/>
      <c r="AT39" s="128"/>
      <c r="AU39" s="54"/>
      <c r="AV39" s="64"/>
      <c r="AW39" s="69"/>
      <c r="AX39">
        <f t="shared" si="1"/>
        <v>1</v>
      </c>
    </row>
    <row r="40" spans="1:50" x14ac:dyDescent="0.15">
      <c r="A40" s="2" t="s">
        <v>37</v>
      </c>
      <c r="C40" s="21"/>
      <c r="D40" s="128"/>
      <c r="E40" s="54"/>
      <c r="F40" s="64"/>
      <c r="G40" s="69"/>
      <c r="I40" s="21"/>
      <c r="J40" s="128"/>
      <c r="K40" s="54"/>
      <c r="L40" s="64"/>
      <c r="M40" s="69"/>
      <c r="O40" s="21"/>
      <c r="P40" s="128"/>
      <c r="Q40" s="54"/>
      <c r="R40" s="64"/>
      <c r="S40" s="69"/>
      <c r="U40" s="21"/>
      <c r="V40" s="128"/>
      <c r="W40" s="54"/>
      <c r="X40" s="64"/>
      <c r="Y40" s="69"/>
      <c r="AA40" s="21"/>
      <c r="AB40" s="128"/>
      <c r="AC40" s="54"/>
      <c r="AD40" s="64"/>
      <c r="AE40" s="69"/>
      <c r="AG40" s="21"/>
      <c r="AH40" s="128"/>
      <c r="AI40" s="54"/>
      <c r="AJ40" s="64"/>
      <c r="AK40" s="69"/>
      <c r="AM40" s="21"/>
      <c r="AN40" s="128"/>
      <c r="AO40" s="54"/>
      <c r="AP40" s="64"/>
      <c r="AQ40" s="69"/>
      <c r="AS40" s="21"/>
      <c r="AT40" s="128"/>
      <c r="AU40" s="54"/>
      <c r="AV40" s="64"/>
      <c r="AW40" s="69"/>
      <c r="AX40">
        <f t="shared" si="1"/>
        <v>0</v>
      </c>
    </row>
    <row r="41" spans="1:50" x14ac:dyDescent="0.15">
      <c r="A41" s="2" t="s">
        <v>20</v>
      </c>
      <c r="C41" s="21"/>
      <c r="D41" s="128"/>
      <c r="E41" s="54"/>
      <c r="F41" s="64"/>
      <c r="G41" s="69"/>
      <c r="I41" s="21">
        <v>2</v>
      </c>
      <c r="J41" s="128">
        <v>1</v>
      </c>
      <c r="K41" s="54">
        <v>1</v>
      </c>
      <c r="L41" s="64">
        <v>2</v>
      </c>
      <c r="M41" s="69">
        <v>2</v>
      </c>
      <c r="O41" s="21"/>
      <c r="P41" s="128"/>
      <c r="Q41" s="54"/>
      <c r="R41" s="64"/>
      <c r="S41" s="69"/>
      <c r="T41">
        <v>3</v>
      </c>
      <c r="U41" s="21">
        <v>3</v>
      </c>
      <c r="V41" s="128">
        <v>2</v>
      </c>
      <c r="W41" s="54">
        <v>2</v>
      </c>
      <c r="X41" s="64">
        <v>2</v>
      </c>
      <c r="Y41" s="69">
        <v>2</v>
      </c>
      <c r="AA41" s="21">
        <v>1</v>
      </c>
      <c r="AB41" s="128">
        <v>1</v>
      </c>
      <c r="AC41" s="54">
        <v>1</v>
      </c>
      <c r="AD41" s="64">
        <v>1</v>
      </c>
      <c r="AE41" s="69"/>
      <c r="AG41" s="21"/>
      <c r="AH41" s="128"/>
      <c r="AI41" s="54"/>
      <c r="AJ41" s="64"/>
      <c r="AK41" s="69"/>
      <c r="AM41" s="21"/>
      <c r="AN41" s="128"/>
      <c r="AO41" s="54"/>
      <c r="AP41" s="64"/>
      <c r="AQ41" s="69"/>
      <c r="AS41" s="21"/>
      <c r="AT41" s="128"/>
      <c r="AU41" s="54"/>
      <c r="AV41" s="64">
        <v>1</v>
      </c>
      <c r="AW41" s="69">
        <v>1</v>
      </c>
      <c r="AX41">
        <f t="shared" si="1"/>
        <v>17</v>
      </c>
    </row>
    <row r="42" spans="1:50" x14ac:dyDescent="0.15">
      <c r="A42" s="2" t="s">
        <v>11</v>
      </c>
      <c r="C42" s="21"/>
      <c r="D42" s="128"/>
      <c r="E42" s="54"/>
      <c r="F42" s="64"/>
      <c r="G42" s="69"/>
      <c r="I42" s="21"/>
      <c r="J42" s="128"/>
      <c r="K42" s="54"/>
      <c r="L42" s="64"/>
      <c r="M42" s="69"/>
      <c r="O42" s="21"/>
      <c r="P42" s="128"/>
      <c r="Q42" s="54"/>
      <c r="R42" s="64"/>
      <c r="S42" s="69"/>
      <c r="U42" s="21"/>
      <c r="V42" s="128"/>
      <c r="W42" s="54"/>
      <c r="X42" s="64"/>
      <c r="Y42" s="69"/>
      <c r="AA42" s="21"/>
      <c r="AB42" s="128"/>
      <c r="AC42" s="54"/>
      <c r="AD42" s="64"/>
      <c r="AE42" s="69"/>
      <c r="AG42" s="21"/>
      <c r="AH42" s="128"/>
      <c r="AI42" s="54"/>
      <c r="AJ42" s="64"/>
      <c r="AK42" s="69"/>
      <c r="AM42" s="21"/>
      <c r="AN42" s="128"/>
      <c r="AO42" s="54"/>
      <c r="AP42" s="64"/>
      <c r="AQ42" s="69"/>
      <c r="AS42" s="21"/>
      <c r="AT42" s="128"/>
      <c r="AU42" s="54"/>
      <c r="AV42" s="64"/>
      <c r="AW42" s="69"/>
      <c r="AX42">
        <f t="shared" si="1"/>
        <v>0</v>
      </c>
    </row>
    <row r="43" spans="1:50" x14ac:dyDescent="0.15">
      <c r="A43" s="2" t="s">
        <v>21</v>
      </c>
      <c r="B43">
        <v>5</v>
      </c>
      <c r="C43" s="21">
        <v>3</v>
      </c>
      <c r="D43" s="128">
        <v>3</v>
      </c>
      <c r="E43" s="54">
        <v>3</v>
      </c>
      <c r="F43" s="64">
        <v>3</v>
      </c>
      <c r="G43" s="69">
        <v>1</v>
      </c>
      <c r="H43">
        <v>3</v>
      </c>
      <c r="I43" s="21">
        <v>3</v>
      </c>
      <c r="J43" s="128">
        <v>3</v>
      </c>
      <c r="K43" s="54">
        <v>3</v>
      </c>
      <c r="L43" s="64">
        <v>3</v>
      </c>
      <c r="M43" s="69">
        <v>3</v>
      </c>
      <c r="O43" s="21"/>
      <c r="P43" s="128"/>
      <c r="Q43" s="54"/>
      <c r="R43" s="64"/>
      <c r="S43" s="69"/>
      <c r="T43">
        <v>2</v>
      </c>
      <c r="U43" s="21">
        <v>1</v>
      </c>
      <c r="V43" s="128">
        <v>1</v>
      </c>
      <c r="W43" s="54">
        <v>1</v>
      </c>
      <c r="X43" s="64">
        <v>1</v>
      </c>
      <c r="Y43" s="69">
        <v>2</v>
      </c>
      <c r="Z43">
        <v>3</v>
      </c>
      <c r="AA43" s="21">
        <v>1</v>
      </c>
      <c r="AB43" s="128">
        <v>1</v>
      </c>
      <c r="AC43" s="54">
        <v>1</v>
      </c>
      <c r="AD43" s="64">
        <v>1</v>
      </c>
      <c r="AE43" s="69">
        <v>1</v>
      </c>
      <c r="AF43">
        <v>3</v>
      </c>
      <c r="AG43" s="21"/>
      <c r="AH43" s="128"/>
      <c r="AI43" s="54"/>
      <c r="AJ43" s="64"/>
      <c r="AK43" s="69"/>
      <c r="AM43" s="21"/>
      <c r="AN43" s="128"/>
      <c r="AO43" s="54"/>
      <c r="AP43" s="64"/>
      <c r="AQ43" s="69"/>
      <c r="AR43">
        <v>1</v>
      </c>
      <c r="AS43" s="21">
        <v>1</v>
      </c>
      <c r="AT43" s="128">
        <v>1</v>
      </c>
      <c r="AU43" s="54">
        <v>1</v>
      </c>
      <c r="AV43" s="64">
        <v>1</v>
      </c>
      <c r="AW43" s="69">
        <v>1</v>
      </c>
      <c r="AX43">
        <f t="shared" si="1"/>
        <v>31</v>
      </c>
    </row>
    <row r="44" spans="1:50" x14ac:dyDescent="0.15">
      <c r="A44" s="2" t="s">
        <v>197</v>
      </c>
      <c r="C44" s="21"/>
      <c r="D44" s="128"/>
      <c r="E44" s="54"/>
      <c r="F44" s="64"/>
      <c r="G44" s="69"/>
      <c r="I44" s="21"/>
      <c r="J44" s="128"/>
      <c r="K44" s="54"/>
      <c r="L44" s="64"/>
      <c r="M44" s="69"/>
      <c r="O44" s="21"/>
      <c r="P44" s="128"/>
      <c r="Q44" s="54"/>
      <c r="R44" s="64"/>
      <c r="S44" s="69"/>
      <c r="U44" s="21"/>
      <c r="V44" s="128"/>
      <c r="W44" s="54"/>
      <c r="X44" s="64"/>
      <c r="Y44" s="69"/>
      <c r="AA44" s="21"/>
      <c r="AB44" s="128"/>
      <c r="AC44" s="54"/>
      <c r="AD44" s="64"/>
      <c r="AE44" s="69"/>
      <c r="AG44" s="21"/>
      <c r="AH44" s="128"/>
      <c r="AI44" s="54"/>
      <c r="AJ44" s="64"/>
      <c r="AK44" s="69"/>
      <c r="AM44" s="21"/>
      <c r="AN44" s="128"/>
      <c r="AO44" s="54"/>
      <c r="AP44" s="64"/>
      <c r="AQ44" s="69"/>
      <c r="AS44" s="21"/>
      <c r="AT44" s="128"/>
      <c r="AU44" s="54"/>
      <c r="AV44" s="64"/>
      <c r="AW44" s="69"/>
      <c r="AX44">
        <f t="shared" si="1"/>
        <v>0</v>
      </c>
    </row>
    <row r="45" spans="1:50" x14ac:dyDescent="0.15">
      <c r="A45" s="2" t="s">
        <v>196</v>
      </c>
      <c r="C45" s="21"/>
      <c r="D45" s="128"/>
      <c r="E45" s="54"/>
      <c r="F45" s="64"/>
      <c r="G45" s="69"/>
      <c r="I45" s="21"/>
      <c r="J45" s="128"/>
      <c r="K45" s="54"/>
      <c r="L45" s="64"/>
      <c r="M45" s="69"/>
      <c r="O45" s="21"/>
      <c r="P45" s="128"/>
      <c r="Q45" s="54"/>
      <c r="R45" s="64"/>
      <c r="S45" s="69"/>
      <c r="U45" s="21"/>
      <c r="V45" s="128"/>
      <c r="W45" s="54"/>
      <c r="X45" s="64"/>
      <c r="Y45" s="69"/>
      <c r="AA45" s="21"/>
      <c r="AB45" s="128"/>
      <c r="AC45" s="54"/>
      <c r="AD45" s="64"/>
      <c r="AE45" s="69"/>
      <c r="AG45" s="21"/>
      <c r="AH45" s="128"/>
      <c r="AI45" s="54"/>
      <c r="AJ45" s="64"/>
      <c r="AK45" s="69"/>
      <c r="AM45" s="21"/>
      <c r="AN45" s="128"/>
      <c r="AO45" s="54"/>
      <c r="AP45" s="64"/>
      <c r="AQ45" s="69"/>
      <c r="AS45" s="21"/>
      <c r="AT45" s="128"/>
      <c r="AU45" s="54"/>
      <c r="AV45" s="64"/>
      <c r="AW45" s="69"/>
      <c r="AX45">
        <f t="shared" si="1"/>
        <v>0</v>
      </c>
    </row>
    <row r="46" spans="1:50" x14ac:dyDescent="0.15">
      <c r="A46" s="5" t="s">
        <v>198</v>
      </c>
      <c r="C46" s="21"/>
      <c r="D46" s="128"/>
      <c r="E46" s="54"/>
      <c r="F46" s="64"/>
      <c r="G46" s="69"/>
      <c r="I46" s="21"/>
      <c r="J46" s="128"/>
      <c r="K46" s="54"/>
      <c r="L46" s="64"/>
      <c r="M46" s="69"/>
      <c r="O46" s="21"/>
      <c r="P46" s="128"/>
      <c r="Q46" s="54"/>
      <c r="R46" s="64"/>
      <c r="S46" s="69"/>
      <c r="U46" s="21"/>
      <c r="V46" s="128"/>
      <c r="W46" s="54"/>
      <c r="X46" s="64"/>
      <c r="Y46" s="69"/>
      <c r="AA46" s="21"/>
      <c r="AB46" s="128"/>
      <c r="AC46" s="54"/>
      <c r="AD46" s="64"/>
      <c r="AE46" s="69"/>
      <c r="AG46" s="21"/>
      <c r="AH46" s="128"/>
      <c r="AI46" s="54"/>
      <c r="AJ46" s="64"/>
      <c r="AK46" s="69"/>
      <c r="AM46" s="21"/>
      <c r="AN46" s="128"/>
      <c r="AO46" s="54"/>
      <c r="AP46" s="64"/>
      <c r="AQ46" s="69"/>
      <c r="AS46" s="21"/>
      <c r="AT46" s="128"/>
      <c r="AU46" s="54"/>
      <c r="AV46" s="64"/>
      <c r="AW46" s="69"/>
      <c r="AX46">
        <f t="shared" si="1"/>
        <v>0</v>
      </c>
    </row>
    <row r="47" spans="1:50" x14ac:dyDescent="0.15">
      <c r="A47" s="2" t="s">
        <v>35</v>
      </c>
      <c r="B47">
        <v>1</v>
      </c>
      <c r="C47" s="21">
        <v>1</v>
      </c>
      <c r="D47" s="128">
        <v>1</v>
      </c>
      <c r="E47" s="54">
        <v>1</v>
      </c>
      <c r="F47" s="64">
        <v>2</v>
      </c>
      <c r="G47" s="69">
        <v>4</v>
      </c>
      <c r="I47" s="21"/>
      <c r="J47" s="128">
        <v>1</v>
      </c>
      <c r="K47" s="54">
        <v>1</v>
      </c>
      <c r="L47" s="64">
        <v>2</v>
      </c>
      <c r="M47" s="69">
        <v>1</v>
      </c>
      <c r="N47">
        <v>3</v>
      </c>
      <c r="O47" s="21"/>
      <c r="P47" s="128"/>
      <c r="Q47" s="54"/>
      <c r="R47" s="64"/>
      <c r="S47" s="69">
        <v>1</v>
      </c>
      <c r="T47">
        <v>1</v>
      </c>
      <c r="U47" s="21"/>
      <c r="V47" s="128"/>
      <c r="W47" s="54">
        <v>1</v>
      </c>
      <c r="X47" s="64">
        <v>1</v>
      </c>
      <c r="Y47" s="69">
        <v>1</v>
      </c>
      <c r="AA47" s="21"/>
      <c r="AB47" s="128"/>
      <c r="AC47" s="54">
        <v>1</v>
      </c>
      <c r="AD47" s="64"/>
      <c r="AE47" s="69">
        <v>1</v>
      </c>
      <c r="AG47" s="21">
        <v>1</v>
      </c>
      <c r="AH47" s="128">
        <v>1</v>
      </c>
      <c r="AI47" s="54">
        <v>1</v>
      </c>
      <c r="AJ47" s="64">
        <v>1</v>
      </c>
      <c r="AK47" s="69"/>
      <c r="AM47" s="21">
        <v>1</v>
      </c>
      <c r="AN47" s="128">
        <v>1</v>
      </c>
      <c r="AO47" s="54">
        <v>1</v>
      </c>
      <c r="AP47" s="64">
        <v>1</v>
      </c>
      <c r="AQ47" s="69"/>
      <c r="AR47">
        <v>1</v>
      </c>
      <c r="AS47" s="21">
        <v>1</v>
      </c>
      <c r="AT47" s="128">
        <v>1</v>
      </c>
      <c r="AU47" s="54">
        <v>1</v>
      </c>
      <c r="AV47" s="64">
        <v>1</v>
      </c>
      <c r="AW47" s="69">
        <v>1</v>
      </c>
      <c r="AX47">
        <f t="shared" si="1"/>
        <v>32</v>
      </c>
    </row>
    <row r="48" spans="1:50" x14ac:dyDescent="0.15">
      <c r="A48" s="2" t="s">
        <v>110</v>
      </c>
      <c r="C48" s="21"/>
      <c r="D48" s="128"/>
      <c r="E48" s="54"/>
      <c r="F48" s="64"/>
      <c r="G48" s="69"/>
      <c r="I48" s="21"/>
      <c r="J48" s="128"/>
      <c r="K48" s="54"/>
      <c r="L48" s="64"/>
      <c r="M48" s="69"/>
      <c r="O48" s="21"/>
      <c r="P48" s="128"/>
      <c r="Q48" s="54"/>
      <c r="R48" s="64"/>
      <c r="S48" s="69"/>
      <c r="U48" s="21"/>
      <c r="V48" s="128"/>
      <c r="W48" s="54"/>
      <c r="X48" s="64"/>
      <c r="Y48" s="69"/>
      <c r="AA48" s="21"/>
      <c r="AB48" s="128"/>
      <c r="AC48" s="54"/>
      <c r="AD48" s="64"/>
      <c r="AE48" s="69"/>
      <c r="AG48" s="21"/>
      <c r="AH48" s="128"/>
      <c r="AI48" s="54"/>
      <c r="AJ48" s="64"/>
      <c r="AK48" s="69"/>
      <c r="AM48" s="21"/>
      <c r="AN48" s="128"/>
      <c r="AO48" s="54"/>
      <c r="AP48" s="64"/>
      <c r="AQ48" s="69"/>
      <c r="AS48" s="21"/>
      <c r="AT48" s="128"/>
      <c r="AU48" s="54"/>
      <c r="AV48" s="64"/>
      <c r="AW48" s="69"/>
      <c r="AX48">
        <f t="shared" si="1"/>
        <v>0</v>
      </c>
    </row>
    <row r="49" spans="1:50" x14ac:dyDescent="0.15">
      <c r="A49" s="2" t="s">
        <v>25</v>
      </c>
      <c r="C49" s="21"/>
      <c r="D49" s="128"/>
      <c r="E49" s="54"/>
      <c r="F49" s="64"/>
      <c r="G49" s="69"/>
      <c r="I49" s="21"/>
      <c r="J49" s="128"/>
      <c r="K49" s="54"/>
      <c r="L49" s="64"/>
      <c r="M49" s="69"/>
      <c r="O49" s="21"/>
      <c r="P49" s="128"/>
      <c r="Q49" s="54"/>
      <c r="R49" s="64"/>
      <c r="S49" s="69"/>
      <c r="U49" s="21"/>
      <c r="V49" s="128"/>
      <c r="W49" s="54"/>
      <c r="X49" s="64"/>
      <c r="Y49" s="69"/>
      <c r="AA49" s="21"/>
      <c r="AB49" s="128"/>
      <c r="AC49" s="54"/>
      <c r="AD49" s="64"/>
      <c r="AE49" s="69"/>
      <c r="AG49" s="21"/>
      <c r="AH49" s="128"/>
      <c r="AI49" s="54"/>
      <c r="AJ49" s="64"/>
      <c r="AK49" s="69"/>
      <c r="AM49" s="21"/>
      <c r="AN49" s="128"/>
      <c r="AO49" s="54"/>
      <c r="AP49" s="64"/>
      <c r="AQ49" s="69"/>
      <c r="AS49" s="21"/>
      <c r="AT49" s="128"/>
      <c r="AU49" s="54"/>
      <c r="AV49" s="64"/>
      <c r="AW49" s="69"/>
      <c r="AX49">
        <f t="shared" si="1"/>
        <v>0</v>
      </c>
    </row>
    <row r="50" spans="1:50" x14ac:dyDescent="0.15">
      <c r="A50" s="2" t="s">
        <v>38</v>
      </c>
      <c r="C50" s="21"/>
      <c r="D50" s="128"/>
      <c r="E50" s="54"/>
      <c r="F50" s="64"/>
      <c r="G50" s="69"/>
      <c r="I50" s="21"/>
      <c r="J50" s="128"/>
      <c r="K50" s="54"/>
      <c r="L50" s="64"/>
      <c r="M50" s="69"/>
      <c r="O50" s="21"/>
      <c r="P50" s="128"/>
      <c r="Q50" s="54"/>
      <c r="R50" s="64"/>
      <c r="S50" s="69"/>
      <c r="U50" s="21"/>
      <c r="V50" s="128"/>
      <c r="W50" s="54"/>
      <c r="X50" s="64"/>
      <c r="Y50" s="69"/>
      <c r="AA50" s="21"/>
      <c r="AB50" s="128"/>
      <c r="AC50" s="54"/>
      <c r="AD50" s="64"/>
      <c r="AE50" s="69"/>
      <c r="AG50" s="21"/>
      <c r="AH50" s="128"/>
      <c r="AI50" s="54"/>
      <c r="AJ50" s="64"/>
      <c r="AK50" s="69"/>
      <c r="AM50" s="21"/>
      <c r="AN50" s="128"/>
      <c r="AO50" s="54"/>
      <c r="AP50" s="64"/>
      <c r="AQ50" s="69"/>
      <c r="AS50" s="21"/>
      <c r="AT50" s="128"/>
      <c r="AU50" s="54"/>
      <c r="AV50" s="64"/>
      <c r="AW50" s="69"/>
      <c r="AX50">
        <f t="shared" si="1"/>
        <v>0</v>
      </c>
    </row>
    <row r="51" spans="1:50" x14ac:dyDescent="0.15">
      <c r="A51" s="2" t="s">
        <v>27</v>
      </c>
      <c r="C51" s="21"/>
      <c r="D51" s="128"/>
      <c r="E51" s="54"/>
      <c r="F51" s="64"/>
      <c r="G51" s="69"/>
      <c r="I51" s="21"/>
      <c r="J51" s="128"/>
      <c r="K51" s="54"/>
      <c r="L51" s="64"/>
      <c r="M51" s="69"/>
      <c r="O51" s="21"/>
      <c r="P51" s="128"/>
      <c r="Q51" s="54"/>
      <c r="R51" s="64"/>
      <c r="S51" s="69"/>
      <c r="U51" s="21"/>
      <c r="V51" s="128"/>
      <c r="W51" s="54"/>
      <c r="X51" s="64"/>
      <c r="Y51" s="69"/>
      <c r="AA51" s="21"/>
      <c r="AB51" s="128"/>
      <c r="AC51" s="54"/>
      <c r="AD51" s="64"/>
      <c r="AE51" s="69"/>
      <c r="AG51" s="21"/>
      <c r="AH51" s="128"/>
      <c r="AI51" s="54"/>
      <c r="AJ51" s="64"/>
      <c r="AK51" s="69"/>
      <c r="AM51" s="21"/>
      <c r="AN51" s="128"/>
      <c r="AO51" s="54"/>
      <c r="AP51" s="64"/>
      <c r="AQ51" s="69"/>
      <c r="AS51" s="21"/>
      <c r="AT51" s="128"/>
      <c r="AU51" s="54"/>
      <c r="AV51" s="64"/>
      <c r="AW51" s="69"/>
      <c r="AX51">
        <f t="shared" si="1"/>
        <v>0</v>
      </c>
    </row>
    <row r="52" spans="1:50" x14ac:dyDescent="0.15">
      <c r="A52" s="2" t="s">
        <v>229</v>
      </c>
      <c r="C52" s="21"/>
      <c r="D52" s="128"/>
      <c r="E52" s="54"/>
      <c r="F52" s="64"/>
      <c r="G52" s="69"/>
      <c r="I52" s="21"/>
      <c r="J52" s="128"/>
      <c r="K52" s="54"/>
      <c r="L52" s="64"/>
      <c r="M52" s="69"/>
      <c r="O52" s="21"/>
      <c r="P52" s="128"/>
      <c r="Q52" s="54"/>
      <c r="R52" s="64"/>
      <c r="S52" s="69"/>
      <c r="U52" s="21"/>
      <c r="V52" s="128"/>
      <c r="W52" s="54"/>
      <c r="X52" s="64"/>
      <c r="Y52" s="69"/>
      <c r="AA52" s="21"/>
      <c r="AB52" s="128"/>
      <c r="AC52" s="54"/>
      <c r="AD52" s="64"/>
      <c r="AE52" s="69"/>
      <c r="AG52" s="21"/>
      <c r="AH52" s="128"/>
      <c r="AI52" s="54"/>
      <c r="AJ52" s="64"/>
      <c r="AK52" s="69"/>
      <c r="AM52" s="21"/>
      <c r="AN52" s="128"/>
      <c r="AO52" s="54"/>
      <c r="AP52" s="64"/>
      <c r="AQ52" s="69"/>
      <c r="AS52" s="21"/>
      <c r="AT52" s="128"/>
      <c r="AU52" s="54"/>
      <c r="AV52" s="64"/>
      <c r="AW52" s="69"/>
      <c r="AX52">
        <f t="shared" si="1"/>
        <v>0</v>
      </c>
    </row>
    <row r="53" spans="1:50" x14ac:dyDescent="0.15">
      <c r="A53" s="2" t="s">
        <v>36</v>
      </c>
      <c r="C53" s="21"/>
      <c r="D53" s="128"/>
      <c r="E53" s="54"/>
      <c r="F53" s="64"/>
      <c r="G53" s="69"/>
      <c r="I53" s="21"/>
      <c r="J53" s="128"/>
      <c r="K53" s="54"/>
      <c r="L53" s="64"/>
      <c r="M53" s="69"/>
      <c r="O53" s="21"/>
      <c r="P53" s="128"/>
      <c r="Q53" s="54"/>
      <c r="R53" s="64"/>
      <c r="S53" s="69"/>
      <c r="U53" s="21"/>
      <c r="V53" s="128"/>
      <c r="W53" s="54"/>
      <c r="X53" s="64"/>
      <c r="Y53" s="69"/>
      <c r="AA53" s="21"/>
      <c r="AB53" s="128"/>
      <c r="AC53" s="54"/>
      <c r="AD53" s="64"/>
      <c r="AE53" s="69"/>
      <c r="AG53" s="21"/>
      <c r="AH53" s="128"/>
      <c r="AI53" s="54"/>
      <c r="AJ53" s="64"/>
      <c r="AK53" s="69"/>
      <c r="AM53" s="21"/>
      <c r="AN53" s="128"/>
      <c r="AO53" s="54"/>
      <c r="AP53" s="64"/>
      <c r="AQ53" s="69"/>
      <c r="AS53" s="21"/>
      <c r="AT53" s="128"/>
      <c r="AU53" s="54"/>
      <c r="AV53" s="64"/>
      <c r="AW53" s="69"/>
      <c r="AX53">
        <f t="shared" si="1"/>
        <v>0</v>
      </c>
    </row>
    <row r="54" spans="1:50" x14ac:dyDescent="0.15">
      <c r="A54" s="2" t="s">
        <v>50</v>
      </c>
      <c r="C54" s="21"/>
      <c r="D54" s="128"/>
      <c r="E54" s="54"/>
      <c r="F54" s="64"/>
      <c r="G54" s="69"/>
      <c r="I54" s="21"/>
      <c r="J54" s="128"/>
      <c r="K54" s="54"/>
      <c r="L54" s="64"/>
      <c r="M54" s="69"/>
      <c r="O54" s="21"/>
      <c r="P54" s="128"/>
      <c r="Q54" s="54"/>
      <c r="R54" s="64"/>
      <c r="S54" s="69"/>
      <c r="U54" s="21"/>
      <c r="V54" s="128"/>
      <c r="W54" s="54"/>
      <c r="X54" s="64"/>
      <c r="Y54" s="69"/>
      <c r="AA54" s="21"/>
      <c r="AB54" s="128"/>
      <c r="AC54" s="54"/>
      <c r="AD54" s="64"/>
      <c r="AE54" s="69"/>
      <c r="AG54" s="21"/>
      <c r="AH54" s="128"/>
      <c r="AI54" s="54"/>
      <c r="AJ54" s="64"/>
      <c r="AK54" s="69"/>
      <c r="AM54" s="21"/>
      <c r="AN54" s="128"/>
      <c r="AO54" s="54"/>
      <c r="AP54" s="64"/>
      <c r="AQ54" s="69"/>
      <c r="AS54" s="21"/>
      <c r="AT54" s="128"/>
      <c r="AU54" s="54"/>
      <c r="AV54" s="64"/>
      <c r="AW54" s="69"/>
      <c r="AX54">
        <f t="shared" si="1"/>
        <v>0</v>
      </c>
    </row>
    <row r="55" spans="1:50" x14ac:dyDescent="0.15">
      <c r="A55" s="2" t="s">
        <v>231</v>
      </c>
      <c r="C55" s="21"/>
      <c r="D55" s="128"/>
      <c r="E55" s="54"/>
      <c r="F55" s="64"/>
      <c r="G55" s="69"/>
      <c r="I55" s="21"/>
      <c r="J55" s="128"/>
      <c r="K55" s="54"/>
      <c r="L55" s="64"/>
      <c r="M55" s="69"/>
      <c r="O55" s="21"/>
      <c r="P55" s="128"/>
      <c r="Q55" s="54"/>
      <c r="R55" s="64"/>
      <c r="S55" s="69"/>
      <c r="U55" s="21"/>
      <c r="V55" s="128"/>
      <c r="W55" s="54"/>
      <c r="X55" s="64"/>
      <c r="Y55" s="69"/>
      <c r="AA55" s="21"/>
      <c r="AB55" s="128"/>
      <c r="AC55" s="54"/>
      <c r="AD55" s="64"/>
      <c r="AE55" s="69"/>
      <c r="AG55" s="21"/>
      <c r="AH55" s="128"/>
      <c r="AI55" s="54"/>
      <c r="AJ55" s="64"/>
      <c r="AK55" s="69"/>
      <c r="AM55" s="21"/>
      <c r="AN55" s="128"/>
      <c r="AO55" s="54"/>
      <c r="AP55" s="64"/>
      <c r="AQ55" s="69"/>
      <c r="AS55" s="21"/>
      <c r="AT55" s="128"/>
      <c r="AU55" s="54"/>
      <c r="AV55" s="64"/>
      <c r="AW55" s="69"/>
      <c r="AX55">
        <f t="shared" si="1"/>
        <v>0</v>
      </c>
    </row>
    <row r="56" spans="1:50" x14ac:dyDescent="0.15">
      <c r="A56" s="2" t="s">
        <v>190</v>
      </c>
      <c r="C56" s="21"/>
      <c r="D56" s="128"/>
      <c r="E56" s="54"/>
      <c r="F56" s="64"/>
      <c r="G56" s="69"/>
      <c r="I56" s="21"/>
      <c r="J56" s="128"/>
      <c r="K56" s="54"/>
      <c r="L56" s="64"/>
      <c r="M56" s="69"/>
      <c r="O56" s="21"/>
      <c r="P56" s="128"/>
      <c r="Q56" s="54"/>
      <c r="R56" s="64"/>
      <c r="S56" s="69"/>
      <c r="U56" s="21"/>
      <c r="V56" s="128"/>
      <c r="W56" s="54"/>
      <c r="X56" s="64"/>
      <c r="Y56" s="69"/>
      <c r="AA56" s="21"/>
      <c r="AB56" s="128"/>
      <c r="AC56" s="54"/>
      <c r="AD56" s="64"/>
      <c r="AE56" s="69"/>
      <c r="AG56" s="21"/>
      <c r="AH56" s="128"/>
      <c r="AI56" s="54"/>
      <c r="AJ56" s="64"/>
      <c r="AK56" s="69"/>
      <c r="AM56" s="21"/>
      <c r="AN56" s="128"/>
      <c r="AO56" s="54"/>
      <c r="AP56" s="64"/>
      <c r="AQ56" s="69"/>
      <c r="AS56" s="21"/>
      <c r="AT56" s="128"/>
      <c r="AU56" s="54"/>
      <c r="AV56" s="64"/>
      <c r="AW56" s="69"/>
      <c r="AX56">
        <f t="shared" si="1"/>
        <v>0</v>
      </c>
    </row>
    <row r="57" spans="1:50" x14ac:dyDescent="0.15">
      <c r="A57" s="2" t="s">
        <v>58</v>
      </c>
      <c r="C57" s="21"/>
      <c r="D57" s="128"/>
      <c r="E57" s="54"/>
      <c r="F57" s="64"/>
      <c r="G57" s="69"/>
      <c r="I57" s="21"/>
      <c r="J57" s="128"/>
      <c r="K57" s="54"/>
      <c r="L57" s="64"/>
      <c r="M57" s="69"/>
      <c r="O57" s="21"/>
      <c r="P57" s="128"/>
      <c r="Q57" s="54"/>
      <c r="R57" s="64"/>
      <c r="S57" s="69"/>
      <c r="U57" s="21"/>
      <c r="V57" s="128"/>
      <c r="W57" s="54"/>
      <c r="X57" s="64"/>
      <c r="Y57" s="69">
        <v>1</v>
      </c>
      <c r="AA57" s="21"/>
      <c r="AB57" s="128"/>
      <c r="AC57" s="54"/>
      <c r="AD57" s="64"/>
      <c r="AE57" s="69"/>
      <c r="AG57" s="21"/>
      <c r="AH57" s="128"/>
      <c r="AI57" s="54"/>
      <c r="AJ57" s="64"/>
      <c r="AK57" s="69"/>
      <c r="AM57" s="21"/>
      <c r="AN57" s="128"/>
      <c r="AO57" s="54"/>
      <c r="AP57" s="64"/>
      <c r="AQ57" s="69"/>
      <c r="AS57" s="21"/>
      <c r="AT57" s="128"/>
      <c r="AU57" s="54"/>
      <c r="AV57" s="64"/>
      <c r="AW57" s="69"/>
      <c r="AX57">
        <f t="shared" si="1"/>
        <v>1</v>
      </c>
    </row>
    <row r="58" spans="1:50" x14ac:dyDescent="0.15">
      <c r="A58" s="2" t="s">
        <v>57</v>
      </c>
      <c r="C58" s="21"/>
      <c r="D58" s="128"/>
      <c r="E58" s="54"/>
      <c r="F58" s="64"/>
      <c r="G58" s="69"/>
      <c r="I58" s="21"/>
      <c r="J58" s="128"/>
      <c r="K58" s="54"/>
      <c r="L58" s="64"/>
      <c r="M58" s="69"/>
      <c r="O58" s="21"/>
      <c r="P58" s="128"/>
      <c r="Q58" s="54"/>
      <c r="R58" s="64"/>
      <c r="S58" s="69"/>
      <c r="U58" s="21"/>
      <c r="V58" s="128"/>
      <c r="W58" s="54"/>
      <c r="X58" s="64"/>
      <c r="Y58" s="69"/>
      <c r="AA58" s="21"/>
      <c r="AB58" s="128"/>
      <c r="AC58" s="54"/>
      <c r="AD58" s="64"/>
      <c r="AE58" s="69"/>
      <c r="AG58" s="21"/>
      <c r="AH58" s="128"/>
      <c r="AI58" s="54"/>
      <c r="AJ58" s="64"/>
      <c r="AK58" s="69"/>
      <c r="AM58" s="21"/>
      <c r="AN58" s="128"/>
      <c r="AO58" s="54"/>
      <c r="AP58" s="64"/>
      <c r="AQ58" s="69"/>
      <c r="AS58" s="21"/>
      <c r="AT58" s="128"/>
      <c r="AU58" s="54"/>
      <c r="AV58" s="64"/>
      <c r="AW58" s="69"/>
      <c r="AX58">
        <f t="shared" si="1"/>
        <v>0</v>
      </c>
    </row>
    <row r="59" spans="1:50" x14ac:dyDescent="0.15">
      <c r="A59" s="2" t="s">
        <v>28</v>
      </c>
      <c r="C59" s="21"/>
      <c r="D59" s="128"/>
      <c r="E59" s="54"/>
      <c r="F59" s="64"/>
      <c r="G59" s="69"/>
      <c r="I59" s="21"/>
      <c r="J59" s="128"/>
      <c r="K59" s="54"/>
      <c r="L59" s="64"/>
      <c r="M59" s="69"/>
      <c r="O59" s="21"/>
      <c r="P59" s="128"/>
      <c r="Q59" s="54"/>
      <c r="R59" s="64"/>
      <c r="S59" s="69"/>
      <c r="U59" s="21"/>
      <c r="V59" s="128"/>
      <c r="W59" s="54"/>
      <c r="X59" s="64"/>
      <c r="Y59" s="69"/>
      <c r="AA59" s="21"/>
      <c r="AB59" s="128"/>
      <c r="AC59" s="54"/>
      <c r="AD59" s="64"/>
      <c r="AE59" s="69"/>
      <c r="AG59" s="21"/>
      <c r="AH59" s="128"/>
      <c r="AI59" s="54"/>
      <c r="AJ59" s="64"/>
      <c r="AK59" s="69"/>
      <c r="AM59" s="21"/>
      <c r="AN59" s="128"/>
      <c r="AO59" s="54"/>
      <c r="AP59" s="64"/>
      <c r="AQ59" s="69"/>
      <c r="AS59" s="21"/>
      <c r="AT59" s="128"/>
      <c r="AU59" s="54"/>
      <c r="AV59" s="64"/>
      <c r="AW59" s="69"/>
      <c r="AX59">
        <f t="shared" si="1"/>
        <v>0</v>
      </c>
    </row>
    <row r="60" spans="1:50" x14ac:dyDescent="0.15">
      <c r="A60" s="2" t="s">
        <v>194</v>
      </c>
      <c r="C60" s="21"/>
      <c r="D60" s="128"/>
      <c r="E60" s="54"/>
      <c r="F60" s="64"/>
      <c r="G60" s="69"/>
      <c r="I60" s="21"/>
      <c r="J60" s="128"/>
      <c r="K60" s="54"/>
      <c r="L60" s="64"/>
      <c r="M60" s="69"/>
      <c r="O60" s="21"/>
      <c r="P60" s="128"/>
      <c r="Q60" s="54"/>
      <c r="R60" s="64"/>
      <c r="S60" s="69"/>
      <c r="U60" s="21"/>
      <c r="V60" s="128"/>
      <c r="W60" s="54"/>
      <c r="X60" s="64"/>
      <c r="Y60" s="69"/>
      <c r="AA60" s="21"/>
      <c r="AB60" s="128"/>
      <c r="AC60" s="54"/>
      <c r="AD60" s="64"/>
      <c r="AE60" s="69"/>
      <c r="AG60" s="21"/>
      <c r="AH60" s="128"/>
      <c r="AI60" s="54"/>
      <c r="AJ60" s="64"/>
      <c r="AK60" s="69"/>
      <c r="AM60" s="21"/>
      <c r="AN60" s="128"/>
      <c r="AO60" s="54"/>
      <c r="AP60" s="64"/>
      <c r="AQ60" s="69"/>
      <c r="AS60" s="21"/>
      <c r="AT60" s="128"/>
      <c r="AU60" s="54"/>
      <c r="AV60" s="64"/>
      <c r="AW60" s="69"/>
      <c r="AX60">
        <f t="shared" si="1"/>
        <v>0</v>
      </c>
    </row>
    <row r="61" spans="1:50" x14ac:dyDescent="0.15">
      <c r="A61" s="2" t="s">
        <v>10</v>
      </c>
      <c r="C61" s="21"/>
      <c r="D61" s="128"/>
      <c r="E61" s="54"/>
      <c r="F61" s="64"/>
      <c r="G61" s="69"/>
      <c r="I61" s="21"/>
      <c r="J61" s="128"/>
      <c r="K61" s="54"/>
      <c r="L61" s="64"/>
      <c r="M61" s="69"/>
      <c r="O61" s="21"/>
      <c r="P61" s="128"/>
      <c r="Q61" s="54"/>
      <c r="R61" s="64"/>
      <c r="S61" s="69"/>
      <c r="U61" s="21"/>
      <c r="V61" s="128"/>
      <c r="W61" s="54"/>
      <c r="X61" s="64"/>
      <c r="Y61" s="69"/>
      <c r="AA61" s="21"/>
      <c r="AB61" s="128"/>
      <c r="AC61" s="54"/>
      <c r="AD61" s="64"/>
      <c r="AE61" s="69"/>
      <c r="AG61" s="21"/>
      <c r="AH61" s="128"/>
      <c r="AI61" s="54"/>
      <c r="AJ61" s="64"/>
      <c r="AK61" s="69"/>
      <c r="AM61" s="21"/>
      <c r="AN61" s="128"/>
      <c r="AO61" s="54"/>
      <c r="AP61" s="64"/>
      <c r="AQ61" s="69"/>
      <c r="AS61" s="21"/>
      <c r="AT61" s="128"/>
      <c r="AU61" s="54"/>
      <c r="AV61" s="64"/>
      <c r="AW61" s="69"/>
      <c r="AX61">
        <f t="shared" si="1"/>
        <v>0</v>
      </c>
    </row>
    <row r="62" spans="1:50" x14ac:dyDescent="0.15">
      <c r="A62" s="5" t="s">
        <v>174</v>
      </c>
      <c r="B62" s="114"/>
      <c r="C62" s="115"/>
      <c r="D62" s="111"/>
      <c r="E62" s="112"/>
      <c r="F62" s="113"/>
      <c r="G62" s="145"/>
      <c r="H62" s="114"/>
      <c r="I62" s="115"/>
      <c r="J62" s="111"/>
      <c r="K62" s="112"/>
      <c r="L62" s="113"/>
      <c r="M62" s="145"/>
      <c r="N62" s="114"/>
      <c r="O62" s="115"/>
      <c r="P62" s="111"/>
      <c r="Q62" s="112"/>
      <c r="R62" s="113"/>
      <c r="S62" s="145"/>
      <c r="T62" s="114"/>
      <c r="U62" s="115"/>
      <c r="V62" s="111"/>
      <c r="W62" s="112"/>
      <c r="X62" s="113"/>
      <c r="Y62" s="145"/>
      <c r="Z62" s="114"/>
      <c r="AA62" s="115"/>
      <c r="AB62" s="111"/>
      <c r="AC62" s="112"/>
      <c r="AD62" s="113"/>
      <c r="AE62" s="145"/>
      <c r="AF62" s="114"/>
      <c r="AG62" s="115"/>
      <c r="AH62" s="111"/>
      <c r="AI62" s="112"/>
      <c r="AJ62" s="113"/>
      <c r="AK62" s="145"/>
      <c r="AL62" s="114"/>
      <c r="AM62" s="115"/>
      <c r="AN62" s="111"/>
      <c r="AO62" s="112"/>
      <c r="AP62" s="113"/>
      <c r="AQ62" s="145"/>
      <c r="AR62" s="114"/>
      <c r="AS62" s="115"/>
      <c r="AT62" s="111"/>
      <c r="AU62" s="112"/>
      <c r="AV62" s="113"/>
      <c r="AW62" s="145"/>
      <c r="AX62">
        <f t="shared" si="1"/>
        <v>0</v>
      </c>
    </row>
    <row r="63" spans="1:50" x14ac:dyDescent="0.15">
      <c r="A63" s="2" t="s">
        <v>22</v>
      </c>
      <c r="C63" s="21"/>
      <c r="D63" s="128"/>
      <c r="E63" s="54"/>
      <c r="F63" s="64"/>
      <c r="G63" s="69"/>
      <c r="I63" s="21"/>
      <c r="J63" s="128"/>
      <c r="K63" s="54"/>
      <c r="L63" s="64"/>
      <c r="M63" s="69"/>
      <c r="O63" s="21"/>
      <c r="P63" s="128"/>
      <c r="Q63" s="54"/>
      <c r="R63" s="64"/>
      <c r="S63" s="69"/>
      <c r="U63" s="21"/>
      <c r="V63" s="128"/>
      <c r="W63" s="54"/>
      <c r="X63" s="64"/>
      <c r="Y63" s="69"/>
      <c r="AA63" s="21"/>
      <c r="AB63" s="128"/>
      <c r="AC63" s="54"/>
      <c r="AD63" s="64"/>
      <c r="AE63" s="69"/>
      <c r="AG63" s="21"/>
      <c r="AH63" s="128"/>
      <c r="AI63" s="54"/>
      <c r="AJ63" s="64"/>
      <c r="AK63" s="69"/>
      <c r="AM63" s="21"/>
      <c r="AN63" s="128"/>
      <c r="AO63" s="54"/>
      <c r="AP63" s="64"/>
      <c r="AQ63" s="69"/>
      <c r="AS63" s="21"/>
      <c r="AT63" s="128"/>
      <c r="AU63" s="54"/>
      <c r="AV63" s="64"/>
      <c r="AW63" s="69"/>
      <c r="AX63">
        <f t="shared" si="1"/>
        <v>0</v>
      </c>
    </row>
    <row r="64" spans="1:50" x14ac:dyDescent="0.15">
      <c r="A64" s="5" t="s">
        <v>132</v>
      </c>
      <c r="C64" s="21"/>
      <c r="D64" s="128"/>
      <c r="E64" s="54"/>
      <c r="F64" s="64"/>
      <c r="G64" s="69"/>
      <c r="I64" s="21"/>
      <c r="J64" s="128"/>
      <c r="K64" s="54"/>
      <c r="L64" s="64"/>
      <c r="M64" s="69"/>
      <c r="O64" s="21"/>
      <c r="P64" s="128"/>
      <c r="Q64" s="54"/>
      <c r="R64" s="64"/>
      <c r="S64" s="69"/>
      <c r="U64" s="21"/>
      <c r="V64" s="128"/>
      <c r="W64" s="54"/>
      <c r="X64" s="64"/>
      <c r="Y64" s="69"/>
      <c r="AA64" s="21"/>
      <c r="AB64" s="128"/>
      <c r="AC64" s="54"/>
      <c r="AD64" s="64"/>
      <c r="AE64" s="69"/>
      <c r="AG64" s="21"/>
      <c r="AH64" s="128"/>
      <c r="AI64" s="54"/>
      <c r="AJ64" s="64"/>
      <c r="AK64" s="69"/>
      <c r="AM64" s="21"/>
      <c r="AN64" s="128"/>
      <c r="AO64" s="54"/>
      <c r="AP64" s="64"/>
      <c r="AQ64" s="69"/>
      <c r="AS64" s="21"/>
      <c r="AT64" s="128"/>
      <c r="AU64" s="54"/>
      <c r="AV64" s="64"/>
      <c r="AW64" s="69"/>
      <c r="AX64">
        <f t="shared" si="1"/>
        <v>0</v>
      </c>
    </row>
    <row r="65" spans="1:50" x14ac:dyDescent="0.15">
      <c r="A65" s="5" t="s">
        <v>191</v>
      </c>
      <c r="C65" s="21"/>
      <c r="D65" s="128"/>
      <c r="E65" s="54"/>
      <c r="F65" s="64"/>
      <c r="G65" s="69"/>
      <c r="I65" s="21"/>
      <c r="J65" s="128"/>
      <c r="K65" s="54"/>
      <c r="L65" s="64"/>
      <c r="M65" s="69"/>
      <c r="O65" s="21"/>
      <c r="P65" s="128"/>
      <c r="Q65" s="54"/>
      <c r="R65" s="64"/>
      <c r="S65" s="69"/>
      <c r="U65" s="21"/>
      <c r="V65" s="128"/>
      <c r="W65" s="54"/>
      <c r="X65" s="64"/>
      <c r="Y65" s="69"/>
      <c r="AA65" s="21"/>
      <c r="AB65" s="128"/>
      <c r="AC65" s="54"/>
      <c r="AD65" s="64"/>
      <c r="AE65" s="69"/>
      <c r="AG65" s="21"/>
      <c r="AH65" s="128"/>
      <c r="AI65" s="54"/>
      <c r="AJ65" s="64"/>
      <c r="AK65" s="69"/>
      <c r="AM65" s="21"/>
      <c r="AN65" s="128"/>
      <c r="AO65" s="54"/>
      <c r="AP65" s="64"/>
      <c r="AQ65" s="69"/>
      <c r="AS65" s="21"/>
      <c r="AT65" s="128"/>
      <c r="AU65" s="54"/>
      <c r="AV65" s="64"/>
      <c r="AW65" s="69"/>
      <c r="AX65">
        <f t="shared" si="1"/>
        <v>0</v>
      </c>
    </row>
    <row r="66" spans="1:50" x14ac:dyDescent="0.15">
      <c r="A66" s="5" t="s">
        <v>218</v>
      </c>
      <c r="C66" s="21"/>
      <c r="D66" s="128"/>
      <c r="E66" s="54"/>
      <c r="F66" s="64"/>
      <c r="G66" s="69"/>
      <c r="I66" s="21"/>
      <c r="J66" s="128"/>
      <c r="K66" s="54"/>
      <c r="L66" s="64"/>
      <c r="M66" s="69"/>
      <c r="O66" s="21"/>
      <c r="P66" s="128"/>
      <c r="Q66" s="54"/>
      <c r="R66" s="64"/>
      <c r="S66" s="69"/>
      <c r="U66" s="21"/>
      <c r="V66" s="128"/>
      <c r="W66" s="54"/>
      <c r="X66" s="64"/>
      <c r="Y66" s="69"/>
      <c r="AA66" s="21"/>
      <c r="AB66" s="128"/>
      <c r="AC66" s="54"/>
      <c r="AD66" s="64"/>
      <c r="AE66" s="69"/>
      <c r="AG66" s="21"/>
      <c r="AH66" s="128"/>
      <c r="AI66" s="54"/>
      <c r="AJ66" s="64"/>
      <c r="AK66" s="69"/>
      <c r="AM66" s="21"/>
      <c r="AN66" s="128"/>
      <c r="AO66" s="54"/>
      <c r="AP66" s="64"/>
      <c r="AQ66" s="69"/>
      <c r="AS66" s="21"/>
      <c r="AT66" s="128"/>
      <c r="AU66" s="54"/>
      <c r="AV66" s="64"/>
      <c r="AW66" s="69"/>
      <c r="AX66">
        <f t="shared" si="1"/>
        <v>0</v>
      </c>
    </row>
    <row r="67" spans="1:50" x14ac:dyDescent="0.15">
      <c r="A67" s="5" t="s">
        <v>203</v>
      </c>
      <c r="C67" s="21"/>
      <c r="D67" s="128"/>
      <c r="E67" s="54"/>
      <c r="F67" s="64"/>
      <c r="G67" s="69"/>
      <c r="I67" s="21"/>
      <c r="J67" s="128"/>
      <c r="K67" s="54"/>
      <c r="L67" s="64"/>
      <c r="M67" s="69"/>
      <c r="O67" s="21"/>
      <c r="P67" s="128"/>
      <c r="Q67" s="54"/>
      <c r="R67" s="64"/>
      <c r="S67" s="69"/>
      <c r="U67" s="21"/>
      <c r="V67" s="128"/>
      <c r="W67" s="54"/>
      <c r="X67" s="64"/>
      <c r="Y67" s="69"/>
      <c r="AA67" s="21"/>
      <c r="AB67" s="128"/>
      <c r="AC67" s="54"/>
      <c r="AD67" s="64"/>
      <c r="AE67" s="69"/>
      <c r="AG67" s="21"/>
      <c r="AH67" s="128"/>
      <c r="AI67" s="54"/>
      <c r="AJ67" s="64"/>
      <c r="AK67" s="69"/>
      <c r="AM67" s="21"/>
      <c r="AN67" s="128"/>
      <c r="AO67" s="54"/>
      <c r="AP67" s="64"/>
      <c r="AQ67" s="69"/>
      <c r="AS67" s="21"/>
      <c r="AT67" s="128"/>
      <c r="AU67" s="54"/>
      <c r="AV67" s="64"/>
      <c r="AW67" s="69"/>
      <c r="AX67">
        <f t="shared" si="1"/>
        <v>0</v>
      </c>
    </row>
    <row r="68" spans="1:50" x14ac:dyDescent="0.15">
      <c r="A68" s="2" t="s">
        <v>23</v>
      </c>
      <c r="C68" s="21"/>
      <c r="D68" s="128"/>
      <c r="E68" s="54"/>
      <c r="F68" s="64"/>
      <c r="G68" s="69"/>
      <c r="I68" s="21"/>
      <c r="J68" s="128"/>
      <c r="K68" s="54"/>
      <c r="L68" s="64"/>
      <c r="M68" s="69"/>
      <c r="O68" s="21"/>
      <c r="P68" s="128"/>
      <c r="Q68" s="54"/>
      <c r="R68" s="64"/>
      <c r="S68" s="69"/>
      <c r="U68" s="21"/>
      <c r="V68" s="128"/>
      <c r="W68" s="54"/>
      <c r="X68" s="64"/>
      <c r="Y68" s="69"/>
      <c r="AA68" s="21"/>
      <c r="AB68" s="128"/>
      <c r="AC68" s="54"/>
      <c r="AD68" s="64"/>
      <c r="AE68" s="69"/>
      <c r="AG68" s="21"/>
      <c r="AH68" s="128"/>
      <c r="AI68" s="54"/>
      <c r="AJ68" s="64"/>
      <c r="AK68" s="69"/>
      <c r="AM68" s="21"/>
      <c r="AN68" s="128"/>
      <c r="AO68" s="54"/>
      <c r="AP68" s="64"/>
      <c r="AQ68" s="69"/>
      <c r="AS68" s="21"/>
      <c r="AT68" s="128"/>
      <c r="AU68" s="54"/>
      <c r="AV68" s="64"/>
      <c r="AW68" s="69"/>
      <c r="AX68">
        <f t="shared" si="1"/>
        <v>0</v>
      </c>
    </row>
    <row r="69" spans="1:50" x14ac:dyDescent="0.15">
      <c r="A69" s="2" t="s">
        <v>208</v>
      </c>
      <c r="C69" s="21"/>
      <c r="D69" s="128"/>
      <c r="E69" s="54"/>
      <c r="F69" s="64"/>
      <c r="G69" s="69"/>
      <c r="I69" s="21"/>
      <c r="J69" s="128"/>
      <c r="K69" s="54"/>
      <c r="L69" s="64"/>
      <c r="M69" s="69"/>
      <c r="O69" s="21"/>
      <c r="P69" s="128"/>
      <c r="Q69" s="54"/>
      <c r="R69" s="64"/>
      <c r="S69" s="69"/>
      <c r="U69" s="21"/>
      <c r="V69" s="128"/>
      <c r="W69" s="54"/>
      <c r="X69" s="64"/>
      <c r="Y69" s="69"/>
      <c r="AA69" s="21"/>
      <c r="AB69" s="128"/>
      <c r="AC69" s="54"/>
      <c r="AD69" s="64"/>
      <c r="AE69" s="69"/>
      <c r="AG69" s="21"/>
      <c r="AH69" s="128"/>
      <c r="AI69" s="54"/>
      <c r="AJ69" s="64"/>
      <c r="AK69" s="69"/>
      <c r="AM69" s="21"/>
      <c r="AN69" s="128"/>
      <c r="AO69" s="54"/>
      <c r="AP69" s="64"/>
      <c r="AQ69" s="69"/>
      <c r="AS69" s="21"/>
      <c r="AT69" s="128"/>
      <c r="AU69" s="54"/>
      <c r="AV69" s="64"/>
      <c r="AW69" s="69"/>
      <c r="AX69">
        <f t="shared" si="1"/>
        <v>0</v>
      </c>
    </row>
    <row r="70" spans="1:50" x14ac:dyDescent="0.15">
      <c r="A70" s="2" t="s">
        <v>41</v>
      </c>
      <c r="C70" s="21"/>
      <c r="D70" s="128"/>
      <c r="E70" s="54"/>
      <c r="F70" s="64"/>
      <c r="G70" s="69"/>
      <c r="I70" s="21"/>
      <c r="J70" s="128"/>
      <c r="K70" s="54"/>
      <c r="L70" s="64"/>
      <c r="M70" s="69"/>
      <c r="O70" s="21"/>
      <c r="P70" s="128"/>
      <c r="Q70" s="54"/>
      <c r="R70" s="64"/>
      <c r="S70" s="69"/>
      <c r="U70" s="21"/>
      <c r="V70" s="128"/>
      <c r="W70" s="54"/>
      <c r="X70" s="64"/>
      <c r="Y70" s="69"/>
      <c r="AA70" s="21"/>
      <c r="AB70" s="128"/>
      <c r="AC70" s="54"/>
      <c r="AD70" s="64"/>
      <c r="AE70" s="69"/>
      <c r="AG70" s="21"/>
      <c r="AH70" s="128"/>
      <c r="AI70" s="54"/>
      <c r="AJ70" s="64"/>
      <c r="AK70" s="69"/>
      <c r="AM70" s="21"/>
      <c r="AN70" s="128"/>
      <c r="AO70" s="54"/>
      <c r="AP70" s="64"/>
      <c r="AQ70" s="69"/>
      <c r="AR70">
        <v>3</v>
      </c>
      <c r="AS70" s="21"/>
      <c r="AT70" s="128"/>
      <c r="AU70" s="54"/>
      <c r="AV70" s="64"/>
      <c r="AW70" s="69"/>
      <c r="AX70">
        <f t="shared" si="1"/>
        <v>1</v>
      </c>
    </row>
    <row r="71" spans="1:50" x14ac:dyDescent="0.15">
      <c r="A71" s="5" t="s">
        <v>95</v>
      </c>
      <c r="C71" s="21"/>
      <c r="D71" s="128"/>
      <c r="E71" s="54"/>
      <c r="F71" s="64"/>
      <c r="G71" s="69"/>
      <c r="I71" s="21"/>
      <c r="J71" s="128"/>
      <c r="K71" s="54"/>
      <c r="L71" s="64"/>
      <c r="M71" s="69"/>
      <c r="O71" s="21"/>
      <c r="P71" s="128"/>
      <c r="Q71" s="54"/>
      <c r="R71" s="64"/>
      <c r="S71" s="69"/>
      <c r="U71" s="21"/>
      <c r="V71" s="128"/>
      <c r="W71" s="54"/>
      <c r="X71" s="64"/>
      <c r="Y71" s="69"/>
      <c r="AA71" s="21"/>
      <c r="AB71" s="128"/>
      <c r="AC71" s="54"/>
      <c r="AD71" s="64"/>
      <c r="AE71" s="69"/>
      <c r="AG71" s="21"/>
      <c r="AH71" s="128"/>
      <c r="AI71" s="54"/>
      <c r="AJ71" s="64"/>
      <c r="AK71" s="69"/>
      <c r="AM71" s="21"/>
      <c r="AN71" s="128"/>
      <c r="AO71" s="54"/>
      <c r="AP71" s="64"/>
      <c r="AQ71" s="69"/>
      <c r="AS71" s="21"/>
      <c r="AT71" s="128"/>
      <c r="AU71" s="54"/>
      <c r="AV71" s="64"/>
      <c r="AW71" s="69"/>
      <c r="AX71">
        <f t="shared" ref="AX71:AX84" si="2">COUNTA(B71:AW71)</f>
        <v>0</v>
      </c>
    </row>
    <row r="72" spans="1:50" x14ac:dyDescent="0.15">
      <c r="A72" s="5" t="s">
        <v>111</v>
      </c>
      <c r="C72" s="21"/>
      <c r="D72" s="128"/>
      <c r="E72" s="54"/>
      <c r="F72" s="64"/>
      <c r="G72" s="69"/>
      <c r="I72" s="21"/>
      <c r="J72" s="128"/>
      <c r="K72" s="54"/>
      <c r="L72" s="64"/>
      <c r="M72" s="69"/>
      <c r="O72" s="21"/>
      <c r="P72" s="128"/>
      <c r="Q72" s="54"/>
      <c r="R72" s="64"/>
      <c r="S72" s="69"/>
      <c r="U72" s="21"/>
      <c r="V72" s="128"/>
      <c r="W72" s="54"/>
      <c r="X72" s="64"/>
      <c r="Y72" s="69"/>
      <c r="AA72" s="21"/>
      <c r="AB72" s="128"/>
      <c r="AC72" s="54"/>
      <c r="AD72" s="64"/>
      <c r="AE72" s="69"/>
      <c r="AG72" s="21"/>
      <c r="AH72" s="128"/>
      <c r="AI72" s="54"/>
      <c r="AJ72" s="64"/>
      <c r="AK72" s="69"/>
      <c r="AM72" s="21"/>
      <c r="AN72" s="128"/>
      <c r="AO72" s="54"/>
      <c r="AP72" s="64"/>
      <c r="AQ72" s="69"/>
      <c r="AS72" s="21"/>
      <c r="AT72" s="128"/>
      <c r="AU72" s="54"/>
      <c r="AV72" s="64"/>
      <c r="AW72" s="69"/>
      <c r="AX72">
        <f t="shared" si="2"/>
        <v>0</v>
      </c>
    </row>
    <row r="73" spans="1:50" x14ac:dyDescent="0.15">
      <c r="A73" s="2" t="s">
        <v>7</v>
      </c>
      <c r="C73" s="21"/>
      <c r="D73" s="128"/>
      <c r="E73" s="54"/>
      <c r="F73" s="64"/>
      <c r="G73" s="69"/>
      <c r="I73" s="21"/>
      <c r="J73" s="128"/>
      <c r="K73" s="54"/>
      <c r="L73" s="64"/>
      <c r="M73" s="69">
        <v>1</v>
      </c>
      <c r="N73">
        <v>1</v>
      </c>
      <c r="O73" s="21">
        <v>1</v>
      </c>
      <c r="P73" s="128">
        <v>1</v>
      </c>
      <c r="Q73" s="54">
        <v>1</v>
      </c>
      <c r="R73" s="64">
        <v>1</v>
      </c>
      <c r="S73" s="69">
        <v>1</v>
      </c>
      <c r="T73">
        <v>1</v>
      </c>
      <c r="U73" s="21"/>
      <c r="V73" s="128">
        <v>1</v>
      </c>
      <c r="W73" s="54">
        <v>1</v>
      </c>
      <c r="X73" s="64">
        <v>1</v>
      </c>
      <c r="Y73" s="69">
        <v>1</v>
      </c>
      <c r="AA73" s="21">
        <v>1</v>
      </c>
      <c r="AB73" s="128">
        <v>1</v>
      </c>
      <c r="AC73" s="54">
        <v>1</v>
      </c>
      <c r="AD73" s="64">
        <v>1</v>
      </c>
      <c r="AE73" s="69">
        <v>1</v>
      </c>
      <c r="AG73" s="21"/>
      <c r="AH73" s="128"/>
      <c r="AI73" s="54"/>
      <c r="AJ73" s="64"/>
      <c r="AK73" s="69"/>
      <c r="AM73" s="21">
        <v>2</v>
      </c>
      <c r="AN73" s="128">
        <v>1</v>
      </c>
      <c r="AO73" s="54">
        <v>1</v>
      </c>
      <c r="AP73" s="64">
        <v>2</v>
      </c>
      <c r="AQ73" s="69">
        <v>2</v>
      </c>
      <c r="AR73">
        <v>1</v>
      </c>
      <c r="AS73" s="21">
        <v>2</v>
      </c>
      <c r="AT73" s="128">
        <v>1</v>
      </c>
      <c r="AU73" s="54">
        <v>1</v>
      </c>
      <c r="AV73" s="64">
        <v>1</v>
      </c>
      <c r="AW73" s="69">
        <v>1</v>
      </c>
      <c r="AX73">
        <f t="shared" si="2"/>
        <v>28</v>
      </c>
    </row>
    <row r="74" spans="1:50" x14ac:dyDescent="0.15">
      <c r="A74" s="2" t="s">
        <v>32</v>
      </c>
      <c r="C74" s="21"/>
      <c r="D74" s="128"/>
      <c r="E74" s="54"/>
      <c r="F74" s="64"/>
      <c r="G74" s="69"/>
      <c r="I74" s="21"/>
      <c r="J74" s="128"/>
      <c r="K74" s="54"/>
      <c r="L74" s="64"/>
      <c r="M74" s="69"/>
      <c r="O74" s="21"/>
      <c r="P74" s="128"/>
      <c r="Q74" s="54"/>
      <c r="R74" s="64"/>
      <c r="S74" s="69"/>
      <c r="U74" s="21"/>
      <c r="V74" s="128"/>
      <c r="W74" s="54"/>
      <c r="X74" s="64"/>
      <c r="Y74" s="69"/>
      <c r="AA74" s="21"/>
      <c r="AB74" s="128"/>
      <c r="AC74" s="54"/>
      <c r="AD74" s="64">
        <v>1</v>
      </c>
      <c r="AE74" s="69"/>
      <c r="AG74" s="21"/>
      <c r="AH74" s="128"/>
      <c r="AI74" s="54"/>
      <c r="AJ74" s="64"/>
      <c r="AK74" s="69"/>
      <c r="AM74" s="21"/>
      <c r="AN74" s="128"/>
      <c r="AO74" s="54"/>
      <c r="AP74" s="64"/>
      <c r="AQ74" s="69"/>
      <c r="AS74" s="21"/>
      <c r="AT74" s="128"/>
      <c r="AU74" s="54"/>
      <c r="AV74" s="64"/>
      <c r="AW74" s="69"/>
      <c r="AX74">
        <f t="shared" si="2"/>
        <v>1</v>
      </c>
    </row>
    <row r="75" spans="1:50" x14ac:dyDescent="0.15">
      <c r="A75" s="5" t="s">
        <v>72</v>
      </c>
      <c r="C75" s="21"/>
      <c r="D75" s="128"/>
      <c r="E75" s="54"/>
      <c r="F75" s="64"/>
      <c r="G75" s="69"/>
      <c r="I75" s="21"/>
      <c r="J75" s="128"/>
      <c r="K75" s="54"/>
      <c r="L75" s="64"/>
      <c r="M75" s="69"/>
      <c r="O75" s="21"/>
      <c r="P75" s="128"/>
      <c r="Q75" s="54"/>
      <c r="R75" s="64"/>
      <c r="S75" s="69"/>
      <c r="U75" s="21"/>
      <c r="V75" s="128"/>
      <c r="W75" s="54"/>
      <c r="X75" s="64"/>
      <c r="Y75" s="69"/>
      <c r="AA75" s="21"/>
      <c r="AB75" s="128"/>
      <c r="AC75" s="54"/>
      <c r="AD75" s="64"/>
      <c r="AE75" s="69"/>
      <c r="AG75" s="21"/>
      <c r="AH75" s="128"/>
      <c r="AI75" s="54"/>
      <c r="AJ75" s="64"/>
      <c r="AK75" s="69"/>
      <c r="AM75" s="21"/>
      <c r="AN75" s="128"/>
      <c r="AO75" s="54"/>
      <c r="AP75" s="64"/>
      <c r="AQ75" s="69"/>
      <c r="AS75" s="21"/>
      <c r="AT75" s="128"/>
      <c r="AU75" s="54"/>
      <c r="AV75" s="64"/>
      <c r="AW75" s="69"/>
      <c r="AX75">
        <f t="shared" si="2"/>
        <v>0</v>
      </c>
    </row>
    <row r="76" spans="1:50" x14ac:dyDescent="0.15">
      <c r="A76" s="5" t="s">
        <v>61</v>
      </c>
      <c r="C76" s="21"/>
      <c r="D76" s="128"/>
      <c r="E76" s="54"/>
      <c r="F76" s="64"/>
      <c r="G76" s="69"/>
      <c r="I76" s="21"/>
      <c r="J76" s="128"/>
      <c r="K76" s="54"/>
      <c r="L76" s="64"/>
      <c r="M76" s="69"/>
      <c r="O76" s="21"/>
      <c r="P76" s="128"/>
      <c r="Q76" s="54"/>
      <c r="R76" s="64"/>
      <c r="S76" s="69"/>
      <c r="U76" s="21"/>
      <c r="V76" s="128"/>
      <c r="W76" s="54"/>
      <c r="X76" s="64"/>
      <c r="Y76" s="69"/>
      <c r="AA76" s="21"/>
      <c r="AB76" s="128"/>
      <c r="AC76" s="54"/>
      <c r="AD76" s="64"/>
      <c r="AE76" s="69"/>
      <c r="AG76" s="21"/>
      <c r="AH76" s="128"/>
      <c r="AI76" s="54"/>
      <c r="AJ76" s="64"/>
      <c r="AK76" s="69"/>
      <c r="AM76" s="21"/>
      <c r="AN76" s="128"/>
      <c r="AO76" s="54"/>
      <c r="AP76" s="64"/>
      <c r="AQ76" s="69"/>
      <c r="AS76" s="21"/>
      <c r="AT76" s="128"/>
      <c r="AU76" s="54"/>
      <c r="AV76" s="64"/>
      <c r="AW76" s="69"/>
      <c r="AX76">
        <f t="shared" si="2"/>
        <v>0</v>
      </c>
    </row>
    <row r="77" spans="1:50" x14ac:dyDescent="0.15">
      <c r="A77" s="5" t="s">
        <v>42</v>
      </c>
      <c r="C77" s="21"/>
      <c r="D77" s="128">
        <v>1</v>
      </c>
      <c r="E77" s="54">
        <v>1</v>
      </c>
      <c r="F77" s="64">
        <v>2</v>
      </c>
      <c r="G77" s="69">
        <v>1</v>
      </c>
      <c r="I77" s="21"/>
      <c r="J77" s="128"/>
      <c r="K77" s="54"/>
      <c r="L77" s="64">
        <v>1</v>
      </c>
      <c r="M77" s="69">
        <v>2</v>
      </c>
      <c r="O77" s="21"/>
      <c r="P77" s="128"/>
      <c r="Q77" s="54"/>
      <c r="R77" s="64"/>
      <c r="S77" s="69">
        <v>1</v>
      </c>
      <c r="U77" s="21"/>
      <c r="V77" s="128"/>
      <c r="W77" s="54"/>
      <c r="X77" s="64"/>
      <c r="Y77" s="69"/>
      <c r="AA77" s="21"/>
      <c r="AB77" s="128"/>
      <c r="AC77" s="54"/>
      <c r="AD77" s="64"/>
      <c r="AE77" s="69"/>
      <c r="AG77" s="21"/>
      <c r="AH77" s="128"/>
      <c r="AI77" s="54"/>
      <c r="AJ77" s="64"/>
      <c r="AK77" s="69"/>
      <c r="AM77" s="21"/>
      <c r="AN77" s="128"/>
      <c r="AO77" s="54"/>
      <c r="AP77" s="64"/>
      <c r="AQ77" s="69"/>
      <c r="AS77" s="21">
        <v>2</v>
      </c>
      <c r="AT77" s="128">
        <v>2</v>
      </c>
      <c r="AU77" s="54">
        <v>2</v>
      </c>
      <c r="AV77" s="64">
        <v>2</v>
      </c>
      <c r="AW77" s="69">
        <v>2</v>
      </c>
      <c r="AX77">
        <f t="shared" si="2"/>
        <v>12</v>
      </c>
    </row>
    <row r="78" spans="1:50" x14ac:dyDescent="0.15">
      <c r="A78" s="5" t="s">
        <v>205</v>
      </c>
      <c r="C78" s="21"/>
      <c r="D78" s="128"/>
      <c r="E78" s="54"/>
      <c r="F78" s="64"/>
      <c r="G78" s="69"/>
      <c r="I78" s="21"/>
      <c r="J78" s="128"/>
      <c r="K78" s="54"/>
      <c r="L78" s="64"/>
      <c r="M78" s="69"/>
      <c r="O78" s="21"/>
      <c r="P78" s="128"/>
      <c r="Q78" s="54"/>
      <c r="R78" s="64"/>
      <c r="S78" s="69"/>
      <c r="U78" s="21"/>
      <c r="V78" s="128"/>
      <c r="W78" s="54"/>
      <c r="X78" s="64"/>
      <c r="Y78" s="69">
        <v>1</v>
      </c>
      <c r="AA78" s="21"/>
      <c r="AB78" s="128"/>
      <c r="AC78" s="54"/>
      <c r="AD78" s="64"/>
      <c r="AE78" s="69"/>
      <c r="AG78" s="21"/>
      <c r="AH78" s="128"/>
      <c r="AI78" s="54"/>
      <c r="AJ78" s="64"/>
      <c r="AK78" s="69"/>
      <c r="AM78" s="21"/>
      <c r="AN78" s="128"/>
      <c r="AO78" s="54"/>
      <c r="AP78" s="64"/>
      <c r="AQ78" s="69"/>
      <c r="AS78" s="21"/>
      <c r="AT78" s="128"/>
      <c r="AU78" s="54"/>
      <c r="AV78" s="64"/>
      <c r="AW78" s="69"/>
      <c r="AX78">
        <f t="shared" si="2"/>
        <v>1</v>
      </c>
    </row>
    <row r="79" spans="1:50" x14ac:dyDescent="0.15">
      <c r="A79" s="2" t="s">
        <v>213</v>
      </c>
      <c r="C79" s="21"/>
      <c r="D79" s="128"/>
      <c r="E79" s="54"/>
      <c r="F79" s="64"/>
      <c r="G79" s="69"/>
      <c r="I79" s="21"/>
      <c r="J79" s="128"/>
      <c r="K79" s="54"/>
      <c r="L79" s="64"/>
      <c r="M79" s="69"/>
      <c r="O79" s="21"/>
      <c r="P79" s="128"/>
      <c r="Q79" s="54"/>
      <c r="R79" s="64"/>
      <c r="S79" s="69"/>
      <c r="U79" s="21"/>
      <c r="V79" s="128"/>
      <c r="W79" s="54"/>
      <c r="X79" s="64"/>
      <c r="Y79" s="69"/>
      <c r="AA79" s="21"/>
      <c r="AB79" s="128"/>
      <c r="AC79" s="54"/>
      <c r="AD79" s="64"/>
      <c r="AE79" s="69"/>
      <c r="AG79" s="21"/>
      <c r="AH79" s="128"/>
      <c r="AI79" s="54"/>
      <c r="AJ79" s="64"/>
      <c r="AK79" s="69"/>
      <c r="AM79" s="21"/>
      <c r="AN79" s="128"/>
      <c r="AO79" s="54"/>
      <c r="AP79" s="64"/>
      <c r="AQ79" s="69"/>
      <c r="AS79" s="21"/>
      <c r="AT79" s="128"/>
      <c r="AU79" s="54"/>
      <c r="AV79" s="64"/>
      <c r="AW79" s="69"/>
      <c r="AX79">
        <f t="shared" si="2"/>
        <v>0</v>
      </c>
    </row>
    <row r="80" spans="1:50" x14ac:dyDescent="0.15">
      <c r="A80" s="5" t="s">
        <v>96</v>
      </c>
      <c r="C80" s="21"/>
      <c r="D80" s="128"/>
      <c r="E80" s="54"/>
      <c r="F80" s="64"/>
      <c r="G80" s="69"/>
      <c r="I80" s="21"/>
      <c r="J80" s="128"/>
      <c r="K80" s="54"/>
      <c r="L80" s="64"/>
      <c r="M80" s="69"/>
      <c r="O80" s="21"/>
      <c r="P80" s="128"/>
      <c r="Q80" s="54"/>
      <c r="R80" s="64"/>
      <c r="S80" s="69"/>
      <c r="U80" s="21"/>
      <c r="V80" s="128"/>
      <c r="W80" s="54"/>
      <c r="X80" s="64"/>
      <c r="Y80" s="69"/>
      <c r="AA80" s="21"/>
      <c r="AB80" s="128"/>
      <c r="AC80" s="54"/>
      <c r="AD80" s="64"/>
      <c r="AE80" s="69"/>
      <c r="AG80" s="21"/>
      <c r="AH80" s="128"/>
      <c r="AI80" s="54"/>
      <c r="AJ80" s="64"/>
      <c r="AK80" s="69"/>
      <c r="AM80" s="21"/>
      <c r="AN80" s="128"/>
      <c r="AO80" s="54"/>
      <c r="AP80" s="64"/>
      <c r="AQ80" s="69"/>
      <c r="AS80" s="21"/>
      <c r="AT80" s="128"/>
      <c r="AU80" s="54"/>
      <c r="AV80" s="64"/>
      <c r="AW80" s="69"/>
      <c r="AX80">
        <f t="shared" si="2"/>
        <v>0</v>
      </c>
    </row>
    <row r="81" spans="1:50" x14ac:dyDescent="0.15">
      <c r="A81" s="2" t="s">
        <v>175</v>
      </c>
      <c r="C81" s="21"/>
      <c r="D81" s="128"/>
      <c r="E81" s="54"/>
      <c r="F81" s="64"/>
      <c r="G81" s="69"/>
      <c r="I81" s="21"/>
      <c r="J81" s="128"/>
      <c r="K81" s="54"/>
      <c r="L81" s="64"/>
      <c r="M81" s="69"/>
      <c r="O81" s="21"/>
      <c r="P81" s="128"/>
      <c r="Q81" s="54"/>
      <c r="R81" s="64"/>
      <c r="S81" s="69"/>
      <c r="U81" s="21"/>
      <c r="V81" s="128"/>
      <c r="W81" s="54"/>
      <c r="X81" s="64"/>
      <c r="Y81" s="69"/>
      <c r="AA81" s="21"/>
      <c r="AB81" s="128"/>
      <c r="AC81" s="54"/>
      <c r="AD81" s="64"/>
      <c r="AE81" s="69"/>
      <c r="AG81" s="21"/>
      <c r="AH81" s="128"/>
      <c r="AI81" s="54"/>
      <c r="AJ81" s="64"/>
      <c r="AK81" s="69"/>
      <c r="AM81" s="21"/>
      <c r="AN81" s="128"/>
      <c r="AO81" s="54"/>
      <c r="AP81" s="64"/>
      <c r="AQ81" s="69"/>
      <c r="AS81" s="21"/>
      <c r="AT81" s="128"/>
      <c r="AU81" s="54"/>
      <c r="AV81" s="64"/>
      <c r="AW81" s="69"/>
      <c r="AX81">
        <f t="shared" si="2"/>
        <v>0</v>
      </c>
    </row>
    <row r="82" spans="1:50" x14ac:dyDescent="0.15">
      <c r="A82" s="2" t="s">
        <v>24</v>
      </c>
      <c r="B82">
        <v>3</v>
      </c>
      <c r="C82" s="21">
        <v>1</v>
      </c>
      <c r="D82" s="128">
        <v>1</v>
      </c>
      <c r="E82" s="54">
        <v>1</v>
      </c>
      <c r="F82" s="64"/>
      <c r="G82" s="69">
        <v>2</v>
      </c>
      <c r="H82">
        <v>3</v>
      </c>
      <c r="I82" s="21"/>
      <c r="J82" s="128">
        <v>1</v>
      </c>
      <c r="K82" s="54"/>
      <c r="L82" s="64"/>
      <c r="M82" s="69"/>
      <c r="N82">
        <v>1</v>
      </c>
      <c r="O82" s="21"/>
      <c r="P82" s="128">
        <v>1</v>
      </c>
      <c r="Q82" s="54"/>
      <c r="R82" s="64"/>
      <c r="S82" s="69"/>
      <c r="T82">
        <v>1</v>
      </c>
      <c r="U82" s="21">
        <v>1</v>
      </c>
      <c r="V82" s="128"/>
      <c r="W82" s="54"/>
      <c r="X82" s="64"/>
      <c r="Y82" s="69"/>
      <c r="Z82">
        <v>1</v>
      </c>
      <c r="AA82" s="21">
        <v>1</v>
      </c>
      <c r="AB82" s="128"/>
      <c r="AC82" s="54"/>
      <c r="AD82" s="64"/>
      <c r="AE82" s="69"/>
      <c r="AG82" s="21"/>
      <c r="AH82" s="128"/>
      <c r="AI82" s="54"/>
      <c r="AJ82" s="64"/>
      <c r="AK82" s="69"/>
      <c r="AM82" s="21"/>
      <c r="AN82" s="128"/>
      <c r="AO82" s="54"/>
      <c r="AP82" s="64"/>
      <c r="AQ82" s="69"/>
      <c r="AS82" s="21">
        <v>1</v>
      </c>
      <c r="AT82" s="128"/>
      <c r="AU82" s="54">
        <v>1</v>
      </c>
      <c r="AV82" s="64"/>
      <c r="AW82" s="69"/>
      <c r="AX82">
        <f t="shared" si="2"/>
        <v>15</v>
      </c>
    </row>
    <row r="83" spans="1:50" x14ac:dyDescent="0.15">
      <c r="A83" s="2" t="s">
        <v>189</v>
      </c>
      <c r="C83" s="21"/>
      <c r="D83" s="128">
        <v>1</v>
      </c>
      <c r="E83" s="54">
        <v>3</v>
      </c>
      <c r="F83" s="64">
        <v>1</v>
      </c>
      <c r="G83" s="69">
        <v>1</v>
      </c>
      <c r="I83" s="21"/>
      <c r="J83" s="128"/>
      <c r="K83" s="54"/>
      <c r="L83" s="64"/>
      <c r="M83" s="69"/>
      <c r="O83" s="21"/>
      <c r="P83" s="128"/>
      <c r="Q83" s="54"/>
      <c r="R83" s="64"/>
      <c r="S83" s="69">
        <v>1</v>
      </c>
      <c r="U83" s="21"/>
      <c r="V83" s="128">
        <v>1</v>
      </c>
      <c r="W83" s="54">
        <v>1</v>
      </c>
      <c r="X83" s="64">
        <v>1</v>
      </c>
      <c r="Y83" s="69">
        <v>1</v>
      </c>
      <c r="AA83" s="21"/>
      <c r="AB83" s="128"/>
      <c r="AC83" s="54"/>
      <c r="AD83" s="64">
        <v>1</v>
      </c>
      <c r="AE83" s="69">
        <v>1</v>
      </c>
      <c r="AG83" s="21"/>
      <c r="AH83" s="128"/>
      <c r="AI83" s="54"/>
      <c r="AJ83" s="64"/>
      <c r="AK83" s="69"/>
      <c r="AM83" s="21"/>
      <c r="AN83" s="128"/>
      <c r="AO83" s="54"/>
      <c r="AP83" s="64"/>
      <c r="AQ83" s="69"/>
      <c r="AS83" s="21"/>
      <c r="AT83" s="128"/>
      <c r="AU83" s="54"/>
      <c r="AV83" s="64"/>
      <c r="AW83" s="69">
        <v>1</v>
      </c>
      <c r="AX83">
        <f t="shared" si="2"/>
        <v>12</v>
      </c>
    </row>
    <row r="84" spans="1:50" x14ac:dyDescent="0.15">
      <c r="A84" s="5" t="s">
        <v>202</v>
      </c>
      <c r="C84" s="21"/>
      <c r="D84" s="128"/>
      <c r="E84" s="54"/>
      <c r="F84" s="64"/>
      <c r="G84" s="69"/>
      <c r="H84" s="124"/>
      <c r="I84" s="21"/>
      <c r="J84" s="128"/>
      <c r="K84" s="54"/>
      <c r="L84" s="64"/>
      <c r="M84" s="69"/>
      <c r="O84" s="21"/>
      <c r="P84" s="128"/>
      <c r="Q84" s="54"/>
      <c r="R84" s="64"/>
      <c r="S84" s="69"/>
      <c r="U84" s="21"/>
      <c r="V84" s="128"/>
      <c r="W84" s="54"/>
      <c r="X84" s="64"/>
      <c r="Y84" s="69"/>
      <c r="Z84" s="124"/>
      <c r="AA84" s="21"/>
      <c r="AB84" s="128"/>
      <c r="AC84" s="54"/>
      <c r="AD84" s="64"/>
      <c r="AE84" s="69"/>
      <c r="AG84" s="21"/>
      <c r="AH84" s="128"/>
      <c r="AI84" s="54"/>
      <c r="AJ84" s="64"/>
      <c r="AK84" s="69"/>
      <c r="AM84" s="21"/>
      <c r="AN84" s="128"/>
      <c r="AO84" s="54"/>
      <c r="AP84" s="64"/>
      <c r="AQ84" s="69"/>
      <c r="AT84" s="128"/>
      <c r="AU84" s="54"/>
      <c r="AV84" s="64"/>
      <c r="AW84" s="69"/>
      <c r="AX84">
        <f t="shared" si="2"/>
        <v>0</v>
      </c>
    </row>
    <row r="85" spans="1:50" ht="175.5" x14ac:dyDescent="0.15">
      <c r="A85" t="s">
        <v>8</v>
      </c>
      <c r="C85" s="140" t="s">
        <v>177</v>
      </c>
      <c r="U85" s="140" t="s">
        <v>178</v>
      </c>
    </row>
    <row r="87" spans="1:50" x14ac:dyDescent="0.15">
      <c r="A87">
        <f>COUNTA(A6:A83)</f>
        <v>78</v>
      </c>
    </row>
    <row r="96" spans="1:50" x14ac:dyDescent="0.15">
      <c r="A96" s="3" t="s">
        <v>56</v>
      </c>
      <c r="C96" s="21"/>
      <c r="D96" s="128"/>
      <c r="E96" s="54"/>
      <c r="F96" s="64"/>
      <c r="G96" s="69"/>
      <c r="I96" s="21"/>
      <c r="J96" s="128"/>
      <c r="K96" s="54"/>
      <c r="L96" s="64"/>
      <c r="M96" s="69"/>
      <c r="O96" s="21"/>
      <c r="P96" s="128"/>
      <c r="Q96" s="54"/>
      <c r="R96" s="64"/>
      <c r="S96" s="69"/>
      <c r="U96" s="21"/>
      <c r="V96" s="128"/>
      <c r="W96" s="54"/>
      <c r="X96" s="64"/>
      <c r="Y96" s="69"/>
      <c r="AA96" s="21"/>
      <c r="AB96" s="128"/>
      <c r="AC96" s="54"/>
      <c r="AD96" s="64"/>
      <c r="AE96" s="69"/>
      <c r="AG96" s="21"/>
      <c r="AH96" s="128"/>
      <c r="AI96" s="54"/>
      <c r="AJ96" s="64"/>
      <c r="AK96" s="69"/>
      <c r="AM96" s="21"/>
      <c r="AN96" s="128"/>
      <c r="AO96" s="54"/>
      <c r="AP96" s="64"/>
      <c r="AQ96" s="69"/>
      <c r="AS96" s="21"/>
      <c r="AT96" s="128"/>
      <c r="AU96" s="54"/>
      <c r="AV96" s="64"/>
      <c r="AW96" s="69"/>
    </row>
    <row r="97" spans="1:49" x14ac:dyDescent="0.15">
      <c r="A97" s="5" t="s">
        <v>185</v>
      </c>
      <c r="C97" s="21"/>
      <c r="D97" s="128"/>
      <c r="E97" s="54"/>
      <c r="F97" s="64"/>
      <c r="G97" s="69"/>
      <c r="I97" s="21"/>
      <c r="J97" s="128"/>
      <c r="K97" s="54"/>
      <c r="L97" s="64"/>
      <c r="M97" s="69"/>
      <c r="O97" s="21"/>
      <c r="P97" s="128"/>
      <c r="Q97" s="54"/>
      <c r="R97" s="64"/>
      <c r="S97" s="69"/>
      <c r="U97" s="21"/>
      <c r="V97" s="128"/>
      <c r="W97" s="54"/>
      <c r="X97" s="64"/>
      <c r="Y97" s="69"/>
      <c r="AA97" s="21"/>
      <c r="AB97" s="128"/>
      <c r="AC97" s="54"/>
      <c r="AD97" s="64"/>
      <c r="AE97" s="69"/>
      <c r="AG97" s="21"/>
      <c r="AH97" s="128"/>
      <c r="AI97" s="54"/>
      <c r="AJ97" s="64"/>
      <c r="AK97" s="69"/>
      <c r="AM97" s="21"/>
      <c r="AN97" s="128"/>
      <c r="AO97" s="54"/>
      <c r="AP97" s="64"/>
      <c r="AQ97" s="69"/>
      <c r="AS97" s="21"/>
      <c r="AT97" s="128"/>
      <c r="AU97" s="54"/>
      <c r="AV97" s="64"/>
      <c r="AW97" s="69"/>
    </row>
    <row r="98" spans="1:49" x14ac:dyDescent="0.15">
      <c r="A98" s="7" t="s">
        <v>47</v>
      </c>
      <c r="C98" s="21"/>
      <c r="D98" s="128"/>
      <c r="E98" s="54"/>
      <c r="F98" s="64"/>
      <c r="G98" s="69"/>
      <c r="I98" s="21"/>
      <c r="J98" s="128"/>
      <c r="K98" s="54"/>
      <c r="L98" s="64"/>
      <c r="M98" s="69"/>
      <c r="O98" s="21"/>
      <c r="P98" s="128"/>
      <c r="Q98" s="54"/>
      <c r="R98" s="64"/>
      <c r="S98" s="69"/>
      <c r="U98" s="21"/>
      <c r="V98" s="128"/>
      <c r="W98" s="54"/>
      <c r="X98" s="64"/>
      <c r="Y98" s="69"/>
      <c r="AA98" s="21"/>
      <c r="AB98" s="128"/>
      <c r="AC98" s="54"/>
      <c r="AD98" s="64"/>
      <c r="AE98" s="69"/>
      <c r="AG98" s="21"/>
      <c r="AH98" s="128"/>
      <c r="AI98" s="54"/>
      <c r="AJ98" s="64"/>
      <c r="AK98" s="69"/>
      <c r="AM98" s="21"/>
      <c r="AN98" s="128"/>
      <c r="AO98" s="54"/>
      <c r="AP98" s="64"/>
      <c r="AQ98" s="69"/>
      <c r="AS98" s="21"/>
      <c r="AT98" s="128"/>
      <c r="AU98" s="54"/>
      <c r="AV98" s="64"/>
      <c r="AW98" s="69"/>
    </row>
    <row r="99" spans="1:49" x14ac:dyDescent="0.15">
      <c r="A99" s="39" t="s">
        <v>29</v>
      </c>
      <c r="C99" s="21"/>
      <c r="D99" s="128"/>
      <c r="E99" s="54"/>
      <c r="F99" s="64"/>
      <c r="G99" s="69"/>
      <c r="I99" s="21"/>
      <c r="J99" s="128"/>
      <c r="K99" s="54"/>
      <c r="L99" s="64"/>
      <c r="M99" s="69"/>
      <c r="O99" s="21"/>
      <c r="P99" s="128"/>
      <c r="Q99" s="54"/>
      <c r="R99" s="64"/>
      <c r="S99" s="69"/>
      <c r="U99" s="21"/>
      <c r="V99" s="128"/>
      <c r="W99" s="54"/>
      <c r="X99" s="64"/>
      <c r="Y99" s="69"/>
      <c r="AA99" s="21"/>
      <c r="AB99" s="128"/>
      <c r="AC99" s="54"/>
      <c r="AD99" s="64"/>
      <c r="AE99" s="69"/>
      <c r="AG99" s="21"/>
      <c r="AH99" s="128"/>
      <c r="AI99" s="54"/>
      <c r="AJ99" s="64"/>
      <c r="AK99" s="69"/>
      <c r="AM99" s="21"/>
      <c r="AN99" s="128"/>
      <c r="AO99" s="54"/>
      <c r="AP99" s="64"/>
      <c r="AQ99" s="69"/>
      <c r="AS99" s="21"/>
      <c r="AT99" s="128"/>
      <c r="AU99" s="54"/>
      <c r="AV99" s="64"/>
      <c r="AW99" s="69"/>
    </row>
    <row r="100" spans="1:49" x14ac:dyDescent="0.15">
      <c r="A100" s="5" t="s">
        <v>48</v>
      </c>
      <c r="C100" s="21"/>
      <c r="D100" s="128"/>
      <c r="E100" s="54"/>
      <c r="F100" s="64"/>
      <c r="G100" s="69"/>
      <c r="I100" s="21"/>
      <c r="J100" s="128"/>
      <c r="K100" s="54"/>
      <c r="L100" s="64"/>
      <c r="M100" s="69"/>
      <c r="O100" s="21"/>
      <c r="P100" s="128"/>
      <c r="Q100" s="54"/>
      <c r="R100" s="64"/>
      <c r="S100" s="69"/>
      <c r="U100" s="21"/>
      <c r="V100" s="128"/>
      <c r="W100" s="54"/>
      <c r="X100" s="64"/>
      <c r="Y100" s="69"/>
      <c r="AA100" s="21"/>
      <c r="AB100" s="128"/>
      <c r="AC100" s="54"/>
      <c r="AD100" s="64"/>
      <c r="AE100" s="69"/>
      <c r="AG100" s="21"/>
      <c r="AH100" s="128"/>
      <c r="AI100" s="54"/>
      <c r="AJ100" s="64"/>
      <c r="AK100" s="69"/>
      <c r="AM100" s="21"/>
      <c r="AN100" s="128"/>
      <c r="AO100" s="54"/>
      <c r="AP100" s="64"/>
      <c r="AQ100" s="69"/>
      <c r="AS100" s="21"/>
      <c r="AT100" s="128"/>
      <c r="AU100" s="54"/>
      <c r="AV100" s="64"/>
      <c r="AW100" s="69"/>
    </row>
    <row r="101" spans="1:49" x14ac:dyDescent="0.15">
      <c r="A101" s="5" t="s">
        <v>106</v>
      </c>
      <c r="C101" s="21"/>
      <c r="D101" s="128">
        <v>1</v>
      </c>
      <c r="E101" s="54">
        <v>2</v>
      </c>
      <c r="F101" s="64"/>
      <c r="G101" s="69"/>
      <c r="I101" s="21">
        <v>1</v>
      </c>
      <c r="J101" s="128">
        <v>1</v>
      </c>
      <c r="K101" s="54">
        <v>1</v>
      </c>
      <c r="L101" s="64"/>
      <c r="M101" s="69"/>
      <c r="O101" s="21"/>
      <c r="P101" s="128"/>
      <c r="Q101" s="54"/>
      <c r="R101" s="64"/>
      <c r="S101" s="69"/>
      <c r="U101" s="21"/>
      <c r="V101" s="128">
        <v>1</v>
      </c>
      <c r="W101" s="54"/>
      <c r="X101" s="64"/>
      <c r="Y101" s="69"/>
      <c r="AA101" s="21"/>
      <c r="AB101" s="128"/>
      <c r="AC101" s="54"/>
      <c r="AD101" s="64"/>
      <c r="AE101" s="69"/>
      <c r="AG101" s="21"/>
      <c r="AH101" s="128"/>
      <c r="AI101" s="54"/>
      <c r="AJ101" s="64"/>
      <c r="AK101" s="69"/>
      <c r="AM101" s="21"/>
      <c r="AN101" s="128"/>
      <c r="AO101" s="54"/>
      <c r="AP101" s="64"/>
      <c r="AQ101" s="69"/>
      <c r="AS101" s="21"/>
      <c r="AT101" s="128"/>
      <c r="AU101" s="54"/>
      <c r="AV101" s="64"/>
      <c r="AW101" s="69"/>
    </row>
    <row r="102" spans="1:49" x14ac:dyDescent="0.15">
      <c r="A102" s="7" t="s">
        <v>186</v>
      </c>
      <c r="C102" s="21"/>
      <c r="D102" s="128"/>
      <c r="E102" s="54"/>
      <c r="F102" s="64"/>
      <c r="G102" s="69"/>
      <c r="I102" s="21"/>
      <c r="J102" s="128"/>
      <c r="K102" s="54"/>
      <c r="L102" s="64"/>
      <c r="M102" s="69"/>
      <c r="O102" s="21"/>
      <c r="P102" s="128"/>
      <c r="Q102" s="54"/>
      <c r="R102" s="64"/>
      <c r="S102" s="69"/>
      <c r="U102" s="21"/>
      <c r="V102" s="128"/>
      <c r="W102" s="54"/>
      <c r="X102" s="64"/>
      <c r="Y102" s="69"/>
      <c r="AA102" s="21"/>
      <c r="AB102" s="128"/>
      <c r="AC102" s="54"/>
      <c r="AD102" s="64"/>
      <c r="AE102" s="69"/>
      <c r="AG102" s="21"/>
      <c r="AH102" s="128"/>
      <c r="AI102" s="54"/>
      <c r="AJ102" s="64"/>
      <c r="AK102" s="69"/>
      <c r="AM102" s="21"/>
      <c r="AN102" s="128"/>
      <c r="AO102" s="54"/>
      <c r="AP102" s="64"/>
      <c r="AQ102" s="69"/>
      <c r="AS102" s="21"/>
      <c r="AT102" s="128"/>
      <c r="AU102" s="54"/>
      <c r="AV102" s="64"/>
      <c r="AW102" s="69"/>
    </row>
    <row r="103" spans="1:49" x14ac:dyDescent="0.15">
      <c r="A103" s="36" t="s">
        <v>94</v>
      </c>
      <c r="C103" s="21"/>
      <c r="D103" s="128"/>
      <c r="E103" s="54"/>
      <c r="F103" s="64"/>
      <c r="G103" s="69"/>
      <c r="I103" s="21"/>
      <c r="J103" s="128"/>
      <c r="K103" s="54"/>
      <c r="L103" s="64"/>
      <c r="M103" s="69"/>
      <c r="O103" s="21"/>
      <c r="P103" s="128"/>
      <c r="Q103" s="54"/>
      <c r="R103" s="64"/>
      <c r="S103" s="69"/>
      <c r="U103" s="21"/>
      <c r="V103" s="128"/>
      <c r="W103" s="54"/>
      <c r="X103" s="64"/>
      <c r="Y103" s="69"/>
      <c r="AA103" s="21"/>
      <c r="AB103" s="128"/>
      <c r="AC103" s="54"/>
      <c r="AD103" s="64"/>
      <c r="AE103" s="69"/>
      <c r="AG103" s="21"/>
      <c r="AH103" s="128"/>
      <c r="AI103" s="54"/>
      <c r="AJ103" s="64"/>
      <c r="AK103" s="69"/>
      <c r="AM103" s="21"/>
      <c r="AN103" s="128"/>
      <c r="AO103" s="54"/>
      <c r="AP103" s="64"/>
      <c r="AQ103" s="69"/>
      <c r="AS103" s="21"/>
      <c r="AT103" s="128"/>
      <c r="AU103" s="54"/>
      <c r="AV103" s="64"/>
      <c r="AW103" s="69"/>
    </row>
    <row r="104" spans="1:49" x14ac:dyDescent="0.15">
      <c r="A104" s="40" t="s">
        <v>91</v>
      </c>
      <c r="C104" s="21"/>
      <c r="D104" s="128"/>
      <c r="E104" s="54"/>
      <c r="F104" s="64"/>
      <c r="G104" s="69"/>
      <c r="I104" s="21"/>
      <c r="J104" s="128"/>
      <c r="K104" s="54"/>
      <c r="L104" s="64"/>
      <c r="M104" s="69"/>
      <c r="O104" s="21"/>
      <c r="P104" s="128"/>
      <c r="Q104" s="54"/>
      <c r="R104" s="64"/>
      <c r="S104" s="69"/>
      <c r="U104" s="21"/>
      <c r="V104" s="128"/>
      <c r="W104" s="54"/>
      <c r="X104" s="64"/>
      <c r="Y104" s="69"/>
      <c r="AA104" s="21"/>
      <c r="AB104" s="128"/>
      <c r="AC104" s="54"/>
      <c r="AD104" s="64"/>
      <c r="AE104" s="69"/>
      <c r="AG104" s="21"/>
      <c r="AH104" s="128"/>
      <c r="AI104" s="54"/>
      <c r="AJ104" s="64"/>
      <c r="AK104" s="69"/>
      <c r="AM104" s="21"/>
      <c r="AN104" s="128"/>
      <c r="AO104" s="54"/>
      <c r="AP104" s="64"/>
      <c r="AQ104" s="69"/>
      <c r="AS104" s="21"/>
      <c r="AT104" s="128"/>
      <c r="AU104" s="54"/>
      <c r="AV104" s="64"/>
      <c r="AW104" s="69"/>
    </row>
    <row r="105" spans="1:49" x14ac:dyDescent="0.15">
      <c r="A105" s="39" t="s">
        <v>69</v>
      </c>
      <c r="C105" s="21"/>
      <c r="D105" s="128"/>
      <c r="E105" s="54"/>
      <c r="F105" s="64"/>
      <c r="G105" s="69"/>
      <c r="I105" s="21"/>
      <c r="J105" s="128"/>
      <c r="K105" s="54"/>
      <c r="L105" s="64"/>
      <c r="M105" s="69"/>
      <c r="O105" s="21"/>
      <c r="P105" s="128"/>
      <c r="Q105" s="54"/>
      <c r="R105" s="64"/>
      <c r="S105" s="69"/>
      <c r="U105" s="21"/>
      <c r="V105" s="128"/>
      <c r="W105" s="54"/>
      <c r="X105" s="64"/>
      <c r="Y105" s="69"/>
      <c r="AA105" s="21"/>
      <c r="AB105" s="128"/>
      <c r="AC105" s="54"/>
      <c r="AD105" s="64"/>
      <c r="AE105" s="69"/>
      <c r="AG105" s="21"/>
      <c r="AH105" s="128"/>
      <c r="AI105" s="54"/>
      <c r="AJ105" s="64"/>
      <c r="AK105" s="69"/>
      <c r="AM105" s="21"/>
      <c r="AN105" s="128"/>
      <c r="AO105" s="54"/>
      <c r="AP105" s="64"/>
      <c r="AQ105" s="69"/>
      <c r="AS105" s="21"/>
      <c r="AT105" s="128"/>
      <c r="AU105" s="54"/>
      <c r="AV105" s="64"/>
      <c r="AW105" s="69"/>
    </row>
    <row r="106" spans="1:49" x14ac:dyDescent="0.15">
      <c r="A106" s="39" t="s">
        <v>67</v>
      </c>
      <c r="C106" s="21"/>
      <c r="D106" s="128"/>
      <c r="E106" s="54"/>
      <c r="F106" s="64"/>
      <c r="G106" s="69"/>
      <c r="I106" s="21"/>
      <c r="J106" s="128"/>
      <c r="K106" s="54"/>
      <c r="L106" s="64"/>
      <c r="M106" s="69"/>
      <c r="O106" s="21"/>
      <c r="P106" s="128"/>
      <c r="Q106" s="54"/>
      <c r="R106" s="64"/>
      <c r="S106" s="69"/>
      <c r="U106" s="21"/>
      <c r="V106" s="128"/>
      <c r="W106" s="54"/>
      <c r="X106" s="64"/>
      <c r="Y106" s="69"/>
      <c r="AA106" s="21"/>
      <c r="AB106" s="128"/>
      <c r="AC106" s="54"/>
      <c r="AD106" s="64"/>
      <c r="AE106" s="69"/>
      <c r="AG106" s="21"/>
      <c r="AH106" s="128"/>
      <c r="AI106" s="54"/>
      <c r="AJ106" s="64"/>
      <c r="AK106" s="69"/>
      <c r="AM106" s="21"/>
      <c r="AN106" s="128"/>
      <c r="AO106" s="54"/>
      <c r="AP106" s="64"/>
      <c r="AQ106" s="69"/>
      <c r="AS106" s="21"/>
      <c r="AT106" s="128"/>
      <c r="AU106" s="54"/>
      <c r="AV106" s="64"/>
      <c r="AW106" s="69"/>
    </row>
    <row r="107" spans="1:49" x14ac:dyDescent="0.15">
      <c r="A107" s="41" t="s">
        <v>66</v>
      </c>
      <c r="C107" s="21"/>
      <c r="D107" s="128"/>
      <c r="E107" s="54"/>
      <c r="F107" s="64"/>
      <c r="G107" s="69"/>
      <c r="I107" s="21"/>
      <c r="J107" s="128"/>
      <c r="K107" s="54"/>
      <c r="L107" s="64"/>
      <c r="M107" s="69"/>
      <c r="O107" s="21"/>
      <c r="P107" s="128"/>
      <c r="Q107" s="54"/>
      <c r="R107" s="64"/>
      <c r="S107" s="69"/>
      <c r="U107" s="21"/>
      <c r="V107" s="128"/>
      <c r="W107" s="54"/>
      <c r="X107" s="64"/>
      <c r="Y107" s="69"/>
      <c r="AA107" s="21"/>
      <c r="AB107" s="128"/>
      <c r="AC107" s="54"/>
      <c r="AD107" s="64"/>
      <c r="AE107" s="69"/>
      <c r="AG107" s="21"/>
      <c r="AH107" s="128"/>
      <c r="AI107" s="54"/>
      <c r="AJ107" s="64"/>
      <c r="AK107" s="69"/>
      <c r="AM107" s="21"/>
      <c r="AN107" s="128"/>
      <c r="AO107" s="54"/>
      <c r="AP107" s="64"/>
      <c r="AQ107" s="69"/>
      <c r="AS107" s="21"/>
      <c r="AT107" s="128"/>
      <c r="AU107" s="54"/>
      <c r="AV107" s="64"/>
      <c r="AW107" s="69"/>
    </row>
    <row r="108" spans="1:49" x14ac:dyDescent="0.15">
      <c r="A108" s="58" t="s">
        <v>104</v>
      </c>
    </row>
  </sheetData>
  <mergeCells count="16">
    <mergeCell ref="AL2:AQ2"/>
    <mergeCell ref="AR2:AW2"/>
    <mergeCell ref="B3:G3"/>
    <mergeCell ref="H3:M3"/>
    <mergeCell ref="N3:S3"/>
    <mergeCell ref="T3:Y3"/>
    <mergeCell ref="Z3:AE3"/>
    <mergeCell ref="AF3:AK3"/>
    <mergeCell ref="AL3:AQ3"/>
    <mergeCell ref="AR3:AW3"/>
    <mergeCell ref="B2:G2"/>
    <mergeCell ref="H2:M2"/>
    <mergeCell ref="N2:S2"/>
    <mergeCell ref="T2:Y2"/>
    <mergeCell ref="Z2:AE2"/>
    <mergeCell ref="AF2:AK2"/>
  </mergeCells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CCE2-81EA-4C29-BE5B-632CACE029F8}">
  <dimension ref="A1:AD108"/>
  <sheetViews>
    <sheetView workbookViewId="0">
      <selection activeCell="S16" sqref="S16"/>
    </sheetView>
  </sheetViews>
  <sheetFormatPr defaultRowHeight="13.5" x14ac:dyDescent="0.15"/>
  <cols>
    <col min="1" max="1" width="26.375" customWidth="1"/>
    <col min="2" max="3" width="3.375" customWidth="1"/>
    <col min="4" max="7" width="3.875" customWidth="1"/>
    <col min="8" max="25" width="3.375" customWidth="1"/>
    <col min="26" max="29" width="3.875" customWidth="1"/>
  </cols>
  <sheetData>
    <row r="1" spans="1:30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0" x14ac:dyDescent="0.15">
      <c r="A2" s="194" t="s">
        <v>0</v>
      </c>
      <c r="B2" s="246">
        <v>24</v>
      </c>
      <c r="C2" s="246"/>
      <c r="D2" s="246"/>
      <c r="E2" s="246"/>
      <c r="F2" s="246"/>
      <c r="G2" s="246"/>
      <c r="H2" s="246">
        <v>25</v>
      </c>
      <c r="I2" s="246"/>
      <c r="J2" s="246"/>
      <c r="K2" s="246"/>
      <c r="L2" s="246"/>
      <c r="M2" s="246"/>
      <c r="N2" s="247" t="s">
        <v>209</v>
      </c>
      <c r="O2" s="247"/>
      <c r="P2" s="247"/>
      <c r="Q2" s="247"/>
      <c r="R2" s="246">
        <v>26</v>
      </c>
      <c r="S2" s="246"/>
      <c r="T2" s="246"/>
      <c r="U2" s="246"/>
      <c r="V2" s="246"/>
      <c r="W2" s="246"/>
      <c r="X2" s="246">
        <v>28</v>
      </c>
      <c r="Y2" s="246"/>
      <c r="Z2" s="246"/>
      <c r="AA2" s="246"/>
      <c r="AB2" s="246"/>
      <c r="AC2" s="246"/>
    </row>
    <row r="3" spans="1:30" x14ac:dyDescent="0.15">
      <c r="A3" s="6" t="s">
        <v>1</v>
      </c>
      <c r="B3" s="243" t="s">
        <v>140</v>
      </c>
      <c r="C3" s="243"/>
      <c r="D3" s="243"/>
      <c r="E3" s="243"/>
      <c r="F3" s="243"/>
      <c r="G3" s="243"/>
      <c r="H3" s="243" t="s">
        <v>141</v>
      </c>
      <c r="I3" s="243"/>
      <c r="J3" s="243"/>
      <c r="K3" s="243"/>
      <c r="L3" s="243"/>
      <c r="M3" s="243"/>
      <c r="N3" s="243" t="s">
        <v>256</v>
      </c>
      <c r="O3" s="243"/>
      <c r="P3" s="243"/>
      <c r="Q3" s="243"/>
      <c r="R3" s="243" t="s">
        <v>142</v>
      </c>
      <c r="S3" s="243"/>
      <c r="T3" s="243"/>
      <c r="U3" s="243"/>
      <c r="V3" s="243"/>
      <c r="W3" s="243"/>
      <c r="X3" s="243" t="s">
        <v>143</v>
      </c>
      <c r="Y3" s="243"/>
      <c r="Z3" s="243"/>
      <c r="AA3" s="243"/>
      <c r="AB3" s="243"/>
      <c r="AC3" s="243"/>
    </row>
    <row r="4" spans="1:30" x14ac:dyDescent="0.15">
      <c r="A4" s="8"/>
      <c r="B4" s="94" t="s">
        <v>169</v>
      </c>
      <c r="C4" s="95" t="s">
        <v>170</v>
      </c>
      <c r="D4" s="96" t="s">
        <v>92</v>
      </c>
      <c r="E4" s="97" t="s">
        <v>121</v>
      </c>
      <c r="F4" s="98" t="s">
        <v>171</v>
      </c>
      <c r="G4" s="144" t="s">
        <v>204</v>
      </c>
      <c r="H4" s="94" t="s">
        <v>169</v>
      </c>
      <c r="I4" s="95" t="s">
        <v>170</v>
      </c>
      <c r="J4" s="96" t="s">
        <v>92</v>
      </c>
      <c r="K4" s="97" t="s">
        <v>121</v>
      </c>
      <c r="L4" s="98" t="s">
        <v>171</v>
      </c>
      <c r="M4" s="144" t="s">
        <v>204</v>
      </c>
      <c r="N4" s="96" t="s">
        <v>92</v>
      </c>
      <c r="O4" s="97" t="s">
        <v>121</v>
      </c>
      <c r="P4" s="98" t="s">
        <v>171</v>
      </c>
      <c r="Q4" s="144" t="s">
        <v>204</v>
      </c>
      <c r="R4" s="94" t="s">
        <v>169</v>
      </c>
      <c r="S4" s="95" t="s">
        <v>170</v>
      </c>
      <c r="T4" s="96" t="s">
        <v>92</v>
      </c>
      <c r="U4" s="97" t="s">
        <v>121</v>
      </c>
      <c r="V4" s="98" t="s">
        <v>171</v>
      </c>
      <c r="W4" s="144" t="s">
        <v>204</v>
      </c>
      <c r="X4" s="94" t="s">
        <v>169</v>
      </c>
      <c r="Y4" s="95" t="s">
        <v>170</v>
      </c>
      <c r="Z4" s="96" t="s">
        <v>92</v>
      </c>
      <c r="AA4" s="97" t="s">
        <v>121</v>
      </c>
      <c r="AB4" s="98" t="s">
        <v>171</v>
      </c>
      <c r="AC4" s="144" t="s">
        <v>204</v>
      </c>
    </row>
    <row r="5" spans="1:30" ht="14.25" x14ac:dyDescent="0.15">
      <c r="A5" s="26" t="s">
        <v>59</v>
      </c>
      <c r="B5" s="103">
        <f t="shared" ref="B5:AC5" si="0">COUNT(B6:B83)</f>
        <v>8</v>
      </c>
      <c r="C5" s="104">
        <f t="shared" si="0"/>
        <v>7</v>
      </c>
      <c r="D5" s="105">
        <f t="shared" si="0"/>
        <v>10</v>
      </c>
      <c r="E5" s="106">
        <f t="shared" si="0"/>
        <v>11</v>
      </c>
      <c r="F5" s="62">
        <f t="shared" si="0"/>
        <v>12</v>
      </c>
      <c r="G5" s="68">
        <f t="shared" si="0"/>
        <v>15</v>
      </c>
      <c r="H5" s="103">
        <f t="shared" si="0"/>
        <v>5</v>
      </c>
      <c r="I5" s="104">
        <f t="shared" si="0"/>
        <v>6</v>
      </c>
      <c r="J5" s="105">
        <f t="shared" si="0"/>
        <v>6</v>
      </c>
      <c r="K5" s="106">
        <f t="shared" si="0"/>
        <v>6</v>
      </c>
      <c r="L5" s="62">
        <f t="shared" si="0"/>
        <v>6</v>
      </c>
      <c r="M5" s="68">
        <f t="shared" si="0"/>
        <v>6</v>
      </c>
      <c r="N5" s="105">
        <f t="shared" si="0"/>
        <v>3</v>
      </c>
      <c r="O5" s="106">
        <f t="shared" si="0"/>
        <v>3</v>
      </c>
      <c r="P5" s="62">
        <f t="shared" si="0"/>
        <v>6</v>
      </c>
      <c r="Q5" s="68">
        <f t="shared" si="0"/>
        <v>5</v>
      </c>
      <c r="R5" s="103">
        <f t="shared" si="0"/>
        <v>7</v>
      </c>
      <c r="S5" s="104">
        <f t="shared" si="0"/>
        <v>5</v>
      </c>
      <c r="T5" s="105">
        <f t="shared" si="0"/>
        <v>4</v>
      </c>
      <c r="U5" s="106">
        <f t="shared" si="0"/>
        <v>5</v>
      </c>
      <c r="V5" s="62">
        <f t="shared" si="0"/>
        <v>4</v>
      </c>
      <c r="W5" s="68">
        <f t="shared" si="0"/>
        <v>6</v>
      </c>
      <c r="X5" s="103">
        <f t="shared" si="0"/>
        <v>7</v>
      </c>
      <c r="Y5" s="104">
        <f t="shared" si="0"/>
        <v>8</v>
      </c>
      <c r="Z5" s="105">
        <f t="shared" si="0"/>
        <v>10</v>
      </c>
      <c r="AA5" s="106">
        <f t="shared" si="0"/>
        <v>10</v>
      </c>
      <c r="AB5" s="62">
        <f t="shared" si="0"/>
        <v>11</v>
      </c>
      <c r="AC5" s="68">
        <f t="shared" si="0"/>
        <v>13</v>
      </c>
      <c r="AD5" t="s">
        <v>240</v>
      </c>
    </row>
    <row r="6" spans="1:30" x14ac:dyDescent="0.15">
      <c r="A6" s="27" t="s">
        <v>60</v>
      </c>
      <c r="B6" s="124"/>
      <c r="C6" s="125"/>
      <c r="D6" s="116"/>
      <c r="E6" s="117"/>
      <c r="F6" s="118"/>
      <c r="G6" s="146"/>
      <c r="H6" s="114"/>
      <c r="I6" s="115"/>
      <c r="J6" s="111"/>
      <c r="K6" s="112"/>
      <c r="L6" s="113"/>
      <c r="M6" s="145"/>
      <c r="N6" s="111"/>
      <c r="O6" s="112"/>
      <c r="P6" s="113"/>
      <c r="Q6" s="145"/>
      <c r="R6" s="114"/>
      <c r="S6" s="115"/>
      <c r="T6" s="111"/>
      <c r="U6" s="112"/>
      <c r="V6" s="113"/>
      <c r="W6" s="145"/>
      <c r="X6" s="114"/>
      <c r="Y6" s="115"/>
      <c r="Z6" s="111"/>
      <c r="AA6" s="112"/>
      <c r="AB6" s="113"/>
      <c r="AC6" s="145"/>
      <c r="AD6">
        <f>COUNTA(B6:AC6)</f>
        <v>0</v>
      </c>
    </row>
    <row r="7" spans="1:30" x14ac:dyDescent="0.15">
      <c r="A7" s="27" t="s">
        <v>105</v>
      </c>
      <c r="B7" s="124"/>
      <c r="C7" s="125"/>
      <c r="D7" s="116"/>
      <c r="E7" s="117"/>
      <c r="F7" s="118"/>
      <c r="G7" s="146"/>
      <c r="H7" s="114"/>
      <c r="I7" s="115"/>
      <c r="J7" s="111"/>
      <c r="K7" s="112"/>
      <c r="L7" s="113"/>
      <c r="M7" s="145"/>
      <c r="N7" s="111"/>
      <c r="O7" s="112"/>
      <c r="P7" s="113"/>
      <c r="Q7" s="145"/>
      <c r="R7" s="114"/>
      <c r="S7" s="115"/>
      <c r="T7" s="111"/>
      <c r="U7" s="112"/>
      <c r="V7" s="113"/>
      <c r="W7" s="145"/>
      <c r="X7" s="114"/>
      <c r="Y7" s="115"/>
      <c r="Z7" s="111"/>
      <c r="AA7" s="112"/>
      <c r="AB7" s="113"/>
      <c r="AC7" s="145"/>
      <c r="AD7">
        <f t="shared" ref="AD7:AD70" si="1">COUNTA(B7:AC7)</f>
        <v>0</v>
      </c>
    </row>
    <row r="8" spans="1:30" x14ac:dyDescent="0.15">
      <c r="A8" s="2" t="s">
        <v>43</v>
      </c>
      <c r="B8" s="124">
        <v>3</v>
      </c>
      <c r="C8" s="125">
        <v>1</v>
      </c>
      <c r="D8" s="116">
        <v>1</v>
      </c>
      <c r="E8" s="117">
        <v>1</v>
      </c>
      <c r="F8" s="118">
        <v>2</v>
      </c>
      <c r="G8" s="146">
        <v>2</v>
      </c>
      <c r="H8" s="114"/>
      <c r="I8" s="115"/>
      <c r="J8" s="111"/>
      <c r="K8" s="112"/>
      <c r="L8" s="113"/>
      <c r="M8" s="145"/>
      <c r="N8" s="111"/>
      <c r="O8" s="112"/>
      <c r="P8" s="113"/>
      <c r="Q8" s="145"/>
      <c r="R8" s="114"/>
      <c r="S8" s="115"/>
      <c r="T8" s="111"/>
      <c r="U8" s="112">
        <v>1</v>
      </c>
      <c r="V8" s="113"/>
      <c r="W8" s="145"/>
      <c r="X8" s="114"/>
      <c r="Y8" s="115"/>
      <c r="Z8" s="111"/>
      <c r="AA8" s="112"/>
      <c r="AB8" s="113"/>
      <c r="AC8" s="145"/>
      <c r="AD8">
        <f t="shared" si="1"/>
        <v>7</v>
      </c>
    </row>
    <row r="9" spans="1:30" x14ac:dyDescent="0.15">
      <c r="A9" s="27" t="s">
        <v>53</v>
      </c>
      <c r="B9" s="124"/>
      <c r="C9" s="125"/>
      <c r="D9" s="116"/>
      <c r="E9" s="117"/>
      <c r="F9" s="118"/>
      <c r="G9" s="146"/>
      <c r="H9" s="114"/>
      <c r="I9" s="115"/>
      <c r="J9" s="111"/>
      <c r="K9" s="112"/>
      <c r="L9" s="113"/>
      <c r="M9" s="145"/>
      <c r="N9" s="111"/>
      <c r="O9" s="112"/>
      <c r="P9" s="113"/>
      <c r="Q9" s="145"/>
      <c r="R9" s="114"/>
      <c r="S9" s="115"/>
      <c r="T9" s="111"/>
      <c r="U9" s="112"/>
      <c r="V9" s="113"/>
      <c r="W9" s="145"/>
      <c r="X9" s="114"/>
      <c r="Y9" s="115"/>
      <c r="Z9" s="111"/>
      <c r="AA9" s="112"/>
      <c r="AB9" s="113"/>
      <c r="AC9" s="145"/>
      <c r="AD9">
        <f t="shared" si="1"/>
        <v>0</v>
      </c>
    </row>
    <row r="10" spans="1:30" x14ac:dyDescent="0.15">
      <c r="A10" s="2" t="s">
        <v>12</v>
      </c>
      <c r="B10">
        <v>5</v>
      </c>
      <c r="C10" s="21">
        <v>3</v>
      </c>
      <c r="D10" s="128">
        <v>4</v>
      </c>
      <c r="E10" s="54">
        <v>2</v>
      </c>
      <c r="F10" s="64">
        <v>3</v>
      </c>
      <c r="G10" s="69">
        <v>1</v>
      </c>
      <c r="H10">
        <v>4</v>
      </c>
      <c r="I10" s="21">
        <v>3</v>
      </c>
      <c r="J10" s="128">
        <v>3</v>
      </c>
      <c r="K10" s="54">
        <v>3</v>
      </c>
      <c r="L10" s="64">
        <v>3</v>
      </c>
      <c r="M10" s="69">
        <v>4</v>
      </c>
      <c r="N10" s="128">
        <v>2</v>
      </c>
      <c r="O10" s="54">
        <v>3</v>
      </c>
      <c r="P10" s="64">
        <v>2</v>
      </c>
      <c r="Q10" s="69">
        <v>3</v>
      </c>
      <c r="R10">
        <v>4</v>
      </c>
      <c r="S10" s="21">
        <v>3</v>
      </c>
      <c r="T10" s="128">
        <v>1</v>
      </c>
      <c r="U10" s="54">
        <v>1</v>
      </c>
      <c r="V10" s="64">
        <v>3</v>
      </c>
      <c r="W10" s="69">
        <v>1</v>
      </c>
      <c r="X10">
        <v>4</v>
      </c>
      <c r="Y10" s="21">
        <v>4</v>
      </c>
      <c r="Z10" s="128">
        <v>2</v>
      </c>
      <c r="AA10" s="54">
        <v>1</v>
      </c>
      <c r="AB10" s="64">
        <v>2</v>
      </c>
      <c r="AC10" s="69">
        <v>3</v>
      </c>
      <c r="AD10">
        <f t="shared" si="1"/>
        <v>28</v>
      </c>
    </row>
    <row r="11" spans="1:30" x14ac:dyDescent="0.15">
      <c r="A11" s="2" t="s">
        <v>93</v>
      </c>
      <c r="C11" s="21"/>
      <c r="D11" s="128"/>
      <c r="E11" s="54"/>
      <c r="F11" s="64"/>
      <c r="G11" s="69">
        <v>1</v>
      </c>
      <c r="I11" s="21"/>
      <c r="J11" s="128"/>
      <c r="K11" s="54"/>
      <c r="L11" s="64"/>
      <c r="M11" s="69"/>
      <c r="N11" s="128"/>
      <c r="O11" s="54"/>
      <c r="P11" s="64"/>
      <c r="Q11" s="69"/>
      <c r="S11" s="21"/>
      <c r="T11" s="128"/>
      <c r="U11" s="54"/>
      <c r="V11" s="64"/>
      <c r="W11" s="69"/>
      <c r="Y11" s="21"/>
      <c r="Z11" s="128"/>
      <c r="AA11" s="54"/>
      <c r="AB11" s="64">
        <v>1</v>
      </c>
      <c r="AC11" s="69">
        <v>1</v>
      </c>
      <c r="AD11">
        <f t="shared" si="1"/>
        <v>3</v>
      </c>
    </row>
    <row r="12" spans="1:30" x14ac:dyDescent="0.15">
      <c r="A12" s="2" t="s">
        <v>33</v>
      </c>
      <c r="C12" s="21"/>
      <c r="D12" s="128"/>
      <c r="E12" s="54"/>
      <c r="F12" s="64"/>
      <c r="G12" s="69"/>
      <c r="I12" s="21"/>
      <c r="J12" s="128"/>
      <c r="K12" s="54"/>
      <c r="L12" s="64"/>
      <c r="M12" s="69"/>
      <c r="N12" s="128"/>
      <c r="O12" s="54"/>
      <c r="P12" s="64"/>
      <c r="Q12" s="69"/>
      <c r="S12" s="21"/>
      <c r="T12" s="128"/>
      <c r="U12" s="54"/>
      <c r="V12" s="64"/>
      <c r="W12" s="69"/>
      <c r="Y12" s="21"/>
      <c r="Z12" s="128"/>
      <c r="AA12" s="54"/>
      <c r="AB12" s="64"/>
      <c r="AC12" s="69"/>
      <c r="AD12">
        <f t="shared" si="1"/>
        <v>0</v>
      </c>
    </row>
    <row r="13" spans="1:30" x14ac:dyDescent="0.15">
      <c r="A13" s="2" t="s">
        <v>13</v>
      </c>
      <c r="C13" s="21"/>
      <c r="D13" s="128"/>
      <c r="E13" s="54"/>
      <c r="F13" s="64"/>
      <c r="G13" s="69"/>
      <c r="I13" s="21"/>
      <c r="J13" s="128"/>
      <c r="K13" s="54"/>
      <c r="L13" s="64"/>
      <c r="M13" s="69"/>
      <c r="N13" s="128"/>
      <c r="O13" s="54"/>
      <c r="P13" s="64"/>
      <c r="Q13" s="69"/>
      <c r="S13" s="21"/>
      <c r="T13" s="128"/>
      <c r="U13" s="54"/>
      <c r="V13" s="64"/>
      <c r="W13" s="69"/>
      <c r="Y13" s="21"/>
      <c r="Z13" s="128"/>
      <c r="AA13" s="54"/>
      <c r="AB13" s="64"/>
      <c r="AC13" s="69"/>
      <c r="AD13">
        <f t="shared" si="1"/>
        <v>0</v>
      </c>
    </row>
    <row r="14" spans="1:30" x14ac:dyDescent="0.15">
      <c r="A14" s="2" t="s">
        <v>190</v>
      </c>
      <c r="C14" s="21"/>
      <c r="D14" s="128"/>
      <c r="E14" s="54"/>
      <c r="F14" s="64"/>
      <c r="G14" s="69"/>
      <c r="I14" s="21"/>
      <c r="J14" s="128"/>
      <c r="K14" s="54"/>
      <c r="L14" s="64"/>
      <c r="M14" s="69"/>
      <c r="N14" s="128"/>
      <c r="O14" s="54"/>
      <c r="P14" s="64"/>
      <c r="Q14" s="69"/>
      <c r="S14" s="21"/>
      <c r="T14" s="128"/>
      <c r="U14" s="54"/>
      <c r="V14" s="64"/>
      <c r="W14" s="69"/>
      <c r="Y14" s="21"/>
      <c r="Z14" s="128"/>
      <c r="AA14" s="54"/>
      <c r="AB14" s="64"/>
      <c r="AC14" s="69"/>
      <c r="AD14">
        <f t="shared" si="1"/>
        <v>0</v>
      </c>
    </row>
    <row r="15" spans="1:30" x14ac:dyDescent="0.15">
      <c r="A15" s="2" t="s">
        <v>14</v>
      </c>
      <c r="C15" s="21"/>
      <c r="D15" s="128"/>
      <c r="E15" s="54"/>
      <c r="F15" s="64"/>
      <c r="G15" s="69"/>
      <c r="I15" s="21"/>
      <c r="J15" s="128"/>
      <c r="K15" s="54"/>
      <c r="L15" s="64"/>
      <c r="M15" s="69"/>
      <c r="N15" s="128"/>
      <c r="O15" s="54"/>
      <c r="P15" s="64"/>
      <c r="Q15" s="69"/>
      <c r="S15" s="21"/>
      <c r="T15" s="128"/>
      <c r="U15" s="54"/>
      <c r="V15" s="64"/>
      <c r="W15" s="69"/>
      <c r="X15">
        <v>2</v>
      </c>
      <c r="Y15" s="21">
        <v>1</v>
      </c>
      <c r="Z15" s="128">
        <v>1</v>
      </c>
      <c r="AA15" s="54">
        <v>1</v>
      </c>
      <c r="AB15" s="64"/>
      <c r="AC15" s="69"/>
      <c r="AD15">
        <f t="shared" si="1"/>
        <v>4</v>
      </c>
    </row>
    <row r="16" spans="1:30" x14ac:dyDescent="0.15">
      <c r="A16" s="2" t="s">
        <v>26</v>
      </c>
      <c r="C16" s="21"/>
      <c r="D16" s="128"/>
      <c r="E16" s="54"/>
      <c r="F16" s="64"/>
      <c r="G16" s="69"/>
      <c r="I16" s="21"/>
      <c r="J16" s="128"/>
      <c r="K16" s="54"/>
      <c r="L16" s="64"/>
      <c r="M16" s="69"/>
      <c r="N16" s="128"/>
      <c r="O16" s="54"/>
      <c r="P16" s="64"/>
      <c r="Q16" s="69"/>
      <c r="S16" s="21"/>
      <c r="T16" s="128"/>
      <c r="U16" s="54"/>
      <c r="V16" s="64"/>
      <c r="W16" s="69"/>
      <c r="Y16" s="21"/>
      <c r="Z16" s="128"/>
      <c r="AA16" s="54"/>
      <c r="AB16" s="64"/>
      <c r="AC16" s="69"/>
      <c r="AD16">
        <f t="shared" si="1"/>
        <v>0</v>
      </c>
    </row>
    <row r="17" spans="1:30" x14ac:dyDescent="0.15">
      <c r="A17" s="2" t="s">
        <v>51</v>
      </c>
      <c r="C17" s="21"/>
      <c r="D17" s="128"/>
      <c r="E17" s="54"/>
      <c r="F17" s="64"/>
      <c r="G17" s="69"/>
      <c r="I17" s="21"/>
      <c r="J17" s="128"/>
      <c r="K17" s="54"/>
      <c r="L17" s="64"/>
      <c r="M17" s="69"/>
      <c r="N17" s="128"/>
      <c r="O17" s="54"/>
      <c r="P17" s="64">
        <v>1</v>
      </c>
      <c r="Q17" s="69"/>
      <c r="S17" s="21"/>
      <c r="T17" s="128"/>
      <c r="U17" s="54">
        <v>1</v>
      </c>
      <c r="V17" s="64"/>
      <c r="W17" s="69"/>
      <c r="Y17" s="21"/>
      <c r="Z17" s="128"/>
      <c r="AA17" s="54">
        <v>1</v>
      </c>
      <c r="AB17" s="64"/>
      <c r="AC17" s="69"/>
      <c r="AD17">
        <f t="shared" si="1"/>
        <v>3</v>
      </c>
    </row>
    <row r="18" spans="1:30" x14ac:dyDescent="0.15">
      <c r="A18" s="2" t="s">
        <v>44</v>
      </c>
      <c r="C18" s="21"/>
      <c r="D18" s="128"/>
      <c r="E18" s="54"/>
      <c r="F18" s="64">
        <v>1</v>
      </c>
      <c r="G18" s="69">
        <v>1</v>
      </c>
      <c r="I18" s="21">
        <v>1</v>
      </c>
      <c r="J18" s="128">
        <v>1</v>
      </c>
      <c r="K18" s="54">
        <v>1</v>
      </c>
      <c r="L18" s="64">
        <v>1</v>
      </c>
      <c r="M18" s="69">
        <v>1</v>
      </c>
      <c r="N18" s="128"/>
      <c r="O18" s="54"/>
      <c r="P18" s="64">
        <v>1</v>
      </c>
      <c r="Q18" s="69">
        <v>1</v>
      </c>
      <c r="S18" s="21"/>
      <c r="T18" s="128"/>
      <c r="U18" s="54"/>
      <c r="V18" s="64">
        <v>1</v>
      </c>
      <c r="W18" s="69">
        <v>1</v>
      </c>
      <c r="Y18" s="21"/>
      <c r="Z18" s="128"/>
      <c r="AA18" s="54">
        <v>1</v>
      </c>
      <c r="AB18" s="64">
        <v>2</v>
      </c>
      <c r="AC18" s="69">
        <v>2</v>
      </c>
      <c r="AD18">
        <f t="shared" si="1"/>
        <v>14</v>
      </c>
    </row>
    <row r="19" spans="1:30" x14ac:dyDescent="0.15">
      <c r="A19" s="2" t="s">
        <v>4</v>
      </c>
      <c r="C19" s="21"/>
      <c r="D19" s="128"/>
      <c r="E19" s="54"/>
      <c r="F19" s="64"/>
      <c r="G19" s="69"/>
      <c r="I19" s="21"/>
      <c r="J19" s="128"/>
      <c r="K19" s="54"/>
      <c r="L19" s="64"/>
      <c r="M19" s="69"/>
      <c r="N19" s="128"/>
      <c r="O19" s="54"/>
      <c r="P19" s="64"/>
      <c r="Q19" s="69"/>
      <c r="S19" s="21">
        <v>1</v>
      </c>
      <c r="T19" s="128"/>
      <c r="U19" s="54"/>
      <c r="V19" s="64"/>
      <c r="W19" s="69"/>
      <c r="Y19" s="21"/>
      <c r="Z19" s="128"/>
      <c r="AA19" s="54"/>
      <c r="AB19" s="64"/>
      <c r="AC19" s="69"/>
      <c r="AD19">
        <f t="shared" si="1"/>
        <v>1</v>
      </c>
    </row>
    <row r="20" spans="1:30" x14ac:dyDescent="0.15">
      <c r="A20" s="2" t="s">
        <v>232</v>
      </c>
      <c r="C20" s="21"/>
      <c r="D20" s="128"/>
      <c r="E20" s="54"/>
      <c r="F20" s="64"/>
      <c r="G20" s="69"/>
      <c r="I20" s="21"/>
      <c r="J20" s="128"/>
      <c r="K20" s="54"/>
      <c r="L20" s="64"/>
      <c r="M20" s="69"/>
      <c r="N20" s="128"/>
      <c r="O20" s="54"/>
      <c r="P20" s="64"/>
      <c r="Q20" s="69"/>
      <c r="S20" s="21"/>
      <c r="T20" s="128"/>
      <c r="U20" s="54"/>
      <c r="V20" s="64"/>
      <c r="W20" s="69"/>
      <c r="Y20" s="21"/>
      <c r="Z20" s="128"/>
      <c r="AA20" s="54"/>
      <c r="AB20" s="64"/>
      <c r="AC20" s="69"/>
      <c r="AD20">
        <f t="shared" si="1"/>
        <v>0</v>
      </c>
    </row>
    <row r="21" spans="1:30" x14ac:dyDescent="0.15">
      <c r="A21" s="2" t="s">
        <v>15</v>
      </c>
      <c r="C21" s="21"/>
      <c r="D21" s="128"/>
      <c r="E21" s="54"/>
      <c r="F21" s="64"/>
      <c r="G21" s="69"/>
      <c r="I21" s="21"/>
      <c r="J21" s="128"/>
      <c r="K21" s="54"/>
      <c r="L21" s="64"/>
      <c r="M21" s="69"/>
      <c r="N21" s="128"/>
      <c r="O21" s="54"/>
      <c r="P21" s="64"/>
      <c r="Q21" s="69"/>
      <c r="S21" s="21"/>
      <c r="T21" s="128"/>
      <c r="U21" s="54"/>
      <c r="V21" s="64"/>
      <c r="W21" s="69"/>
      <c r="Y21" s="21"/>
      <c r="Z21" s="128"/>
      <c r="AA21" s="54"/>
      <c r="AB21" s="64"/>
      <c r="AC21" s="69"/>
      <c r="AD21">
        <f t="shared" si="1"/>
        <v>0</v>
      </c>
    </row>
    <row r="22" spans="1:30" x14ac:dyDescent="0.15">
      <c r="A22" s="2" t="s">
        <v>5</v>
      </c>
      <c r="C22" s="21"/>
      <c r="D22" s="128"/>
      <c r="E22" s="54">
        <v>1</v>
      </c>
      <c r="F22" s="64">
        <v>1</v>
      </c>
      <c r="G22" s="69">
        <v>1</v>
      </c>
      <c r="I22" s="21"/>
      <c r="J22" s="128"/>
      <c r="K22" s="54"/>
      <c r="L22" s="64"/>
      <c r="M22" s="69"/>
      <c r="N22" s="128"/>
      <c r="O22" s="54"/>
      <c r="P22" s="64"/>
      <c r="Q22" s="69"/>
      <c r="R22">
        <v>1</v>
      </c>
      <c r="S22" s="21"/>
      <c r="T22" s="128"/>
      <c r="U22" s="54"/>
      <c r="V22" s="64"/>
      <c r="W22" s="69">
        <v>1</v>
      </c>
      <c r="X22">
        <v>1</v>
      </c>
      <c r="Y22" s="21">
        <v>1</v>
      </c>
      <c r="Z22" s="128">
        <v>1</v>
      </c>
      <c r="AA22" s="54"/>
      <c r="AB22" s="64">
        <v>1</v>
      </c>
      <c r="AC22" s="69">
        <v>1</v>
      </c>
      <c r="AD22">
        <f t="shared" si="1"/>
        <v>10</v>
      </c>
    </row>
    <row r="23" spans="1:30" x14ac:dyDescent="0.15">
      <c r="A23" s="2" t="s">
        <v>46</v>
      </c>
      <c r="C23" s="21"/>
      <c r="D23" s="128"/>
      <c r="E23" s="54"/>
      <c r="F23" s="64"/>
      <c r="G23" s="69"/>
      <c r="I23" s="21"/>
      <c r="J23" s="128"/>
      <c r="K23" s="54"/>
      <c r="L23" s="64"/>
      <c r="M23" s="69"/>
      <c r="N23" s="128"/>
      <c r="O23" s="54"/>
      <c r="P23" s="64"/>
      <c r="Q23" s="69"/>
      <c r="S23" s="21"/>
      <c r="T23" s="128"/>
      <c r="U23" s="54"/>
      <c r="V23" s="64"/>
      <c r="W23" s="69"/>
      <c r="Y23" s="21"/>
      <c r="Z23" s="128"/>
      <c r="AA23" s="54"/>
      <c r="AB23" s="64"/>
      <c r="AC23" s="69"/>
      <c r="AD23">
        <f t="shared" si="1"/>
        <v>0</v>
      </c>
    </row>
    <row r="24" spans="1:30" x14ac:dyDescent="0.15">
      <c r="A24" s="2" t="s">
        <v>228</v>
      </c>
      <c r="C24" s="21"/>
      <c r="D24" s="128"/>
      <c r="E24" s="54"/>
      <c r="F24" s="64"/>
      <c r="G24" s="69"/>
      <c r="I24" s="21"/>
      <c r="J24" s="128"/>
      <c r="K24" s="54"/>
      <c r="L24" s="64"/>
      <c r="M24" s="69"/>
      <c r="N24" s="128"/>
      <c r="O24" s="54"/>
      <c r="P24" s="64"/>
      <c r="Q24" s="69"/>
      <c r="S24" s="21"/>
      <c r="T24" s="128"/>
      <c r="U24" s="54"/>
      <c r="V24" s="64"/>
      <c r="W24" s="69"/>
      <c r="Y24" s="21"/>
      <c r="Z24" s="128"/>
      <c r="AA24" s="54"/>
      <c r="AB24" s="64">
        <v>1</v>
      </c>
      <c r="AC24" s="69"/>
      <c r="AD24">
        <f t="shared" si="1"/>
        <v>1</v>
      </c>
    </row>
    <row r="25" spans="1:30" x14ac:dyDescent="0.15">
      <c r="A25" s="5" t="s">
        <v>133</v>
      </c>
      <c r="C25" s="21"/>
      <c r="D25" s="128"/>
      <c r="E25" s="54"/>
      <c r="F25" s="64"/>
      <c r="G25" s="69"/>
      <c r="I25" s="21"/>
      <c r="J25" s="128"/>
      <c r="K25" s="54"/>
      <c r="L25" s="64"/>
      <c r="M25" s="69"/>
      <c r="N25" s="128"/>
      <c r="O25" s="54"/>
      <c r="P25" s="64"/>
      <c r="Q25" s="69"/>
      <c r="S25" s="21"/>
      <c r="T25" s="128"/>
      <c r="U25" s="54"/>
      <c r="V25" s="64"/>
      <c r="W25" s="69"/>
      <c r="Y25" s="21"/>
      <c r="Z25" s="128"/>
      <c r="AA25" s="54"/>
      <c r="AB25" s="64"/>
      <c r="AC25" s="69"/>
      <c r="AD25">
        <f t="shared" si="1"/>
        <v>0</v>
      </c>
    </row>
    <row r="26" spans="1:30" x14ac:dyDescent="0.15">
      <c r="A26" s="5" t="s">
        <v>212</v>
      </c>
      <c r="C26" s="21"/>
      <c r="D26" s="128"/>
      <c r="E26" s="54"/>
      <c r="F26" s="64"/>
      <c r="G26" s="69"/>
      <c r="I26" s="21"/>
      <c r="J26" s="128"/>
      <c r="K26" s="54"/>
      <c r="L26" s="64"/>
      <c r="M26" s="69"/>
      <c r="N26" s="128"/>
      <c r="O26" s="54"/>
      <c r="P26" s="64"/>
      <c r="Q26" s="69"/>
      <c r="S26" s="21"/>
      <c r="T26" s="128"/>
      <c r="U26" s="54"/>
      <c r="V26" s="64"/>
      <c r="W26" s="69"/>
      <c r="Y26" s="21"/>
      <c r="Z26" s="128"/>
      <c r="AA26" s="54"/>
      <c r="AB26" s="64"/>
      <c r="AC26" s="69"/>
      <c r="AD26">
        <f t="shared" si="1"/>
        <v>0</v>
      </c>
    </row>
    <row r="27" spans="1:30" x14ac:dyDescent="0.15">
      <c r="A27" s="2" t="s">
        <v>45</v>
      </c>
      <c r="C27" s="21"/>
      <c r="D27" s="128"/>
      <c r="E27" s="54"/>
      <c r="F27" s="64">
        <v>1</v>
      </c>
      <c r="G27" s="69"/>
      <c r="I27" s="21"/>
      <c r="J27" s="128"/>
      <c r="K27" s="54"/>
      <c r="L27" s="64"/>
      <c r="M27" s="69"/>
      <c r="N27" s="128"/>
      <c r="O27" s="54"/>
      <c r="P27" s="64"/>
      <c r="Q27" s="69"/>
      <c r="S27" s="21"/>
      <c r="T27" s="128"/>
      <c r="U27" s="54"/>
      <c r="V27" s="64"/>
      <c r="W27" s="69"/>
      <c r="Y27" s="21"/>
      <c r="Z27" s="128"/>
      <c r="AA27" s="54"/>
      <c r="AB27" s="64"/>
      <c r="AC27" s="69">
        <v>1</v>
      </c>
      <c r="AD27">
        <f t="shared" si="1"/>
        <v>2</v>
      </c>
    </row>
    <row r="28" spans="1:30" x14ac:dyDescent="0.15">
      <c r="A28" s="2" t="s">
        <v>16</v>
      </c>
      <c r="B28">
        <v>1</v>
      </c>
      <c r="C28" s="21">
        <v>1</v>
      </c>
      <c r="D28" s="128">
        <v>1</v>
      </c>
      <c r="E28" s="54">
        <v>1</v>
      </c>
      <c r="F28" s="64"/>
      <c r="G28" s="69">
        <v>1</v>
      </c>
      <c r="I28" s="21"/>
      <c r="J28" s="128"/>
      <c r="K28" s="54"/>
      <c r="L28" s="64"/>
      <c r="M28" s="69"/>
      <c r="N28" s="128"/>
      <c r="O28" s="54"/>
      <c r="P28" s="64"/>
      <c r="Q28" s="69"/>
      <c r="S28" s="21"/>
      <c r="T28" s="128"/>
      <c r="U28" s="54"/>
      <c r="V28" s="64"/>
      <c r="W28" s="69"/>
      <c r="Y28" s="21"/>
      <c r="Z28" s="128"/>
      <c r="AA28" s="54"/>
      <c r="AB28" s="64"/>
      <c r="AC28" s="69"/>
      <c r="AD28">
        <f t="shared" si="1"/>
        <v>5</v>
      </c>
    </row>
    <row r="29" spans="1:30" x14ac:dyDescent="0.15">
      <c r="A29" s="2" t="s">
        <v>219</v>
      </c>
      <c r="C29" s="21"/>
      <c r="D29" s="128"/>
      <c r="E29" s="54"/>
      <c r="F29" s="64"/>
      <c r="G29" s="69"/>
      <c r="I29" s="21"/>
      <c r="J29" s="128"/>
      <c r="K29" s="54"/>
      <c r="L29" s="64"/>
      <c r="M29" s="69"/>
      <c r="N29" s="128"/>
      <c r="O29" s="54"/>
      <c r="P29" s="64"/>
      <c r="Q29" s="69"/>
      <c r="S29" s="21"/>
      <c r="T29" s="128"/>
      <c r="U29" s="54"/>
      <c r="V29" s="64"/>
      <c r="W29" s="69"/>
      <c r="Y29" s="21"/>
      <c r="Z29" s="128"/>
      <c r="AA29" s="54"/>
      <c r="AB29" s="64"/>
      <c r="AC29" s="69"/>
      <c r="AD29">
        <f t="shared" si="1"/>
        <v>0</v>
      </c>
    </row>
    <row r="30" spans="1:30" x14ac:dyDescent="0.15">
      <c r="A30" s="5" t="s">
        <v>70</v>
      </c>
      <c r="C30" s="21"/>
      <c r="D30" s="128"/>
      <c r="E30" s="54"/>
      <c r="F30" s="64"/>
      <c r="G30" s="69"/>
      <c r="I30" s="21"/>
      <c r="J30" s="128"/>
      <c r="K30" s="54"/>
      <c r="L30" s="64"/>
      <c r="M30" s="69"/>
      <c r="N30" s="128"/>
      <c r="O30" s="54"/>
      <c r="P30" s="64"/>
      <c r="Q30" s="69"/>
      <c r="S30" s="21"/>
      <c r="T30" s="128"/>
      <c r="U30" s="54"/>
      <c r="V30" s="64"/>
      <c r="W30" s="69"/>
      <c r="Y30" s="21"/>
      <c r="Z30" s="128"/>
      <c r="AA30" s="54"/>
      <c r="AB30" s="64"/>
      <c r="AC30" s="69"/>
      <c r="AD30">
        <f t="shared" si="1"/>
        <v>0</v>
      </c>
    </row>
    <row r="31" spans="1:30" x14ac:dyDescent="0.15">
      <c r="A31" s="5" t="s">
        <v>221</v>
      </c>
      <c r="C31" s="21"/>
      <c r="D31" s="128"/>
      <c r="E31" s="54"/>
      <c r="F31" s="64"/>
      <c r="G31" s="69"/>
      <c r="I31" s="21"/>
      <c r="J31" s="128"/>
      <c r="K31" s="54"/>
      <c r="L31" s="64"/>
      <c r="M31" s="69"/>
      <c r="N31" s="128"/>
      <c r="O31" s="54"/>
      <c r="P31" s="64"/>
      <c r="Q31" s="69"/>
      <c r="S31" s="21"/>
      <c r="T31" s="128"/>
      <c r="U31" s="54"/>
      <c r="V31" s="64"/>
      <c r="W31" s="69"/>
      <c r="Y31" s="21"/>
      <c r="Z31" s="128"/>
      <c r="AA31" s="54"/>
      <c r="AB31" s="64"/>
      <c r="AC31" s="69"/>
      <c r="AD31">
        <f t="shared" si="1"/>
        <v>0</v>
      </c>
    </row>
    <row r="32" spans="1:30" x14ac:dyDescent="0.15">
      <c r="A32" s="5" t="s">
        <v>199</v>
      </c>
      <c r="C32" s="21"/>
      <c r="D32" s="128"/>
      <c r="E32" s="54"/>
      <c r="F32" s="64"/>
      <c r="G32" s="69"/>
      <c r="I32" s="21"/>
      <c r="J32" s="128"/>
      <c r="K32" s="54"/>
      <c r="L32" s="64"/>
      <c r="M32" s="69"/>
      <c r="N32" s="128"/>
      <c r="O32" s="54"/>
      <c r="P32" s="64"/>
      <c r="Q32" s="69"/>
      <c r="S32" s="21"/>
      <c r="T32" s="128"/>
      <c r="U32" s="54"/>
      <c r="V32" s="64"/>
      <c r="W32" s="69"/>
      <c r="Y32" s="21"/>
      <c r="Z32" s="128"/>
      <c r="AA32" s="54"/>
      <c r="AB32" s="64"/>
      <c r="AC32" s="69"/>
      <c r="AD32">
        <f t="shared" si="1"/>
        <v>0</v>
      </c>
    </row>
    <row r="33" spans="1:30" x14ac:dyDescent="0.15">
      <c r="A33" s="5" t="s">
        <v>222</v>
      </c>
      <c r="C33" s="21"/>
      <c r="D33" s="128"/>
      <c r="E33" s="54"/>
      <c r="F33" s="64"/>
      <c r="G33" s="69"/>
      <c r="I33" s="21"/>
      <c r="J33" s="128"/>
      <c r="K33" s="54"/>
      <c r="L33" s="64"/>
      <c r="M33" s="69"/>
      <c r="N33" s="128"/>
      <c r="O33" s="54"/>
      <c r="P33" s="64"/>
      <c r="Q33" s="69"/>
      <c r="S33" s="21"/>
      <c r="T33" s="128"/>
      <c r="U33" s="54"/>
      <c r="V33" s="64"/>
      <c r="W33" s="69"/>
      <c r="Y33" s="21"/>
      <c r="Z33" s="128"/>
      <c r="AA33" s="54"/>
      <c r="AB33" s="64"/>
      <c r="AC33" s="69"/>
      <c r="AD33">
        <f t="shared" si="1"/>
        <v>0</v>
      </c>
    </row>
    <row r="34" spans="1:30" x14ac:dyDescent="0.15">
      <c r="A34" s="2" t="s">
        <v>62</v>
      </c>
      <c r="C34" s="21"/>
      <c r="D34" s="128"/>
      <c r="E34" s="54"/>
      <c r="F34" s="64"/>
      <c r="G34" s="69"/>
      <c r="I34" s="21"/>
      <c r="J34" s="128"/>
      <c r="K34" s="54"/>
      <c r="L34" s="64"/>
      <c r="M34" s="69"/>
      <c r="N34" s="128"/>
      <c r="O34" s="54"/>
      <c r="P34" s="64"/>
      <c r="Q34" s="69"/>
      <c r="S34" s="21"/>
      <c r="T34" s="128"/>
      <c r="U34" s="54"/>
      <c r="V34" s="64"/>
      <c r="W34" s="69"/>
      <c r="Y34" s="21"/>
      <c r="Z34" s="128"/>
      <c r="AA34" s="54"/>
      <c r="AB34" s="64"/>
      <c r="AC34" s="69"/>
      <c r="AD34">
        <f t="shared" si="1"/>
        <v>0</v>
      </c>
    </row>
    <row r="35" spans="1:30" x14ac:dyDescent="0.15">
      <c r="A35" s="2" t="s">
        <v>17</v>
      </c>
      <c r="C35" s="21"/>
      <c r="D35" s="128"/>
      <c r="E35" s="54"/>
      <c r="F35" s="64"/>
      <c r="G35" s="69"/>
      <c r="I35" s="21"/>
      <c r="J35" s="128"/>
      <c r="K35" s="54"/>
      <c r="L35" s="64"/>
      <c r="M35" s="69"/>
      <c r="N35" s="128"/>
      <c r="O35" s="54"/>
      <c r="P35" s="64"/>
      <c r="Q35" s="69"/>
      <c r="S35" s="21"/>
      <c r="T35" s="128"/>
      <c r="U35" s="54"/>
      <c r="V35" s="64"/>
      <c r="W35" s="69"/>
      <c r="Y35" s="21"/>
      <c r="Z35" s="128"/>
      <c r="AA35" s="54"/>
      <c r="AB35" s="64"/>
      <c r="AC35" s="69"/>
      <c r="AD35">
        <f t="shared" si="1"/>
        <v>0</v>
      </c>
    </row>
    <row r="36" spans="1:30" x14ac:dyDescent="0.15">
      <c r="A36" s="2" t="s">
        <v>49</v>
      </c>
      <c r="C36" s="21"/>
      <c r="D36" s="128">
        <v>2</v>
      </c>
      <c r="E36" s="54">
        <v>1</v>
      </c>
      <c r="F36" s="64">
        <v>2</v>
      </c>
      <c r="G36" s="69">
        <v>2</v>
      </c>
      <c r="I36" s="21"/>
      <c r="J36" s="128">
        <v>1</v>
      </c>
      <c r="K36" s="54">
        <v>1</v>
      </c>
      <c r="L36" s="64">
        <v>2</v>
      </c>
      <c r="M36" s="69">
        <v>3</v>
      </c>
      <c r="N36" s="128">
        <v>1</v>
      </c>
      <c r="O36" s="54">
        <v>1</v>
      </c>
      <c r="P36" s="64">
        <v>1</v>
      </c>
      <c r="Q36" s="69">
        <v>3</v>
      </c>
      <c r="S36" s="21">
        <v>2</v>
      </c>
      <c r="T36" s="128">
        <v>1</v>
      </c>
      <c r="U36" s="54">
        <v>1</v>
      </c>
      <c r="V36" s="64">
        <v>2</v>
      </c>
      <c r="W36" s="69">
        <v>2</v>
      </c>
      <c r="Y36" s="21">
        <v>1</v>
      </c>
      <c r="Z36" s="128">
        <v>1</v>
      </c>
      <c r="AA36" s="54">
        <v>1</v>
      </c>
      <c r="AB36" s="64">
        <v>1</v>
      </c>
      <c r="AC36" s="69">
        <v>1</v>
      </c>
      <c r="AD36">
        <f t="shared" si="1"/>
        <v>22</v>
      </c>
    </row>
    <row r="37" spans="1:30" x14ac:dyDescent="0.15">
      <c r="A37" s="2" t="s">
        <v>6</v>
      </c>
      <c r="C37" s="21"/>
      <c r="D37" s="128"/>
      <c r="E37" s="54"/>
      <c r="F37" s="64"/>
      <c r="G37" s="69"/>
      <c r="I37" s="21"/>
      <c r="J37" s="128"/>
      <c r="K37" s="54"/>
      <c r="L37" s="64"/>
      <c r="M37" s="69"/>
      <c r="N37" s="128"/>
      <c r="O37" s="54"/>
      <c r="P37" s="64"/>
      <c r="Q37" s="69"/>
      <c r="S37" s="21"/>
      <c r="T37" s="128"/>
      <c r="U37" s="54"/>
      <c r="V37" s="64"/>
      <c r="W37" s="69"/>
      <c r="Y37" s="21"/>
      <c r="Z37" s="128"/>
      <c r="AA37" s="54"/>
      <c r="AB37" s="64"/>
      <c r="AC37" s="69"/>
      <c r="AD37">
        <f t="shared" si="1"/>
        <v>0</v>
      </c>
    </row>
    <row r="38" spans="1:30" x14ac:dyDescent="0.15">
      <c r="A38" s="2" t="s">
        <v>19</v>
      </c>
      <c r="B38">
        <v>1</v>
      </c>
      <c r="C38" s="21">
        <v>2</v>
      </c>
      <c r="D38" s="128">
        <v>1</v>
      </c>
      <c r="E38" s="54">
        <v>1</v>
      </c>
      <c r="F38" s="64">
        <v>1</v>
      </c>
      <c r="G38" s="69">
        <v>1</v>
      </c>
      <c r="I38" s="21"/>
      <c r="J38" s="128"/>
      <c r="K38" s="54"/>
      <c r="L38" s="64"/>
      <c r="M38" s="69"/>
      <c r="N38" s="128"/>
      <c r="O38" s="54"/>
      <c r="P38" s="64"/>
      <c r="Q38" s="69"/>
      <c r="S38" s="21"/>
      <c r="T38" s="128"/>
      <c r="U38" s="54"/>
      <c r="V38" s="64"/>
      <c r="W38" s="69"/>
      <c r="Y38" s="21">
        <v>1</v>
      </c>
      <c r="Z38" s="128">
        <v>1</v>
      </c>
      <c r="AA38" s="54">
        <v>1</v>
      </c>
      <c r="AB38" s="64">
        <v>1</v>
      </c>
      <c r="AC38" s="69">
        <v>1</v>
      </c>
      <c r="AD38">
        <f t="shared" si="1"/>
        <v>11</v>
      </c>
    </row>
    <row r="39" spans="1:30" x14ac:dyDescent="0.15">
      <c r="A39" s="2" t="s">
        <v>68</v>
      </c>
      <c r="B39">
        <v>1</v>
      </c>
      <c r="C39" s="21"/>
      <c r="D39" s="128"/>
      <c r="E39" s="54"/>
      <c r="F39" s="64"/>
      <c r="G39" s="69"/>
      <c r="I39" s="21"/>
      <c r="J39" s="128"/>
      <c r="K39" s="54"/>
      <c r="L39" s="64"/>
      <c r="M39" s="69"/>
      <c r="N39" s="128"/>
      <c r="O39" s="54"/>
      <c r="P39" s="64"/>
      <c r="Q39" s="69"/>
      <c r="S39" s="21"/>
      <c r="T39" s="128"/>
      <c r="U39" s="54"/>
      <c r="V39" s="64"/>
      <c r="W39" s="69"/>
      <c r="Y39" s="21"/>
      <c r="Z39" s="128"/>
      <c r="AA39" s="54"/>
      <c r="AB39" s="64"/>
      <c r="AC39" s="69"/>
      <c r="AD39">
        <f t="shared" si="1"/>
        <v>1</v>
      </c>
    </row>
    <row r="40" spans="1:30" x14ac:dyDescent="0.15">
      <c r="A40" s="2" t="s">
        <v>37</v>
      </c>
      <c r="C40" s="21"/>
      <c r="D40" s="128"/>
      <c r="E40" s="54"/>
      <c r="F40" s="64"/>
      <c r="G40" s="69"/>
      <c r="I40" s="21"/>
      <c r="J40" s="128"/>
      <c r="K40" s="54"/>
      <c r="L40" s="64"/>
      <c r="M40" s="69"/>
      <c r="N40" s="128"/>
      <c r="O40" s="54"/>
      <c r="P40" s="64"/>
      <c r="Q40" s="69"/>
      <c r="S40" s="21"/>
      <c r="T40" s="128"/>
      <c r="U40" s="54"/>
      <c r="V40" s="64"/>
      <c r="W40" s="69"/>
      <c r="Y40" s="21"/>
      <c r="Z40" s="128"/>
      <c r="AA40" s="54"/>
      <c r="AB40" s="64"/>
      <c r="AC40" s="69"/>
      <c r="AD40">
        <f t="shared" si="1"/>
        <v>0</v>
      </c>
    </row>
    <row r="41" spans="1:30" x14ac:dyDescent="0.15">
      <c r="A41" s="2" t="s">
        <v>20</v>
      </c>
      <c r="C41" s="21"/>
      <c r="D41" s="128"/>
      <c r="E41" s="54"/>
      <c r="F41" s="64">
        <v>1</v>
      </c>
      <c r="G41" s="69"/>
      <c r="H41">
        <v>3</v>
      </c>
      <c r="I41" s="21">
        <v>2</v>
      </c>
      <c r="J41" s="128">
        <v>1</v>
      </c>
      <c r="K41" s="54">
        <v>1</v>
      </c>
      <c r="L41" s="64">
        <v>2</v>
      </c>
      <c r="M41" s="69">
        <v>2</v>
      </c>
      <c r="N41" s="128"/>
      <c r="O41" s="54"/>
      <c r="P41" s="64"/>
      <c r="Q41" s="69"/>
      <c r="S41" s="21"/>
      <c r="T41" s="128"/>
      <c r="U41" s="54"/>
      <c r="V41" s="64"/>
      <c r="W41" s="69"/>
      <c r="Y41" s="21"/>
      <c r="Z41" s="128"/>
      <c r="AA41" s="54"/>
      <c r="AB41" s="64"/>
      <c r="AC41" s="69"/>
      <c r="AD41">
        <f t="shared" si="1"/>
        <v>7</v>
      </c>
    </row>
    <row r="42" spans="1:30" x14ac:dyDescent="0.15">
      <c r="A42" s="2" t="s">
        <v>11</v>
      </c>
      <c r="C42" s="21"/>
      <c r="D42" s="128"/>
      <c r="E42" s="54"/>
      <c r="F42" s="64"/>
      <c r="G42" s="69"/>
      <c r="I42" s="21"/>
      <c r="J42" s="128"/>
      <c r="K42" s="54"/>
      <c r="L42" s="64"/>
      <c r="M42" s="69"/>
      <c r="N42" s="128"/>
      <c r="O42" s="54"/>
      <c r="P42" s="64"/>
      <c r="Q42" s="69"/>
      <c r="S42" s="21"/>
      <c r="T42" s="128"/>
      <c r="U42" s="54"/>
      <c r="V42" s="64"/>
      <c r="W42" s="69"/>
      <c r="Y42" s="21"/>
      <c r="Z42" s="128"/>
      <c r="AA42" s="54"/>
      <c r="AB42" s="64"/>
      <c r="AC42" s="69"/>
      <c r="AD42">
        <f t="shared" si="1"/>
        <v>0</v>
      </c>
    </row>
    <row r="43" spans="1:30" x14ac:dyDescent="0.15">
      <c r="A43" s="2" t="s">
        <v>21</v>
      </c>
      <c r="B43">
        <v>1</v>
      </c>
      <c r="C43" s="21">
        <v>1</v>
      </c>
      <c r="D43" s="128">
        <v>1</v>
      </c>
      <c r="E43" s="54">
        <v>1</v>
      </c>
      <c r="F43" s="64">
        <v>1</v>
      </c>
      <c r="G43" s="69">
        <v>1</v>
      </c>
      <c r="I43" s="21"/>
      <c r="J43" s="128"/>
      <c r="K43" s="54"/>
      <c r="L43" s="64"/>
      <c r="M43" s="69"/>
      <c r="N43" s="128"/>
      <c r="O43" s="54"/>
      <c r="P43" s="64"/>
      <c r="Q43" s="69"/>
      <c r="S43" s="21"/>
      <c r="T43" s="128">
        <v>1</v>
      </c>
      <c r="U43" s="54"/>
      <c r="V43" s="64"/>
      <c r="W43" s="69"/>
      <c r="X43">
        <v>3</v>
      </c>
      <c r="Y43" s="21">
        <v>2</v>
      </c>
      <c r="Z43" s="128">
        <v>2</v>
      </c>
      <c r="AA43" s="54">
        <v>2</v>
      </c>
      <c r="AB43" s="64">
        <v>2</v>
      </c>
      <c r="AC43" s="69">
        <v>1</v>
      </c>
      <c r="AD43">
        <f t="shared" si="1"/>
        <v>13</v>
      </c>
    </row>
    <row r="44" spans="1:30" x14ac:dyDescent="0.15">
      <c r="A44" s="2" t="s">
        <v>197</v>
      </c>
      <c r="C44" s="21"/>
      <c r="D44" s="128"/>
      <c r="E44" s="54"/>
      <c r="F44" s="64"/>
      <c r="G44" s="69"/>
      <c r="I44" s="21"/>
      <c r="J44" s="128"/>
      <c r="K44" s="54"/>
      <c r="L44" s="64"/>
      <c r="M44" s="69"/>
      <c r="N44" s="128"/>
      <c r="O44" s="54"/>
      <c r="P44" s="64"/>
      <c r="Q44" s="69"/>
      <c r="S44" s="21"/>
      <c r="T44" s="128"/>
      <c r="U44" s="54"/>
      <c r="V44" s="64"/>
      <c r="W44" s="69"/>
      <c r="Y44" s="21"/>
      <c r="Z44" s="128"/>
      <c r="AA44" s="54"/>
      <c r="AB44" s="64"/>
      <c r="AC44" s="69"/>
      <c r="AD44">
        <f t="shared" si="1"/>
        <v>0</v>
      </c>
    </row>
    <row r="45" spans="1:30" x14ac:dyDescent="0.15">
      <c r="A45" s="2" t="s">
        <v>196</v>
      </c>
      <c r="C45" s="21"/>
      <c r="D45" s="128"/>
      <c r="E45" s="54"/>
      <c r="F45" s="64"/>
      <c r="G45" s="69"/>
      <c r="I45" s="21"/>
      <c r="J45" s="128"/>
      <c r="K45" s="54"/>
      <c r="L45" s="64"/>
      <c r="M45" s="69"/>
      <c r="N45" s="128"/>
      <c r="O45" s="54"/>
      <c r="P45" s="64"/>
      <c r="Q45" s="69"/>
      <c r="S45" s="21"/>
      <c r="T45" s="128"/>
      <c r="U45" s="54"/>
      <c r="V45" s="64"/>
      <c r="W45" s="69"/>
      <c r="Y45" s="21"/>
      <c r="Z45" s="128"/>
      <c r="AA45" s="54"/>
      <c r="AB45" s="64"/>
      <c r="AC45" s="69"/>
      <c r="AD45">
        <f t="shared" si="1"/>
        <v>0</v>
      </c>
    </row>
    <row r="46" spans="1:30" x14ac:dyDescent="0.15">
      <c r="A46" s="5" t="s">
        <v>198</v>
      </c>
      <c r="C46" s="21"/>
      <c r="D46" s="128"/>
      <c r="E46" s="54"/>
      <c r="F46" s="64"/>
      <c r="G46" s="69"/>
      <c r="I46" s="21"/>
      <c r="J46" s="128"/>
      <c r="K46" s="54"/>
      <c r="L46" s="64"/>
      <c r="M46" s="69"/>
      <c r="N46" s="128"/>
      <c r="O46" s="54"/>
      <c r="P46" s="64"/>
      <c r="Q46" s="69"/>
      <c r="S46" s="21"/>
      <c r="T46" s="128"/>
      <c r="U46" s="54"/>
      <c r="V46" s="64"/>
      <c r="W46" s="69"/>
      <c r="Y46" s="21"/>
      <c r="Z46" s="128"/>
      <c r="AA46" s="54"/>
      <c r="AB46" s="64"/>
      <c r="AC46" s="69"/>
      <c r="AD46">
        <f t="shared" si="1"/>
        <v>0</v>
      </c>
    </row>
    <row r="47" spans="1:30" x14ac:dyDescent="0.15">
      <c r="A47" s="2" t="s">
        <v>35</v>
      </c>
      <c r="B47">
        <v>2</v>
      </c>
      <c r="C47" s="21">
        <v>1</v>
      </c>
      <c r="D47" s="128">
        <v>1</v>
      </c>
      <c r="E47" s="54">
        <v>1</v>
      </c>
      <c r="F47" s="64">
        <v>1</v>
      </c>
      <c r="G47" s="69">
        <v>1</v>
      </c>
      <c r="H47">
        <v>3</v>
      </c>
      <c r="I47" s="21">
        <v>1</v>
      </c>
      <c r="J47" s="128"/>
      <c r="K47" s="54"/>
      <c r="L47" s="64"/>
      <c r="M47" s="69"/>
      <c r="N47" s="128"/>
      <c r="O47" s="54"/>
      <c r="P47" s="64"/>
      <c r="Q47" s="69"/>
      <c r="R47">
        <v>1</v>
      </c>
      <c r="S47" s="21"/>
      <c r="T47" s="128"/>
      <c r="U47" s="54"/>
      <c r="V47" s="64"/>
      <c r="W47" s="69"/>
      <c r="X47">
        <v>2</v>
      </c>
      <c r="Y47" s="21">
        <v>2</v>
      </c>
      <c r="Z47" s="128">
        <v>1</v>
      </c>
      <c r="AA47" s="54">
        <v>2</v>
      </c>
      <c r="AB47" s="64">
        <v>2</v>
      </c>
      <c r="AC47" s="69">
        <v>2</v>
      </c>
      <c r="AD47">
        <f t="shared" si="1"/>
        <v>15</v>
      </c>
    </row>
    <row r="48" spans="1:30" x14ac:dyDescent="0.15">
      <c r="A48" s="2" t="s">
        <v>110</v>
      </c>
      <c r="C48" s="21"/>
      <c r="D48" s="128"/>
      <c r="E48" s="54"/>
      <c r="F48" s="64"/>
      <c r="G48" s="69"/>
      <c r="I48" s="21"/>
      <c r="J48" s="128"/>
      <c r="K48" s="54"/>
      <c r="L48" s="64"/>
      <c r="M48" s="69"/>
      <c r="N48" s="128"/>
      <c r="O48" s="54"/>
      <c r="P48" s="64"/>
      <c r="Q48" s="69"/>
      <c r="S48" s="21"/>
      <c r="T48" s="128"/>
      <c r="U48" s="54"/>
      <c r="V48" s="64"/>
      <c r="W48" s="69"/>
      <c r="Y48" s="21"/>
      <c r="Z48" s="128"/>
      <c r="AA48" s="54"/>
      <c r="AB48" s="64"/>
      <c r="AC48" s="69"/>
      <c r="AD48">
        <f t="shared" si="1"/>
        <v>0</v>
      </c>
    </row>
    <row r="49" spans="1:30" x14ac:dyDescent="0.15">
      <c r="A49" s="2" t="s">
        <v>25</v>
      </c>
      <c r="C49" s="21"/>
      <c r="D49" s="128"/>
      <c r="E49" s="54"/>
      <c r="F49" s="64"/>
      <c r="G49" s="69"/>
      <c r="I49" s="21"/>
      <c r="J49" s="128"/>
      <c r="K49" s="54"/>
      <c r="L49" s="64"/>
      <c r="M49" s="69"/>
      <c r="N49" s="128"/>
      <c r="O49" s="54"/>
      <c r="P49" s="64"/>
      <c r="Q49" s="69"/>
      <c r="S49" s="21"/>
      <c r="T49" s="128"/>
      <c r="U49" s="54"/>
      <c r="V49" s="64"/>
      <c r="W49" s="69"/>
      <c r="Y49" s="21"/>
      <c r="Z49" s="128"/>
      <c r="AA49" s="54"/>
      <c r="AB49" s="64"/>
      <c r="AC49" s="69"/>
      <c r="AD49">
        <f t="shared" si="1"/>
        <v>0</v>
      </c>
    </row>
    <row r="50" spans="1:30" x14ac:dyDescent="0.15">
      <c r="A50" s="2" t="s">
        <v>38</v>
      </c>
      <c r="C50" s="21"/>
      <c r="D50" s="128"/>
      <c r="E50" s="54"/>
      <c r="F50" s="64"/>
      <c r="G50" s="69"/>
      <c r="I50" s="21"/>
      <c r="J50" s="128"/>
      <c r="K50" s="54"/>
      <c r="L50" s="64"/>
      <c r="M50" s="69"/>
      <c r="N50" s="128"/>
      <c r="O50" s="54"/>
      <c r="P50" s="64"/>
      <c r="Q50" s="69"/>
      <c r="S50" s="21"/>
      <c r="T50" s="128"/>
      <c r="U50" s="54"/>
      <c r="V50" s="64"/>
      <c r="W50" s="69"/>
      <c r="Y50" s="21"/>
      <c r="Z50" s="128"/>
      <c r="AA50" s="54"/>
      <c r="AB50" s="64"/>
      <c r="AC50" s="69"/>
      <c r="AD50">
        <f t="shared" si="1"/>
        <v>0</v>
      </c>
    </row>
    <row r="51" spans="1:30" x14ac:dyDescent="0.15">
      <c r="A51" s="2" t="s">
        <v>27</v>
      </c>
      <c r="C51" s="21"/>
      <c r="D51" s="128"/>
      <c r="E51" s="54"/>
      <c r="F51" s="64"/>
      <c r="G51" s="69"/>
      <c r="I51" s="21"/>
      <c r="J51" s="128"/>
      <c r="K51" s="54"/>
      <c r="L51" s="64"/>
      <c r="M51" s="69"/>
      <c r="N51" s="128"/>
      <c r="O51" s="54"/>
      <c r="P51" s="64"/>
      <c r="Q51" s="69"/>
      <c r="S51" s="21"/>
      <c r="T51" s="128"/>
      <c r="U51" s="54"/>
      <c r="V51" s="64"/>
      <c r="W51" s="69"/>
      <c r="Y51" s="21"/>
      <c r="Z51" s="128"/>
      <c r="AA51" s="54"/>
      <c r="AB51" s="64"/>
      <c r="AC51" s="69"/>
      <c r="AD51">
        <f t="shared" si="1"/>
        <v>0</v>
      </c>
    </row>
    <row r="52" spans="1:30" x14ac:dyDescent="0.15">
      <c r="A52" s="2" t="s">
        <v>229</v>
      </c>
      <c r="C52" s="21"/>
      <c r="D52" s="128"/>
      <c r="E52" s="54"/>
      <c r="F52" s="64"/>
      <c r="G52" s="69"/>
      <c r="I52" s="21"/>
      <c r="J52" s="128"/>
      <c r="K52" s="54"/>
      <c r="L52" s="64"/>
      <c r="M52" s="69"/>
      <c r="N52" s="128"/>
      <c r="O52" s="54"/>
      <c r="P52" s="64"/>
      <c r="Q52" s="69"/>
      <c r="S52" s="21"/>
      <c r="T52" s="128"/>
      <c r="U52" s="54"/>
      <c r="V52" s="64"/>
      <c r="W52" s="69"/>
      <c r="Y52" s="21"/>
      <c r="Z52" s="128"/>
      <c r="AA52" s="54"/>
      <c r="AB52" s="64"/>
      <c r="AC52" s="69"/>
      <c r="AD52">
        <f t="shared" si="1"/>
        <v>0</v>
      </c>
    </row>
    <row r="53" spans="1:30" x14ac:dyDescent="0.15">
      <c r="A53" s="2" t="s">
        <v>36</v>
      </c>
      <c r="C53" s="21"/>
      <c r="D53" s="128"/>
      <c r="E53" s="54"/>
      <c r="F53" s="64"/>
      <c r="G53" s="69"/>
      <c r="I53" s="21"/>
      <c r="J53" s="128"/>
      <c r="K53" s="54"/>
      <c r="L53" s="64"/>
      <c r="M53" s="69"/>
      <c r="N53" s="128"/>
      <c r="O53" s="54"/>
      <c r="P53" s="64"/>
      <c r="Q53" s="69"/>
      <c r="S53" s="21"/>
      <c r="T53" s="128"/>
      <c r="U53" s="54"/>
      <c r="V53" s="64"/>
      <c r="W53" s="69"/>
      <c r="Y53" s="21"/>
      <c r="Z53" s="128"/>
      <c r="AA53" s="54"/>
      <c r="AB53" s="64"/>
      <c r="AC53" s="69"/>
      <c r="AD53">
        <f t="shared" si="1"/>
        <v>0</v>
      </c>
    </row>
    <row r="54" spans="1:30" x14ac:dyDescent="0.15">
      <c r="A54" s="2" t="s">
        <v>50</v>
      </c>
      <c r="C54" s="21"/>
      <c r="D54" s="128"/>
      <c r="E54" s="54"/>
      <c r="F54" s="64"/>
      <c r="G54" s="69"/>
      <c r="I54" s="21"/>
      <c r="J54" s="128"/>
      <c r="K54" s="54"/>
      <c r="L54" s="64"/>
      <c r="M54" s="69"/>
      <c r="N54" s="128"/>
      <c r="O54" s="54"/>
      <c r="P54" s="64"/>
      <c r="Q54" s="69"/>
      <c r="S54" s="21"/>
      <c r="T54" s="128"/>
      <c r="U54" s="54"/>
      <c r="V54" s="64"/>
      <c r="W54" s="69"/>
      <c r="Y54" s="21"/>
      <c r="Z54" s="128"/>
      <c r="AA54" s="54"/>
      <c r="AB54" s="64"/>
      <c r="AC54" s="69"/>
      <c r="AD54">
        <f t="shared" si="1"/>
        <v>0</v>
      </c>
    </row>
    <row r="55" spans="1:30" x14ac:dyDescent="0.15">
      <c r="A55" s="2" t="s">
        <v>231</v>
      </c>
      <c r="C55" s="21"/>
      <c r="D55" s="128"/>
      <c r="E55" s="54"/>
      <c r="F55" s="64"/>
      <c r="G55" s="69"/>
      <c r="I55" s="21"/>
      <c r="J55" s="128"/>
      <c r="K55" s="54"/>
      <c r="L55" s="64"/>
      <c r="M55" s="69"/>
      <c r="N55" s="128"/>
      <c r="O55" s="54"/>
      <c r="P55" s="64"/>
      <c r="Q55" s="69"/>
      <c r="S55" s="21"/>
      <c r="T55" s="128"/>
      <c r="U55" s="54"/>
      <c r="V55" s="64"/>
      <c r="W55" s="69"/>
      <c r="Y55" s="21"/>
      <c r="Z55" s="128"/>
      <c r="AA55" s="54"/>
      <c r="AB55" s="64"/>
      <c r="AC55" s="69"/>
      <c r="AD55">
        <f t="shared" si="1"/>
        <v>0</v>
      </c>
    </row>
    <row r="56" spans="1:30" x14ac:dyDescent="0.15">
      <c r="A56" s="2" t="s">
        <v>190</v>
      </c>
      <c r="C56" s="21"/>
      <c r="D56" s="128"/>
      <c r="E56" s="54"/>
      <c r="F56" s="64"/>
      <c r="G56" s="69"/>
      <c r="I56" s="21"/>
      <c r="J56" s="128"/>
      <c r="K56" s="54"/>
      <c r="L56" s="64"/>
      <c r="M56" s="69"/>
      <c r="N56" s="128"/>
      <c r="O56" s="54"/>
      <c r="P56" s="64"/>
      <c r="Q56" s="69"/>
      <c r="S56" s="21"/>
      <c r="T56" s="128"/>
      <c r="U56" s="54"/>
      <c r="V56" s="64"/>
      <c r="W56" s="69"/>
      <c r="Y56" s="21"/>
      <c r="Z56" s="128"/>
      <c r="AA56" s="54"/>
      <c r="AB56" s="64"/>
      <c r="AC56" s="69"/>
      <c r="AD56">
        <f t="shared" si="1"/>
        <v>0</v>
      </c>
    </row>
    <row r="57" spans="1:30" x14ac:dyDescent="0.15">
      <c r="A57" s="2" t="s">
        <v>58</v>
      </c>
      <c r="C57" s="21"/>
      <c r="D57" s="128"/>
      <c r="E57" s="54"/>
      <c r="F57" s="64"/>
      <c r="G57" s="69">
        <v>1</v>
      </c>
      <c r="I57" s="21"/>
      <c r="J57" s="128"/>
      <c r="K57" s="54"/>
      <c r="L57" s="64"/>
      <c r="M57" s="69"/>
      <c r="N57" s="128"/>
      <c r="O57" s="54"/>
      <c r="P57" s="64"/>
      <c r="Q57" s="69"/>
      <c r="S57" s="21"/>
      <c r="T57" s="128"/>
      <c r="U57" s="54"/>
      <c r="V57" s="64"/>
      <c r="W57" s="69"/>
      <c r="Y57" s="21"/>
      <c r="Z57" s="128"/>
      <c r="AA57" s="54"/>
      <c r="AB57" s="64"/>
      <c r="AC57" s="69"/>
      <c r="AD57">
        <f t="shared" si="1"/>
        <v>1</v>
      </c>
    </row>
    <row r="58" spans="1:30" x14ac:dyDescent="0.15">
      <c r="A58" s="2" t="s">
        <v>57</v>
      </c>
      <c r="C58" s="21"/>
      <c r="D58" s="128"/>
      <c r="E58" s="54"/>
      <c r="F58" s="64"/>
      <c r="G58" s="69"/>
      <c r="I58" s="21"/>
      <c r="J58" s="128"/>
      <c r="K58" s="54"/>
      <c r="L58" s="64"/>
      <c r="M58" s="69"/>
      <c r="N58" s="128"/>
      <c r="O58" s="54"/>
      <c r="P58" s="64"/>
      <c r="Q58" s="69"/>
      <c r="S58" s="21"/>
      <c r="T58" s="128"/>
      <c r="U58" s="54"/>
      <c r="V58" s="64"/>
      <c r="W58" s="69"/>
      <c r="Y58" s="21"/>
      <c r="Z58" s="128"/>
      <c r="AA58" s="54"/>
      <c r="AB58" s="64"/>
      <c r="AC58" s="69"/>
      <c r="AD58">
        <f t="shared" si="1"/>
        <v>0</v>
      </c>
    </row>
    <row r="59" spans="1:30" x14ac:dyDescent="0.15">
      <c r="A59" s="2" t="s">
        <v>28</v>
      </c>
      <c r="C59" s="21"/>
      <c r="D59" s="128"/>
      <c r="E59" s="54"/>
      <c r="F59" s="64"/>
      <c r="G59" s="69"/>
      <c r="I59" s="21"/>
      <c r="J59" s="128"/>
      <c r="K59" s="54"/>
      <c r="L59" s="64"/>
      <c r="M59" s="69"/>
      <c r="N59" s="128"/>
      <c r="O59" s="54"/>
      <c r="P59" s="64"/>
      <c r="Q59" s="69"/>
      <c r="S59" s="21"/>
      <c r="T59" s="128"/>
      <c r="U59" s="54"/>
      <c r="V59" s="64"/>
      <c r="W59" s="69"/>
      <c r="Y59" s="21"/>
      <c r="Z59" s="128"/>
      <c r="AA59" s="54"/>
      <c r="AB59" s="64"/>
      <c r="AC59" s="69"/>
      <c r="AD59">
        <f t="shared" si="1"/>
        <v>0</v>
      </c>
    </row>
    <row r="60" spans="1:30" x14ac:dyDescent="0.15">
      <c r="A60" s="2" t="s">
        <v>194</v>
      </c>
      <c r="C60" s="21"/>
      <c r="D60" s="128"/>
      <c r="E60" s="54"/>
      <c r="F60" s="64"/>
      <c r="G60" s="69"/>
      <c r="I60" s="21"/>
      <c r="J60" s="128"/>
      <c r="K60" s="54"/>
      <c r="L60" s="64"/>
      <c r="M60" s="69"/>
      <c r="N60" s="128"/>
      <c r="O60" s="54"/>
      <c r="P60" s="64"/>
      <c r="Q60" s="69"/>
      <c r="S60" s="21"/>
      <c r="T60" s="128"/>
      <c r="U60" s="54"/>
      <c r="V60" s="64"/>
      <c r="W60" s="69"/>
      <c r="Y60" s="21"/>
      <c r="Z60" s="128"/>
      <c r="AA60" s="54"/>
      <c r="AB60" s="64"/>
      <c r="AC60" s="69"/>
      <c r="AD60">
        <f t="shared" si="1"/>
        <v>0</v>
      </c>
    </row>
    <row r="61" spans="1:30" x14ac:dyDescent="0.15">
      <c r="A61" s="2" t="s">
        <v>10</v>
      </c>
      <c r="C61" s="21"/>
      <c r="D61" s="128"/>
      <c r="E61" s="54"/>
      <c r="F61" s="64"/>
      <c r="G61" s="69"/>
      <c r="I61" s="21"/>
      <c r="J61" s="128"/>
      <c r="K61" s="54"/>
      <c r="L61" s="64"/>
      <c r="M61" s="69"/>
      <c r="N61" s="128"/>
      <c r="O61" s="54"/>
      <c r="P61" s="64"/>
      <c r="Q61" s="69"/>
      <c r="S61" s="21"/>
      <c r="T61" s="128"/>
      <c r="U61" s="54"/>
      <c r="V61" s="64"/>
      <c r="W61" s="69"/>
      <c r="Y61" s="21"/>
      <c r="Z61" s="128"/>
      <c r="AA61" s="54"/>
      <c r="AB61" s="64"/>
      <c r="AC61" s="69"/>
      <c r="AD61">
        <f t="shared" si="1"/>
        <v>0</v>
      </c>
    </row>
    <row r="62" spans="1:30" x14ac:dyDescent="0.15">
      <c r="A62" s="5" t="s">
        <v>174</v>
      </c>
      <c r="B62" s="4"/>
      <c r="C62" s="138"/>
      <c r="D62" s="38">
        <v>1</v>
      </c>
      <c r="E62" s="117">
        <v>1</v>
      </c>
      <c r="F62" s="118"/>
      <c r="G62" s="146">
        <v>2</v>
      </c>
      <c r="H62" s="114"/>
      <c r="I62" s="115"/>
      <c r="J62" s="111"/>
      <c r="K62" s="112"/>
      <c r="L62" s="113"/>
      <c r="M62" s="145"/>
      <c r="N62" s="111"/>
      <c r="O62" s="112"/>
      <c r="P62" s="113"/>
      <c r="Q62" s="145"/>
      <c r="R62" s="4">
        <v>1</v>
      </c>
      <c r="S62" s="138"/>
      <c r="T62" s="38"/>
      <c r="U62" s="112"/>
      <c r="V62" s="113"/>
      <c r="W62" s="145"/>
      <c r="X62" s="114"/>
      <c r="Y62" s="115"/>
      <c r="Z62" s="111"/>
      <c r="AA62" s="112"/>
      <c r="AB62" s="113"/>
      <c r="AC62" s="145"/>
      <c r="AD62">
        <f t="shared" si="1"/>
        <v>4</v>
      </c>
    </row>
    <row r="63" spans="1:30" x14ac:dyDescent="0.15">
      <c r="A63" s="2" t="s">
        <v>22</v>
      </c>
      <c r="C63" s="21"/>
      <c r="D63" s="128"/>
      <c r="E63" s="54"/>
      <c r="F63" s="64"/>
      <c r="G63" s="69"/>
      <c r="I63" s="21"/>
      <c r="J63" s="128"/>
      <c r="K63" s="54"/>
      <c r="L63" s="64"/>
      <c r="M63" s="69"/>
      <c r="N63" s="128"/>
      <c r="O63" s="54"/>
      <c r="P63" s="64"/>
      <c r="Q63" s="69"/>
      <c r="R63">
        <v>1</v>
      </c>
      <c r="S63" s="21"/>
      <c r="T63" s="128"/>
      <c r="U63" s="54"/>
      <c r="V63" s="64"/>
      <c r="W63" s="69"/>
      <c r="X63">
        <v>1</v>
      </c>
      <c r="Y63" s="21"/>
      <c r="Z63" s="128"/>
      <c r="AA63" s="54"/>
      <c r="AB63" s="64"/>
      <c r="AC63" s="69"/>
      <c r="AD63">
        <f t="shared" si="1"/>
        <v>2</v>
      </c>
    </row>
    <row r="64" spans="1:30" x14ac:dyDescent="0.15">
      <c r="A64" s="5" t="s">
        <v>132</v>
      </c>
      <c r="C64" s="21"/>
      <c r="D64" s="128"/>
      <c r="E64" s="54"/>
      <c r="F64" s="64"/>
      <c r="G64" s="69"/>
      <c r="I64" s="21"/>
      <c r="J64" s="128"/>
      <c r="K64" s="54"/>
      <c r="L64" s="64"/>
      <c r="M64" s="69"/>
      <c r="N64" s="128"/>
      <c r="O64" s="54"/>
      <c r="P64" s="64"/>
      <c r="Q64" s="69"/>
      <c r="S64" s="21"/>
      <c r="T64" s="128"/>
      <c r="U64" s="54"/>
      <c r="V64" s="64"/>
      <c r="W64" s="69"/>
      <c r="Y64" s="21"/>
      <c r="Z64" s="128"/>
      <c r="AA64" s="54"/>
      <c r="AB64" s="64"/>
      <c r="AC64" s="69"/>
      <c r="AD64">
        <f t="shared" si="1"/>
        <v>0</v>
      </c>
    </row>
    <row r="65" spans="1:30" x14ac:dyDescent="0.15">
      <c r="A65" s="5" t="s">
        <v>191</v>
      </c>
      <c r="C65" s="21"/>
      <c r="D65" s="128"/>
      <c r="E65" s="54"/>
      <c r="F65" s="64"/>
      <c r="G65" s="69"/>
      <c r="I65" s="21"/>
      <c r="J65" s="128"/>
      <c r="K65" s="54"/>
      <c r="L65" s="64"/>
      <c r="M65" s="69"/>
      <c r="N65" s="128"/>
      <c r="O65" s="54"/>
      <c r="P65" s="64"/>
      <c r="Q65" s="69"/>
      <c r="S65" s="21"/>
      <c r="T65" s="128"/>
      <c r="U65" s="54"/>
      <c r="V65" s="64"/>
      <c r="W65" s="69"/>
      <c r="Y65" s="21"/>
      <c r="Z65" s="128"/>
      <c r="AA65" s="54"/>
      <c r="AB65" s="64"/>
      <c r="AC65" s="69"/>
      <c r="AD65">
        <f t="shared" si="1"/>
        <v>0</v>
      </c>
    </row>
    <row r="66" spans="1:30" x14ac:dyDescent="0.15">
      <c r="A66" s="5" t="s">
        <v>218</v>
      </c>
      <c r="C66" s="21"/>
      <c r="D66" s="128"/>
      <c r="E66" s="54"/>
      <c r="F66" s="64"/>
      <c r="G66" s="69"/>
      <c r="I66" s="21"/>
      <c r="J66" s="128"/>
      <c r="K66" s="54"/>
      <c r="L66" s="64"/>
      <c r="M66" s="69"/>
      <c r="N66" s="128"/>
      <c r="O66" s="54"/>
      <c r="P66" s="64"/>
      <c r="Q66" s="69"/>
      <c r="S66" s="21"/>
      <c r="T66" s="128"/>
      <c r="U66" s="54"/>
      <c r="V66" s="64"/>
      <c r="W66" s="69"/>
      <c r="Y66" s="21"/>
      <c r="Z66" s="128"/>
      <c r="AA66" s="54"/>
      <c r="AB66" s="64"/>
      <c r="AC66" s="69"/>
      <c r="AD66">
        <f t="shared" si="1"/>
        <v>0</v>
      </c>
    </row>
    <row r="67" spans="1:30" x14ac:dyDescent="0.15">
      <c r="A67" s="5" t="s">
        <v>203</v>
      </c>
      <c r="C67" s="21"/>
      <c r="D67" s="128"/>
      <c r="E67" s="54"/>
      <c r="F67" s="64"/>
      <c r="G67" s="69"/>
      <c r="I67" s="21"/>
      <c r="J67" s="128"/>
      <c r="K67" s="54"/>
      <c r="L67" s="64"/>
      <c r="M67" s="69"/>
      <c r="N67" s="128"/>
      <c r="O67" s="54"/>
      <c r="P67" s="64"/>
      <c r="Q67" s="69"/>
      <c r="S67" s="21"/>
      <c r="T67" s="128"/>
      <c r="U67" s="54"/>
      <c r="V67" s="64"/>
      <c r="W67" s="69"/>
      <c r="Y67" s="21"/>
      <c r="Z67" s="128"/>
      <c r="AA67" s="54"/>
      <c r="AB67" s="64"/>
      <c r="AC67" s="69"/>
      <c r="AD67">
        <f t="shared" si="1"/>
        <v>0</v>
      </c>
    </row>
    <row r="68" spans="1:30" x14ac:dyDescent="0.15">
      <c r="A68" s="2" t="s">
        <v>23</v>
      </c>
      <c r="C68" s="21"/>
      <c r="D68" s="128"/>
      <c r="E68" s="54"/>
      <c r="F68" s="64"/>
      <c r="G68" s="69"/>
      <c r="I68" s="21"/>
      <c r="J68" s="128"/>
      <c r="K68" s="54"/>
      <c r="L68" s="64"/>
      <c r="M68" s="69"/>
      <c r="N68" s="128"/>
      <c r="O68" s="54"/>
      <c r="P68" s="64"/>
      <c r="Q68" s="69"/>
      <c r="S68" s="21"/>
      <c r="T68" s="128"/>
      <c r="U68" s="54"/>
      <c r="V68" s="64"/>
      <c r="W68" s="69"/>
      <c r="Y68" s="21"/>
      <c r="Z68" s="128"/>
      <c r="AA68" s="54"/>
      <c r="AB68" s="64"/>
      <c r="AC68" s="69"/>
      <c r="AD68">
        <f t="shared" si="1"/>
        <v>0</v>
      </c>
    </row>
    <row r="69" spans="1:30" x14ac:dyDescent="0.15">
      <c r="A69" s="2" t="s">
        <v>208</v>
      </c>
      <c r="C69" s="21"/>
      <c r="D69" s="128"/>
      <c r="E69" s="54"/>
      <c r="F69" s="64"/>
      <c r="G69" s="69">
        <v>1</v>
      </c>
      <c r="I69" s="21"/>
      <c r="J69" s="128"/>
      <c r="K69" s="54"/>
      <c r="L69" s="64"/>
      <c r="M69" s="69">
        <v>1</v>
      </c>
      <c r="N69" s="128"/>
      <c r="O69" s="54"/>
      <c r="P69" s="64">
        <v>1</v>
      </c>
      <c r="Q69" s="69">
        <v>1</v>
      </c>
      <c r="S69" s="21"/>
      <c r="T69" s="128"/>
      <c r="U69" s="54"/>
      <c r="V69" s="64"/>
      <c r="W69" s="69">
        <v>1</v>
      </c>
      <c r="Y69" s="21"/>
      <c r="Z69" s="128"/>
      <c r="AA69" s="54"/>
      <c r="AB69" s="64"/>
      <c r="AC69" s="69"/>
      <c r="AD69">
        <f t="shared" si="1"/>
        <v>5</v>
      </c>
    </row>
    <row r="70" spans="1:30" x14ac:dyDescent="0.15">
      <c r="A70" s="2" t="s">
        <v>41</v>
      </c>
      <c r="C70" s="21"/>
      <c r="D70" s="128"/>
      <c r="E70" s="54"/>
      <c r="F70" s="64"/>
      <c r="G70" s="69"/>
      <c r="I70" s="21"/>
      <c r="J70" s="128"/>
      <c r="K70" s="54"/>
      <c r="L70" s="64"/>
      <c r="M70" s="69"/>
      <c r="N70" s="128"/>
      <c r="O70" s="54"/>
      <c r="P70" s="64"/>
      <c r="Q70" s="69"/>
      <c r="S70" s="21"/>
      <c r="T70" s="128"/>
      <c r="U70" s="54"/>
      <c r="V70" s="64"/>
      <c r="W70" s="69"/>
      <c r="Y70" s="21"/>
      <c r="Z70" s="128"/>
      <c r="AA70" s="54"/>
      <c r="AB70" s="64"/>
      <c r="AC70" s="69"/>
      <c r="AD70">
        <f t="shared" si="1"/>
        <v>0</v>
      </c>
    </row>
    <row r="71" spans="1:30" x14ac:dyDescent="0.15">
      <c r="A71" s="5" t="s">
        <v>95</v>
      </c>
      <c r="C71" s="21"/>
      <c r="D71" s="128"/>
      <c r="E71" s="54"/>
      <c r="F71" s="64"/>
      <c r="G71" s="69"/>
      <c r="I71" s="21"/>
      <c r="J71" s="128"/>
      <c r="K71" s="54"/>
      <c r="L71" s="64"/>
      <c r="M71" s="69"/>
      <c r="N71" s="128"/>
      <c r="O71" s="54"/>
      <c r="P71" s="64"/>
      <c r="Q71" s="69"/>
      <c r="S71" s="21"/>
      <c r="T71" s="128"/>
      <c r="U71" s="54"/>
      <c r="V71" s="64"/>
      <c r="W71" s="69"/>
      <c r="Y71" s="21"/>
      <c r="Z71" s="128"/>
      <c r="AA71" s="54"/>
      <c r="AB71" s="64"/>
      <c r="AC71" s="69"/>
      <c r="AD71">
        <f t="shared" ref="AD71:AD84" si="2">COUNTA(B71:AC71)</f>
        <v>0</v>
      </c>
    </row>
    <row r="72" spans="1:30" x14ac:dyDescent="0.15">
      <c r="A72" s="5" t="s">
        <v>111</v>
      </c>
      <c r="C72" s="21"/>
      <c r="D72" s="128"/>
      <c r="E72" s="54"/>
      <c r="F72" s="64"/>
      <c r="G72" s="69"/>
      <c r="I72" s="21"/>
      <c r="J72" s="128"/>
      <c r="K72" s="54"/>
      <c r="L72" s="64"/>
      <c r="M72" s="69"/>
      <c r="N72" s="128"/>
      <c r="O72" s="54"/>
      <c r="P72" s="64"/>
      <c r="Q72" s="69"/>
      <c r="S72" s="21"/>
      <c r="T72" s="128"/>
      <c r="U72" s="54"/>
      <c r="V72" s="64"/>
      <c r="W72" s="69"/>
      <c r="Y72" s="21"/>
      <c r="Z72" s="128"/>
      <c r="AA72" s="54"/>
      <c r="AB72" s="64"/>
      <c r="AC72" s="69"/>
      <c r="AD72">
        <f t="shared" si="2"/>
        <v>0</v>
      </c>
    </row>
    <row r="73" spans="1:30" x14ac:dyDescent="0.15">
      <c r="A73" s="2" t="s">
        <v>7</v>
      </c>
      <c r="C73" s="21"/>
      <c r="D73" s="128">
        <v>1</v>
      </c>
      <c r="E73" s="54">
        <v>1</v>
      </c>
      <c r="F73" s="64">
        <v>1</v>
      </c>
      <c r="G73" s="69">
        <v>1</v>
      </c>
      <c r="H73">
        <v>1</v>
      </c>
      <c r="I73" s="21">
        <v>1</v>
      </c>
      <c r="J73" s="128">
        <v>1</v>
      </c>
      <c r="K73" s="54">
        <v>1</v>
      </c>
      <c r="L73" s="64">
        <v>1</v>
      </c>
      <c r="M73" s="69">
        <v>1</v>
      </c>
      <c r="N73" s="128">
        <v>1</v>
      </c>
      <c r="O73" s="54">
        <v>1</v>
      </c>
      <c r="P73" s="64">
        <v>1</v>
      </c>
      <c r="Q73" s="69">
        <v>2</v>
      </c>
      <c r="R73">
        <v>1</v>
      </c>
      <c r="S73" s="21">
        <v>1</v>
      </c>
      <c r="T73" s="128">
        <v>1</v>
      </c>
      <c r="U73" s="54">
        <v>1</v>
      </c>
      <c r="V73" s="64">
        <v>1</v>
      </c>
      <c r="W73" s="69">
        <v>1</v>
      </c>
      <c r="Y73" s="21"/>
      <c r="Z73" s="128">
        <v>1</v>
      </c>
      <c r="AA73" s="54">
        <v>1</v>
      </c>
      <c r="AB73" s="64">
        <v>1</v>
      </c>
      <c r="AC73" s="69">
        <v>1</v>
      </c>
      <c r="AD73">
        <f t="shared" si="2"/>
        <v>24</v>
      </c>
    </row>
    <row r="74" spans="1:30" x14ac:dyDescent="0.15">
      <c r="A74" s="2" t="s">
        <v>32</v>
      </c>
      <c r="C74" s="21"/>
      <c r="D74" s="128"/>
      <c r="E74" s="54"/>
      <c r="F74" s="64"/>
      <c r="G74" s="69"/>
      <c r="I74" s="21"/>
      <c r="J74" s="128"/>
      <c r="K74" s="54"/>
      <c r="L74" s="64"/>
      <c r="M74" s="69"/>
      <c r="N74" s="128"/>
      <c r="O74" s="54"/>
      <c r="P74" s="64"/>
      <c r="Q74" s="69"/>
      <c r="S74" s="21"/>
      <c r="T74" s="128"/>
      <c r="U74" s="54"/>
      <c r="V74" s="64"/>
      <c r="W74" s="69"/>
      <c r="Y74" s="21"/>
      <c r="Z74" s="128"/>
      <c r="AA74" s="54"/>
      <c r="AB74" s="64"/>
      <c r="AC74" s="69"/>
      <c r="AD74">
        <f t="shared" si="2"/>
        <v>0</v>
      </c>
    </row>
    <row r="75" spans="1:30" x14ac:dyDescent="0.15">
      <c r="A75" s="5" t="s">
        <v>72</v>
      </c>
      <c r="C75" s="21"/>
      <c r="D75" s="128"/>
      <c r="E75" s="54"/>
      <c r="F75" s="64"/>
      <c r="G75" s="69"/>
      <c r="I75" s="21"/>
      <c r="J75" s="128"/>
      <c r="K75" s="54"/>
      <c r="L75" s="64"/>
      <c r="M75" s="69"/>
      <c r="N75" s="128"/>
      <c r="O75" s="54"/>
      <c r="P75" s="64"/>
      <c r="Q75" s="69"/>
      <c r="S75" s="21"/>
      <c r="T75" s="128"/>
      <c r="U75" s="54"/>
      <c r="V75" s="64"/>
      <c r="W75" s="69"/>
      <c r="Y75" s="21"/>
      <c r="Z75" s="128"/>
      <c r="AA75" s="54"/>
      <c r="AB75" s="64"/>
      <c r="AC75" s="69"/>
      <c r="AD75">
        <f t="shared" si="2"/>
        <v>0</v>
      </c>
    </row>
    <row r="76" spans="1:30" x14ac:dyDescent="0.15">
      <c r="A76" s="5" t="s">
        <v>61</v>
      </c>
      <c r="C76" s="21"/>
      <c r="D76" s="128"/>
      <c r="E76" s="54"/>
      <c r="F76" s="64"/>
      <c r="G76" s="69"/>
      <c r="I76" s="21"/>
      <c r="J76" s="128"/>
      <c r="K76" s="54"/>
      <c r="L76" s="64"/>
      <c r="M76" s="69"/>
      <c r="N76" s="128"/>
      <c r="O76" s="54"/>
      <c r="P76" s="64"/>
      <c r="Q76" s="69"/>
      <c r="S76" s="21"/>
      <c r="T76" s="128"/>
      <c r="U76" s="54"/>
      <c r="V76" s="64"/>
      <c r="W76" s="69"/>
      <c r="Y76" s="21"/>
      <c r="Z76" s="128"/>
      <c r="AA76" s="54"/>
      <c r="AB76" s="64"/>
      <c r="AC76" s="69"/>
      <c r="AD76">
        <f t="shared" si="2"/>
        <v>0</v>
      </c>
    </row>
    <row r="77" spans="1:30" x14ac:dyDescent="0.15">
      <c r="A77" s="5" t="s">
        <v>42</v>
      </c>
      <c r="C77" s="21"/>
      <c r="D77" s="128"/>
      <c r="E77" s="54"/>
      <c r="F77" s="64"/>
      <c r="G77" s="69"/>
      <c r="I77" s="21"/>
      <c r="J77" s="128"/>
      <c r="K77" s="54"/>
      <c r="L77" s="64"/>
      <c r="M77" s="69"/>
      <c r="N77" s="128"/>
      <c r="O77" s="54"/>
      <c r="P77" s="64"/>
      <c r="Q77" s="69"/>
      <c r="S77" s="21"/>
      <c r="T77" s="128"/>
      <c r="U77" s="54"/>
      <c r="V77" s="64"/>
      <c r="W77" s="69"/>
      <c r="Y77" s="21"/>
      <c r="Z77" s="128">
        <v>1</v>
      </c>
      <c r="AA77" s="54"/>
      <c r="AB77" s="64"/>
      <c r="AC77" s="69">
        <v>1</v>
      </c>
      <c r="AD77">
        <f t="shared" si="2"/>
        <v>2</v>
      </c>
    </row>
    <row r="78" spans="1:30" x14ac:dyDescent="0.15">
      <c r="A78" s="5" t="s">
        <v>205</v>
      </c>
      <c r="C78" s="21"/>
      <c r="D78" s="128"/>
      <c r="E78" s="54"/>
      <c r="F78" s="64"/>
      <c r="G78" s="69"/>
      <c r="I78" s="21"/>
      <c r="J78" s="128"/>
      <c r="K78" s="54"/>
      <c r="L78" s="64"/>
      <c r="M78" s="69"/>
      <c r="N78" s="128"/>
      <c r="O78" s="54"/>
      <c r="P78" s="64"/>
      <c r="Q78" s="69"/>
      <c r="S78" s="21"/>
      <c r="T78" s="128"/>
      <c r="U78" s="54"/>
      <c r="V78" s="64"/>
      <c r="W78" s="69"/>
      <c r="Y78" s="21"/>
      <c r="Z78" s="128"/>
      <c r="AA78" s="54"/>
      <c r="AB78" s="64"/>
      <c r="AC78" s="69"/>
      <c r="AD78">
        <f t="shared" si="2"/>
        <v>0</v>
      </c>
    </row>
    <row r="79" spans="1:30" x14ac:dyDescent="0.15">
      <c r="A79" s="2" t="s">
        <v>213</v>
      </c>
      <c r="C79" s="21"/>
      <c r="D79" s="128"/>
      <c r="E79" s="54"/>
      <c r="F79" s="64"/>
      <c r="G79" s="69"/>
      <c r="I79" s="21"/>
      <c r="J79" s="128"/>
      <c r="K79" s="54"/>
      <c r="L79" s="64"/>
      <c r="M79" s="69"/>
      <c r="N79" s="128"/>
      <c r="O79" s="54"/>
      <c r="P79" s="64"/>
      <c r="Q79" s="69"/>
      <c r="S79" s="21"/>
      <c r="T79" s="128"/>
      <c r="U79" s="54"/>
      <c r="V79" s="64"/>
      <c r="W79" s="69"/>
      <c r="Y79" s="21"/>
      <c r="Z79" s="128"/>
      <c r="AA79" s="54"/>
      <c r="AB79" s="64"/>
      <c r="AC79" s="69"/>
      <c r="AD79">
        <f t="shared" si="2"/>
        <v>0</v>
      </c>
    </row>
    <row r="80" spans="1:30" x14ac:dyDescent="0.15">
      <c r="A80" s="5" t="s">
        <v>96</v>
      </c>
      <c r="C80" s="21"/>
      <c r="D80" s="128"/>
      <c r="E80" s="54"/>
      <c r="F80" s="64"/>
      <c r="G80" s="69"/>
      <c r="I80" s="21"/>
      <c r="J80" s="128"/>
      <c r="K80" s="54"/>
      <c r="L80" s="64"/>
      <c r="M80" s="69"/>
      <c r="N80" s="128"/>
      <c r="O80" s="54"/>
      <c r="P80" s="64"/>
      <c r="Q80" s="69"/>
      <c r="S80" s="21"/>
      <c r="T80" s="128"/>
      <c r="U80" s="54"/>
      <c r="V80" s="64"/>
      <c r="W80" s="69"/>
      <c r="Y80" s="21"/>
      <c r="Z80" s="128"/>
      <c r="AA80" s="54"/>
      <c r="AB80" s="64"/>
      <c r="AC80" s="69"/>
      <c r="AD80">
        <f t="shared" si="2"/>
        <v>0</v>
      </c>
    </row>
    <row r="81" spans="1:30" x14ac:dyDescent="0.15">
      <c r="A81" s="2" t="s">
        <v>175</v>
      </c>
      <c r="C81" s="21"/>
      <c r="D81" s="128"/>
      <c r="E81" s="54"/>
      <c r="F81" s="64"/>
      <c r="G81" s="69"/>
      <c r="I81" s="21"/>
      <c r="J81" s="128"/>
      <c r="K81" s="54"/>
      <c r="L81" s="64"/>
      <c r="M81" s="69"/>
      <c r="N81" s="128"/>
      <c r="O81" s="54"/>
      <c r="P81" s="64"/>
      <c r="Q81" s="69"/>
      <c r="S81" s="21"/>
      <c r="T81" s="128"/>
      <c r="U81" s="54"/>
      <c r="V81" s="64"/>
      <c r="W81" s="69"/>
      <c r="Y81" s="21"/>
      <c r="Z81" s="128"/>
      <c r="AA81" s="54"/>
      <c r="AB81" s="64"/>
      <c r="AC81" s="69"/>
      <c r="AD81">
        <f t="shared" si="2"/>
        <v>0</v>
      </c>
    </row>
    <row r="82" spans="1:30" x14ac:dyDescent="0.15">
      <c r="A82" s="2" t="s">
        <v>24</v>
      </c>
      <c r="B82">
        <v>4</v>
      </c>
      <c r="C82" s="21">
        <v>3</v>
      </c>
      <c r="D82" s="128"/>
      <c r="E82" s="54"/>
      <c r="F82" s="64"/>
      <c r="G82" s="69"/>
      <c r="H82">
        <v>1</v>
      </c>
      <c r="I82" s="21">
        <v>3</v>
      </c>
      <c r="J82" s="128"/>
      <c r="K82" s="54"/>
      <c r="L82" s="64"/>
      <c r="M82" s="69"/>
      <c r="N82" s="128"/>
      <c r="O82" s="54"/>
      <c r="P82" s="64"/>
      <c r="Q82" s="69"/>
      <c r="R82">
        <v>3</v>
      </c>
      <c r="S82" s="21">
        <v>1</v>
      </c>
      <c r="T82" s="128"/>
      <c r="U82" s="54"/>
      <c r="V82" s="64"/>
      <c r="W82" s="69"/>
      <c r="X82">
        <v>3</v>
      </c>
      <c r="Y82" s="21">
        <v>3</v>
      </c>
      <c r="Z82" s="128">
        <v>1</v>
      </c>
      <c r="AA82" s="54"/>
      <c r="AB82" s="64"/>
      <c r="AC82" s="69">
        <v>1</v>
      </c>
      <c r="AD82">
        <f t="shared" si="2"/>
        <v>10</v>
      </c>
    </row>
    <row r="83" spans="1:30" x14ac:dyDescent="0.15">
      <c r="A83" s="2" t="s">
        <v>189</v>
      </c>
      <c r="C83" s="21"/>
      <c r="D83" s="128">
        <v>2</v>
      </c>
      <c r="E83" s="54">
        <v>2</v>
      </c>
      <c r="F83" s="64">
        <v>1</v>
      </c>
      <c r="G83" s="69">
        <v>1</v>
      </c>
      <c r="I83" s="21"/>
      <c r="J83" s="128">
        <v>1</v>
      </c>
      <c r="K83" s="54">
        <v>1</v>
      </c>
      <c r="L83" s="64">
        <v>1</v>
      </c>
      <c r="M83" s="69"/>
      <c r="N83" s="128"/>
      <c r="O83" s="54"/>
      <c r="P83" s="64"/>
      <c r="Q83" s="69"/>
      <c r="S83" s="21"/>
      <c r="T83" s="128"/>
      <c r="U83" s="54"/>
      <c r="V83" s="64"/>
      <c r="W83" s="69"/>
      <c r="Y83" s="21"/>
      <c r="Z83" s="128"/>
      <c r="AA83" s="54">
        <v>2</v>
      </c>
      <c r="AB83" s="64">
        <v>2</v>
      </c>
      <c r="AC83" s="69">
        <v>1</v>
      </c>
      <c r="AD83">
        <f t="shared" si="2"/>
        <v>10</v>
      </c>
    </row>
    <row r="84" spans="1:30" x14ac:dyDescent="0.15">
      <c r="A84" s="5" t="s">
        <v>202</v>
      </c>
      <c r="D84" s="128"/>
      <c r="E84" s="54"/>
      <c r="F84" s="64"/>
      <c r="G84" s="69"/>
      <c r="I84" s="21"/>
      <c r="J84" s="128"/>
      <c r="K84" s="54"/>
      <c r="L84" s="64"/>
      <c r="M84" s="69"/>
      <c r="N84" s="128"/>
      <c r="O84" s="54"/>
      <c r="P84" s="64"/>
      <c r="Q84" s="69"/>
      <c r="S84" s="21"/>
      <c r="T84" s="128"/>
      <c r="U84" s="54"/>
      <c r="V84" s="64"/>
      <c r="W84" s="144"/>
      <c r="Y84" s="21"/>
      <c r="Z84" s="128"/>
      <c r="AA84" s="54"/>
      <c r="AB84" s="64"/>
      <c r="AC84" s="69"/>
      <c r="AD84">
        <f t="shared" si="2"/>
        <v>0</v>
      </c>
    </row>
    <row r="85" spans="1:30" x14ac:dyDescent="0.15">
      <c r="A85" t="s">
        <v>8</v>
      </c>
    </row>
    <row r="87" spans="1:30" x14ac:dyDescent="0.15">
      <c r="A87">
        <f>COUNTA(A6:A83)</f>
        <v>78</v>
      </c>
    </row>
    <row r="96" spans="1:30" x14ac:dyDescent="0.15">
      <c r="A96" s="3" t="s">
        <v>56</v>
      </c>
      <c r="C96" s="21"/>
      <c r="D96" s="128"/>
      <c r="E96" s="54"/>
      <c r="F96" s="64"/>
      <c r="G96" s="69"/>
      <c r="I96" s="21"/>
      <c r="J96" s="128"/>
      <c r="K96" s="54"/>
      <c r="L96" s="64"/>
      <c r="M96" s="69"/>
      <c r="N96" s="128"/>
      <c r="O96" s="54"/>
      <c r="P96" s="64"/>
      <c r="Q96" s="69"/>
      <c r="S96" s="21"/>
      <c r="T96" s="128"/>
      <c r="U96" s="54"/>
      <c r="V96" s="64"/>
      <c r="W96" s="69"/>
      <c r="Y96" s="21"/>
      <c r="Z96" s="128"/>
      <c r="AA96" s="54"/>
      <c r="AB96" s="64"/>
      <c r="AC96" s="69"/>
    </row>
    <row r="97" spans="1:29" x14ac:dyDescent="0.15">
      <c r="A97" s="5" t="s">
        <v>185</v>
      </c>
      <c r="C97" s="21"/>
      <c r="D97" s="128"/>
      <c r="E97" s="54"/>
      <c r="F97" s="64"/>
      <c r="G97" s="69"/>
      <c r="I97" s="21"/>
      <c r="J97" s="128"/>
      <c r="K97" s="54"/>
      <c r="L97" s="64"/>
      <c r="M97" s="69"/>
      <c r="N97" s="128"/>
      <c r="O97" s="54"/>
      <c r="P97" s="64"/>
      <c r="Q97" s="69"/>
      <c r="S97" s="21"/>
      <c r="T97" s="128"/>
      <c r="U97" s="54"/>
      <c r="V97" s="64"/>
      <c r="W97" s="69"/>
      <c r="Y97" s="21"/>
      <c r="Z97" s="128"/>
      <c r="AA97" s="54"/>
      <c r="AB97" s="64"/>
      <c r="AC97" s="69"/>
    </row>
    <row r="98" spans="1:29" x14ac:dyDescent="0.15">
      <c r="A98" s="7" t="s">
        <v>47</v>
      </c>
      <c r="C98" s="21"/>
      <c r="D98" s="128"/>
      <c r="E98" s="54"/>
      <c r="F98" s="64"/>
      <c r="G98" s="69"/>
      <c r="I98" s="21"/>
      <c r="J98" s="128"/>
      <c r="K98" s="54"/>
      <c r="L98" s="64"/>
      <c r="M98" s="69"/>
      <c r="N98" s="128"/>
      <c r="O98" s="54"/>
      <c r="P98" s="64"/>
      <c r="Q98" s="69"/>
      <c r="S98" s="21"/>
      <c r="T98" s="128"/>
      <c r="U98" s="54"/>
      <c r="V98" s="64"/>
      <c r="W98" s="69"/>
      <c r="Y98" s="21"/>
      <c r="Z98" s="128"/>
      <c r="AA98" s="54"/>
      <c r="AB98" s="64"/>
      <c r="AC98" s="69"/>
    </row>
    <row r="99" spans="1:29" x14ac:dyDescent="0.15">
      <c r="A99" s="39" t="s">
        <v>29</v>
      </c>
      <c r="C99" s="21"/>
      <c r="D99" s="128"/>
      <c r="E99" s="54"/>
      <c r="F99" s="64"/>
      <c r="G99" s="69"/>
      <c r="I99" s="21"/>
      <c r="J99" s="128"/>
      <c r="K99" s="54"/>
      <c r="L99" s="64"/>
      <c r="M99" s="69"/>
      <c r="N99" s="128"/>
      <c r="O99" s="54"/>
      <c r="P99" s="64"/>
      <c r="Q99" s="69"/>
      <c r="S99" s="21"/>
      <c r="T99" s="128"/>
      <c r="U99" s="54"/>
      <c r="V99" s="64"/>
      <c r="W99" s="69"/>
      <c r="Y99" s="21"/>
      <c r="Z99" s="128"/>
      <c r="AA99" s="54"/>
      <c r="AB99" s="64"/>
      <c r="AC99" s="69"/>
    </row>
    <row r="100" spans="1:29" x14ac:dyDescent="0.15">
      <c r="A100" s="5" t="s">
        <v>48</v>
      </c>
      <c r="C100" s="21"/>
      <c r="D100" s="128"/>
      <c r="E100" s="54"/>
      <c r="F100" s="64"/>
      <c r="G100" s="69"/>
      <c r="I100" s="21"/>
      <c r="J100" s="128"/>
      <c r="K100" s="54"/>
      <c r="L100" s="64"/>
      <c r="M100" s="69"/>
      <c r="N100" s="128"/>
      <c r="O100" s="54"/>
      <c r="P100" s="64"/>
      <c r="Q100" s="69"/>
      <c r="S100" s="21"/>
      <c r="T100" s="128"/>
      <c r="U100" s="54"/>
      <c r="V100" s="64"/>
      <c r="W100" s="69"/>
      <c r="Y100" s="21"/>
      <c r="Z100" s="128"/>
      <c r="AA100" s="54"/>
      <c r="AB100" s="64"/>
      <c r="AC100" s="69"/>
    </row>
    <row r="101" spans="1:29" x14ac:dyDescent="0.15">
      <c r="A101" s="5" t="s">
        <v>106</v>
      </c>
      <c r="C101" s="21"/>
      <c r="D101" s="128">
        <v>1</v>
      </c>
      <c r="E101" s="54"/>
      <c r="F101" s="64"/>
      <c r="G101" s="69"/>
      <c r="I101" s="21"/>
      <c r="J101" s="128"/>
      <c r="K101" s="54"/>
      <c r="L101" s="64"/>
      <c r="M101" s="69"/>
      <c r="N101" s="128"/>
      <c r="O101" s="54"/>
      <c r="P101" s="64"/>
      <c r="Q101" s="69"/>
      <c r="S101" s="21"/>
      <c r="T101" s="128"/>
      <c r="U101" s="54"/>
      <c r="V101" s="64"/>
      <c r="W101" s="69"/>
      <c r="Y101" s="21"/>
      <c r="Z101" s="128"/>
      <c r="AA101" s="54"/>
      <c r="AB101" s="64"/>
      <c r="AC101" s="69"/>
    </row>
    <row r="102" spans="1:29" x14ac:dyDescent="0.15">
      <c r="A102" s="7" t="s">
        <v>186</v>
      </c>
      <c r="C102" s="21"/>
      <c r="D102" s="128"/>
      <c r="E102" s="54"/>
      <c r="F102" s="64"/>
      <c r="G102" s="69"/>
      <c r="I102" s="21"/>
      <c r="J102" s="128"/>
      <c r="K102" s="54"/>
      <c r="L102" s="64"/>
      <c r="M102" s="69"/>
      <c r="N102" s="128"/>
      <c r="O102" s="54"/>
      <c r="P102" s="64"/>
      <c r="Q102" s="69"/>
      <c r="S102" s="21"/>
      <c r="T102" s="128"/>
      <c r="U102" s="54"/>
      <c r="V102" s="64"/>
      <c r="W102" s="69"/>
      <c r="Y102" s="21"/>
      <c r="Z102" s="128"/>
      <c r="AA102" s="54"/>
      <c r="AB102" s="64"/>
      <c r="AC102" s="69"/>
    </row>
    <row r="103" spans="1:29" x14ac:dyDescent="0.15">
      <c r="A103" s="36" t="s">
        <v>94</v>
      </c>
      <c r="C103" s="21"/>
      <c r="D103" s="128"/>
      <c r="E103" s="54"/>
      <c r="F103" s="64"/>
      <c r="G103" s="69"/>
      <c r="I103" s="21"/>
      <c r="J103" s="128"/>
      <c r="K103" s="54"/>
      <c r="L103" s="64"/>
      <c r="M103" s="69"/>
      <c r="N103" s="128"/>
      <c r="O103" s="54"/>
      <c r="P103" s="64"/>
      <c r="Q103" s="69"/>
      <c r="S103" s="21"/>
      <c r="T103" s="128"/>
      <c r="U103" s="54"/>
      <c r="V103" s="64"/>
      <c r="W103" s="69"/>
      <c r="Y103" s="21"/>
      <c r="Z103" s="128"/>
      <c r="AA103" s="54"/>
      <c r="AB103" s="64"/>
      <c r="AC103" s="69"/>
    </row>
    <row r="104" spans="1:29" x14ac:dyDescent="0.15">
      <c r="A104" s="40" t="s">
        <v>91</v>
      </c>
      <c r="C104" s="21"/>
      <c r="D104" s="128">
        <v>1</v>
      </c>
      <c r="E104" s="54">
        <v>1</v>
      </c>
      <c r="F104" s="64"/>
      <c r="G104" s="69"/>
      <c r="I104" s="21"/>
      <c r="J104" s="128"/>
      <c r="K104" s="54"/>
      <c r="L104" s="64"/>
      <c r="M104" s="69"/>
      <c r="N104" s="128"/>
      <c r="O104" s="54"/>
      <c r="P104" s="64"/>
      <c r="Q104" s="69"/>
      <c r="R104">
        <v>1</v>
      </c>
      <c r="S104" s="21"/>
      <c r="T104" s="128"/>
      <c r="U104" s="54"/>
      <c r="V104" s="64"/>
      <c r="W104" s="69"/>
      <c r="Y104" s="21"/>
      <c r="Z104" s="128"/>
      <c r="AA104" s="54"/>
      <c r="AB104" s="64"/>
      <c r="AC104" s="69"/>
    </row>
    <row r="105" spans="1:29" x14ac:dyDescent="0.15">
      <c r="A105" s="39" t="s">
        <v>69</v>
      </c>
      <c r="C105" s="21"/>
      <c r="D105" s="128"/>
      <c r="E105" s="54"/>
      <c r="F105" s="64"/>
      <c r="G105" s="69"/>
      <c r="I105" s="21"/>
      <c r="J105" s="128"/>
      <c r="K105" s="54"/>
      <c r="L105" s="64"/>
      <c r="M105" s="69"/>
      <c r="N105" s="128"/>
      <c r="O105" s="54"/>
      <c r="P105" s="64"/>
      <c r="Q105" s="69"/>
      <c r="S105" s="21"/>
      <c r="T105" s="128"/>
      <c r="U105" s="54"/>
      <c r="V105" s="64"/>
      <c r="W105" s="69"/>
      <c r="Y105" s="21"/>
      <c r="Z105" s="128"/>
      <c r="AA105" s="54"/>
      <c r="AB105" s="64"/>
      <c r="AC105" s="69"/>
    </row>
    <row r="106" spans="1:29" x14ac:dyDescent="0.15">
      <c r="A106" s="39" t="s">
        <v>67</v>
      </c>
      <c r="C106" s="21"/>
      <c r="D106" s="128"/>
      <c r="E106" s="54"/>
      <c r="F106" s="64"/>
      <c r="G106" s="69"/>
      <c r="I106" s="21"/>
      <c r="J106" s="128"/>
      <c r="K106" s="54"/>
      <c r="L106" s="64"/>
      <c r="M106" s="69"/>
      <c r="N106" s="128"/>
      <c r="O106" s="54"/>
      <c r="P106" s="64"/>
      <c r="Q106" s="69"/>
      <c r="S106" s="21"/>
      <c r="T106" s="128"/>
      <c r="U106" s="54"/>
      <c r="V106" s="64"/>
      <c r="W106" s="69"/>
      <c r="Y106" s="21"/>
      <c r="Z106" s="128"/>
      <c r="AA106" s="54"/>
      <c r="AB106" s="64"/>
      <c r="AC106" s="69"/>
    </row>
    <row r="107" spans="1:29" x14ac:dyDescent="0.15">
      <c r="A107" s="41" t="s">
        <v>66</v>
      </c>
      <c r="C107" s="21"/>
      <c r="D107" s="128"/>
      <c r="E107" s="54"/>
      <c r="F107" s="64"/>
      <c r="G107" s="69"/>
      <c r="I107" s="21"/>
      <c r="J107" s="128"/>
      <c r="K107" s="54"/>
      <c r="L107" s="64"/>
      <c r="M107" s="69"/>
      <c r="N107" s="128"/>
      <c r="O107" s="54"/>
      <c r="P107" s="64"/>
      <c r="Q107" s="69"/>
      <c r="S107" s="21"/>
      <c r="T107" s="128"/>
      <c r="U107" s="54"/>
      <c r="V107" s="64"/>
      <c r="W107" s="69"/>
      <c r="Y107" s="21"/>
      <c r="Z107" s="128"/>
      <c r="AA107" s="54"/>
      <c r="AB107" s="64"/>
      <c r="AC107" s="69"/>
    </row>
    <row r="108" spans="1:29" x14ac:dyDescent="0.15">
      <c r="A108" s="58" t="s">
        <v>104</v>
      </c>
    </row>
  </sheetData>
  <mergeCells count="10">
    <mergeCell ref="B2:G2"/>
    <mergeCell ref="H2:M2"/>
    <mergeCell ref="N2:Q2"/>
    <mergeCell ref="R2:W2"/>
    <mergeCell ref="X2:AC2"/>
    <mergeCell ref="B3:G3"/>
    <mergeCell ref="H3:M3"/>
    <mergeCell ref="N3:Q3"/>
    <mergeCell ref="R3:W3"/>
    <mergeCell ref="X3:AC3"/>
  </mergeCells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5401-4A9B-4688-8E91-36B32B2A7E1C}">
  <dimension ref="A1:BD108"/>
  <sheetViews>
    <sheetView zoomScale="60" zoomScaleNormal="60" workbookViewId="0">
      <selection activeCell="BC1" sqref="BC1"/>
    </sheetView>
  </sheetViews>
  <sheetFormatPr defaultRowHeight="13.5" x14ac:dyDescent="0.15"/>
  <cols>
    <col min="1" max="1" width="26.375" customWidth="1"/>
    <col min="2" max="29" width="3.375" customWidth="1"/>
    <col min="30" max="31" width="3.5" customWidth="1"/>
    <col min="32" max="55" width="3.375" customWidth="1"/>
  </cols>
  <sheetData>
    <row r="1" spans="1:56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6" x14ac:dyDescent="0.15">
      <c r="A2" s="6" t="s">
        <v>0</v>
      </c>
      <c r="B2" s="248">
        <v>29</v>
      </c>
      <c r="C2" s="248"/>
      <c r="D2" s="248"/>
      <c r="E2" s="248"/>
      <c r="F2" s="248"/>
      <c r="G2" s="248"/>
      <c r="H2" s="248">
        <v>30</v>
      </c>
      <c r="I2" s="248"/>
      <c r="J2" s="248"/>
      <c r="K2" s="248"/>
      <c r="L2" s="248"/>
      <c r="M2" s="248"/>
      <c r="N2" s="248">
        <v>31</v>
      </c>
      <c r="O2" s="248"/>
      <c r="P2" s="248"/>
      <c r="Q2" s="248"/>
      <c r="R2" s="248"/>
      <c r="S2" s="248"/>
      <c r="T2" s="248">
        <v>32</v>
      </c>
      <c r="U2" s="248"/>
      <c r="V2" s="248"/>
      <c r="W2" s="248"/>
      <c r="X2" s="248"/>
      <c r="Y2" s="248"/>
      <c r="Z2" s="248">
        <v>33</v>
      </c>
      <c r="AA2" s="248"/>
      <c r="AB2" s="248"/>
      <c r="AC2" s="248"/>
      <c r="AD2" s="248"/>
      <c r="AE2" s="248"/>
      <c r="AF2" s="248">
        <v>34</v>
      </c>
      <c r="AG2" s="248"/>
      <c r="AH2" s="248"/>
      <c r="AI2" s="248"/>
      <c r="AJ2" s="248"/>
      <c r="AK2" s="248"/>
      <c r="AL2" s="248">
        <v>35</v>
      </c>
      <c r="AM2" s="248"/>
      <c r="AN2" s="248"/>
      <c r="AO2" s="248"/>
      <c r="AP2" s="248"/>
      <c r="AQ2" s="248"/>
      <c r="AR2" s="248">
        <v>36</v>
      </c>
      <c r="AS2" s="248"/>
      <c r="AT2" s="248"/>
      <c r="AU2" s="248"/>
      <c r="AV2" s="248"/>
      <c r="AW2" s="248"/>
      <c r="AX2" s="248">
        <v>37</v>
      </c>
      <c r="AY2" s="248"/>
      <c r="AZ2" s="248"/>
      <c r="BA2" s="248"/>
      <c r="BB2" s="248"/>
      <c r="BC2" s="248"/>
    </row>
    <row r="3" spans="1:56" x14ac:dyDescent="0.15">
      <c r="A3" s="6" t="s">
        <v>1</v>
      </c>
      <c r="B3" s="243" t="s">
        <v>144</v>
      </c>
      <c r="C3" s="243"/>
      <c r="D3" s="243"/>
      <c r="E3" s="243"/>
      <c r="F3" s="243"/>
      <c r="G3" s="243"/>
      <c r="H3" s="243" t="s">
        <v>145</v>
      </c>
      <c r="I3" s="243"/>
      <c r="J3" s="243"/>
      <c r="K3" s="243"/>
      <c r="L3" s="243"/>
      <c r="M3" s="243"/>
      <c r="N3" s="243" t="s">
        <v>146</v>
      </c>
      <c r="O3" s="243"/>
      <c r="P3" s="243"/>
      <c r="Q3" s="243"/>
      <c r="R3" s="243"/>
      <c r="S3" s="243"/>
      <c r="T3" s="243" t="s">
        <v>147</v>
      </c>
      <c r="U3" s="243"/>
      <c r="V3" s="243"/>
      <c r="W3" s="243"/>
      <c r="X3" s="243"/>
      <c r="Y3" s="243"/>
      <c r="Z3" s="243" t="s">
        <v>148</v>
      </c>
      <c r="AA3" s="243"/>
      <c r="AB3" s="243"/>
      <c r="AC3" s="243"/>
      <c r="AD3" s="243"/>
      <c r="AE3" s="243"/>
      <c r="AF3" s="243" t="s">
        <v>148</v>
      </c>
      <c r="AG3" s="243"/>
      <c r="AH3" s="243"/>
      <c r="AI3" s="243"/>
      <c r="AJ3" s="243"/>
      <c r="AK3" s="243"/>
      <c r="AL3" s="243" t="s">
        <v>149</v>
      </c>
      <c r="AM3" s="243"/>
      <c r="AN3" s="243"/>
      <c r="AO3" s="243"/>
      <c r="AP3" s="243"/>
      <c r="AQ3" s="243"/>
      <c r="AR3" s="243" t="s">
        <v>150</v>
      </c>
      <c r="AS3" s="243"/>
      <c r="AT3" s="243"/>
      <c r="AU3" s="243"/>
      <c r="AV3" s="243"/>
      <c r="AW3" s="243"/>
      <c r="AX3" s="243" t="s">
        <v>151</v>
      </c>
      <c r="AY3" s="243"/>
      <c r="AZ3" s="243"/>
      <c r="BA3" s="243"/>
      <c r="BB3" s="243"/>
      <c r="BC3" s="243"/>
    </row>
    <row r="4" spans="1:56" x14ac:dyDescent="0.15">
      <c r="A4" s="8"/>
      <c r="B4" s="94" t="s">
        <v>169</v>
      </c>
      <c r="C4" s="95" t="s">
        <v>172</v>
      </c>
      <c r="D4" s="96" t="s">
        <v>101</v>
      </c>
      <c r="E4" s="97" t="s">
        <v>122</v>
      </c>
      <c r="F4" s="98" t="s">
        <v>173</v>
      </c>
      <c r="G4" s="144" t="s">
        <v>210</v>
      </c>
      <c r="H4" s="94" t="s">
        <v>169</v>
      </c>
      <c r="I4" s="95" t="s">
        <v>172</v>
      </c>
      <c r="J4" s="96" t="s">
        <v>101</v>
      </c>
      <c r="K4" s="97" t="s">
        <v>122</v>
      </c>
      <c r="L4" s="98" t="s">
        <v>173</v>
      </c>
      <c r="M4" s="144" t="s">
        <v>210</v>
      </c>
      <c r="N4" s="94" t="s">
        <v>169</v>
      </c>
      <c r="O4" s="95" t="s">
        <v>172</v>
      </c>
      <c r="P4" s="96" t="s">
        <v>101</v>
      </c>
      <c r="Q4" s="97" t="s">
        <v>122</v>
      </c>
      <c r="R4" s="98" t="s">
        <v>173</v>
      </c>
      <c r="S4" s="144" t="s">
        <v>210</v>
      </c>
      <c r="T4" s="94" t="s">
        <v>169</v>
      </c>
      <c r="U4" s="95" t="s">
        <v>172</v>
      </c>
      <c r="V4" s="96" t="s">
        <v>101</v>
      </c>
      <c r="W4" s="97" t="s">
        <v>122</v>
      </c>
      <c r="X4" s="98" t="s">
        <v>173</v>
      </c>
      <c r="Y4" s="144" t="s">
        <v>210</v>
      </c>
      <c r="Z4" s="94" t="s">
        <v>169</v>
      </c>
      <c r="AA4" s="95" t="s">
        <v>172</v>
      </c>
      <c r="AB4" s="96" t="s">
        <v>101</v>
      </c>
      <c r="AC4" s="97" t="s">
        <v>122</v>
      </c>
      <c r="AD4" s="98" t="s">
        <v>173</v>
      </c>
      <c r="AE4" s="144" t="s">
        <v>210</v>
      </c>
      <c r="AF4" s="94" t="s">
        <v>169</v>
      </c>
      <c r="AG4" s="95" t="s">
        <v>172</v>
      </c>
      <c r="AH4" s="96" t="s">
        <v>101</v>
      </c>
      <c r="AI4" s="97" t="s">
        <v>122</v>
      </c>
      <c r="AJ4" s="98" t="s">
        <v>173</v>
      </c>
      <c r="AK4" s="144" t="s">
        <v>210</v>
      </c>
      <c r="AL4" s="94" t="s">
        <v>169</v>
      </c>
      <c r="AM4" s="95" t="s">
        <v>172</v>
      </c>
      <c r="AN4" s="96" t="s">
        <v>101</v>
      </c>
      <c r="AO4" s="97" t="s">
        <v>122</v>
      </c>
      <c r="AP4" s="98" t="s">
        <v>173</v>
      </c>
      <c r="AQ4" s="144" t="s">
        <v>210</v>
      </c>
      <c r="AR4" s="94" t="s">
        <v>169</v>
      </c>
      <c r="AS4" s="95" t="s">
        <v>172</v>
      </c>
      <c r="AT4" s="96" t="s">
        <v>101</v>
      </c>
      <c r="AU4" s="97" t="s">
        <v>122</v>
      </c>
      <c r="AV4" s="98" t="s">
        <v>173</v>
      </c>
      <c r="AW4" s="144" t="s">
        <v>211</v>
      </c>
      <c r="AX4" s="94" t="s">
        <v>169</v>
      </c>
      <c r="AY4" s="95" t="s">
        <v>172</v>
      </c>
      <c r="AZ4" s="96" t="s">
        <v>101</v>
      </c>
      <c r="BA4" s="97" t="s">
        <v>122</v>
      </c>
      <c r="BB4" s="98" t="s">
        <v>173</v>
      </c>
      <c r="BC4" s="144" t="s">
        <v>210</v>
      </c>
    </row>
    <row r="5" spans="1:56" ht="14.25" x14ac:dyDescent="0.15">
      <c r="A5" s="26" t="s">
        <v>59</v>
      </c>
      <c r="B5" s="103">
        <f t="shared" ref="B5:F5" si="0">COUNT(B6:B83)</f>
        <v>9</v>
      </c>
      <c r="C5" s="104">
        <f t="shared" si="0"/>
        <v>15</v>
      </c>
      <c r="D5" s="105">
        <f t="shared" si="0"/>
        <v>14</v>
      </c>
      <c r="E5" s="106">
        <f t="shared" si="0"/>
        <v>14</v>
      </c>
      <c r="F5" s="107">
        <f t="shared" si="0"/>
        <v>10</v>
      </c>
      <c r="G5" s="155">
        <f>COUNT(G6:G84)</f>
        <v>10</v>
      </c>
      <c r="H5" s="103">
        <f>COUNT(H6:H82)</f>
        <v>5</v>
      </c>
      <c r="I5" s="104">
        <f>COUNT(I6:I82)</f>
        <v>8</v>
      </c>
      <c r="J5" s="105">
        <f t="shared" ref="J5:BB5" si="1">COUNT(J6:J83)</f>
        <v>10</v>
      </c>
      <c r="K5" s="106">
        <f t="shared" si="1"/>
        <v>8</v>
      </c>
      <c r="L5" s="107">
        <f t="shared" si="1"/>
        <v>8</v>
      </c>
      <c r="M5" s="155">
        <f>COUNT(M6:M84)</f>
        <v>10</v>
      </c>
      <c r="N5" s="103">
        <f t="shared" si="1"/>
        <v>5</v>
      </c>
      <c r="O5" s="104">
        <f t="shared" si="1"/>
        <v>9</v>
      </c>
      <c r="P5" s="105">
        <f t="shared" si="1"/>
        <v>12</v>
      </c>
      <c r="Q5" s="106">
        <f t="shared" si="1"/>
        <v>12</v>
      </c>
      <c r="R5" s="107">
        <f t="shared" si="1"/>
        <v>13</v>
      </c>
      <c r="S5" s="155">
        <f>COUNT(S6:S84)</f>
        <v>14</v>
      </c>
      <c r="T5" s="103">
        <f t="shared" si="1"/>
        <v>6</v>
      </c>
      <c r="U5" s="104">
        <f t="shared" si="1"/>
        <v>8</v>
      </c>
      <c r="V5" s="105">
        <f t="shared" si="1"/>
        <v>9</v>
      </c>
      <c r="W5" s="106">
        <f t="shared" si="1"/>
        <v>13</v>
      </c>
      <c r="X5" s="107">
        <f t="shared" si="1"/>
        <v>10</v>
      </c>
      <c r="Y5" s="155">
        <f>COUNT(Y6:Y84)</f>
        <v>10</v>
      </c>
      <c r="Z5" s="103">
        <f t="shared" si="1"/>
        <v>8</v>
      </c>
      <c r="AA5" s="104">
        <f t="shared" si="1"/>
        <v>8</v>
      </c>
      <c r="AB5" s="105">
        <f t="shared" si="1"/>
        <v>8</v>
      </c>
      <c r="AC5" s="106">
        <f t="shared" si="1"/>
        <v>11</v>
      </c>
      <c r="AD5" s="107">
        <f t="shared" si="1"/>
        <v>8</v>
      </c>
      <c r="AE5" s="155">
        <f>COUNT(AE6:AE84)</f>
        <v>10</v>
      </c>
      <c r="AF5" s="103">
        <f t="shared" si="1"/>
        <v>4</v>
      </c>
      <c r="AG5" s="108">
        <f t="shared" si="1"/>
        <v>7</v>
      </c>
      <c r="AH5" s="105">
        <f t="shared" si="1"/>
        <v>6</v>
      </c>
      <c r="AI5" s="106">
        <f t="shared" si="1"/>
        <v>6</v>
      </c>
      <c r="AJ5" s="107">
        <f t="shared" si="1"/>
        <v>6</v>
      </c>
      <c r="AK5" s="155">
        <f>COUNT(AK6:AK84)</f>
        <v>6</v>
      </c>
      <c r="AL5" s="103">
        <f t="shared" si="1"/>
        <v>3</v>
      </c>
      <c r="AM5" s="108">
        <f t="shared" si="1"/>
        <v>6</v>
      </c>
      <c r="AN5" s="105">
        <f t="shared" si="1"/>
        <v>4</v>
      </c>
      <c r="AO5" s="106">
        <f t="shared" si="1"/>
        <v>4</v>
      </c>
      <c r="AP5" s="107">
        <f t="shared" si="1"/>
        <v>6</v>
      </c>
      <c r="AQ5" s="155">
        <f>COUNT(AQ6:AQ84)</f>
        <v>3</v>
      </c>
      <c r="AR5" s="103">
        <f t="shared" si="1"/>
        <v>4</v>
      </c>
      <c r="AS5" s="104">
        <f t="shared" si="1"/>
        <v>4</v>
      </c>
      <c r="AT5" s="105">
        <f t="shared" si="1"/>
        <v>4</v>
      </c>
      <c r="AU5" s="106">
        <f t="shared" si="1"/>
        <v>4</v>
      </c>
      <c r="AV5" s="107">
        <f t="shared" si="1"/>
        <v>2</v>
      </c>
      <c r="AW5" s="155">
        <f>COUNT(AW6:AW84)</f>
        <v>4</v>
      </c>
      <c r="AX5" s="103">
        <f t="shared" si="1"/>
        <v>5</v>
      </c>
      <c r="AY5" s="104">
        <f t="shared" si="1"/>
        <v>7</v>
      </c>
      <c r="AZ5" s="105">
        <f t="shared" si="1"/>
        <v>6</v>
      </c>
      <c r="BA5" s="106">
        <f t="shared" si="1"/>
        <v>6</v>
      </c>
      <c r="BB5" s="107">
        <f t="shared" si="1"/>
        <v>8</v>
      </c>
      <c r="BC5" s="155">
        <v>8</v>
      </c>
      <c r="BD5" t="s">
        <v>240</v>
      </c>
    </row>
    <row r="6" spans="1:56" x14ac:dyDescent="0.15">
      <c r="A6" s="27" t="s">
        <v>60</v>
      </c>
      <c r="C6" s="120"/>
      <c r="D6" s="119"/>
      <c r="E6" s="121"/>
      <c r="F6" s="122"/>
      <c r="G6" s="150"/>
      <c r="H6" s="123"/>
      <c r="I6" s="115"/>
      <c r="J6" s="111"/>
      <c r="K6" s="112"/>
      <c r="L6" s="113"/>
      <c r="M6" s="145"/>
      <c r="N6" s="114"/>
      <c r="O6" s="115"/>
      <c r="P6" s="111"/>
      <c r="Q6" s="112"/>
      <c r="R6" s="113"/>
      <c r="S6" s="145"/>
      <c r="T6" s="114"/>
      <c r="U6" s="115"/>
      <c r="V6" s="111"/>
      <c r="W6" s="112"/>
      <c r="X6" s="113"/>
      <c r="Y6" s="145"/>
      <c r="Z6" s="114"/>
      <c r="AA6" s="115"/>
      <c r="AB6" s="111"/>
      <c r="AC6" s="112"/>
      <c r="AD6" s="113"/>
      <c r="AE6" s="145"/>
      <c r="AF6" s="114"/>
      <c r="AG6" s="115"/>
      <c r="AH6" s="111"/>
      <c r="AI6" s="112"/>
      <c r="AJ6" s="113"/>
      <c r="AK6" s="145"/>
      <c r="AL6" s="114"/>
      <c r="AM6" s="115"/>
      <c r="AN6" s="111"/>
      <c r="AO6" s="112"/>
      <c r="AP6" s="113"/>
      <c r="AQ6" s="145"/>
      <c r="AR6" s="114"/>
      <c r="AS6" s="115"/>
      <c r="AT6" s="111"/>
      <c r="AU6" s="112"/>
      <c r="AV6" s="113"/>
      <c r="AW6" s="145"/>
      <c r="AX6" s="114"/>
      <c r="AY6" s="115"/>
      <c r="AZ6" s="111"/>
      <c r="BA6" s="112"/>
      <c r="BB6" s="113"/>
      <c r="BC6" s="145"/>
      <c r="BD6">
        <f>COUNTA(B6:BC6)</f>
        <v>0</v>
      </c>
    </row>
    <row r="7" spans="1:56" x14ac:dyDescent="0.15">
      <c r="A7" s="27" t="s">
        <v>105</v>
      </c>
      <c r="C7" s="120"/>
      <c r="D7" s="128"/>
      <c r="E7" s="54"/>
      <c r="F7" s="64"/>
      <c r="G7" s="69"/>
      <c r="H7" s="123"/>
      <c r="I7" s="115"/>
      <c r="J7" s="116">
        <v>1</v>
      </c>
      <c r="K7" s="117">
        <v>1</v>
      </c>
      <c r="L7" s="118"/>
      <c r="M7" s="146"/>
      <c r="N7" s="114"/>
      <c r="O7" s="115"/>
      <c r="P7" s="116"/>
      <c r="Q7" s="117"/>
      <c r="R7" s="118"/>
      <c r="S7" s="146"/>
      <c r="T7" s="114"/>
      <c r="U7" s="115"/>
      <c r="V7" s="111"/>
      <c r="W7" s="112"/>
      <c r="X7" s="113"/>
      <c r="Y7" s="145"/>
      <c r="Z7" s="114"/>
      <c r="AA7" s="115"/>
      <c r="AB7" s="111"/>
      <c r="AC7" s="112"/>
      <c r="AD7" s="113"/>
      <c r="AE7" s="145"/>
      <c r="AF7" s="114"/>
      <c r="AG7" s="115"/>
      <c r="AH7" s="111"/>
      <c r="AI7" s="112"/>
      <c r="AJ7" s="113"/>
      <c r="AK7" s="145"/>
      <c r="AL7" s="114"/>
      <c r="AM7" s="115"/>
      <c r="AN7" s="111"/>
      <c r="AO7" s="112"/>
      <c r="AP7" s="113"/>
      <c r="AQ7" s="145"/>
      <c r="AR7" s="114"/>
      <c r="AS7" s="115"/>
      <c r="AT7" s="111"/>
      <c r="AU7" s="112"/>
      <c r="AV7" s="113"/>
      <c r="AW7" s="145"/>
      <c r="AX7" s="114"/>
      <c r="AY7" s="125">
        <v>1</v>
      </c>
      <c r="AZ7" s="116">
        <v>1</v>
      </c>
      <c r="BA7" s="117">
        <v>1</v>
      </c>
      <c r="BB7" s="118"/>
      <c r="BC7" s="146"/>
      <c r="BD7">
        <f t="shared" ref="BD7:BD70" si="2">COUNTA(B7:BC7)</f>
        <v>5</v>
      </c>
    </row>
    <row r="8" spans="1:56" x14ac:dyDescent="0.15">
      <c r="A8" s="2" t="s">
        <v>43</v>
      </c>
      <c r="C8" s="120"/>
      <c r="D8" s="119"/>
      <c r="E8" s="121"/>
      <c r="F8" s="122"/>
      <c r="G8" s="150">
        <v>1</v>
      </c>
      <c r="H8" s="123"/>
      <c r="I8" s="115"/>
      <c r="J8" s="111"/>
      <c r="K8" s="112"/>
      <c r="L8" s="113"/>
      <c r="M8" s="145"/>
      <c r="N8" s="114"/>
      <c r="O8" s="115"/>
      <c r="P8" s="111"/>
      <c r="Q8" s="112"/>
      <c r="R8" s="113">
        <v>1</v>
      </c>
      <c r="S8" s="145">
        <v>3</v>
      </c>
      <c r="T8" s="114"/>
      <c r="U8" s="115"/>
      <c r="V8" s="111"/>
      <c r="W8" s="112"/>
      <c r="X8" s="113"/>
      <c r="Y8" s="145"/>
      <c r="Z8" s="114"/>
      <c r="AA8" s="115"/>
      <c r="AB8" s="111"/>
      <c r="AC8" s="112"/>
      <c r="AD8" s="113"/>
      <c r="AE8" s="145">
        <v>1</v>
      </c>
      <c r="AF8" s="114"/>
      <c r="AG8" s="115"/>
      <c r="AH8" s="111"/>
      <c r="AI8" s="112"/>
      <c r="AJ8" s="113"/>
      <c r="AK8" s="145"/>
      <c r="AL8" s="114"/>
      <c r="AM8" s="115"/>
      <c r="AN8" s="111"/>
      <c r="AO8" s="112"/>
      <c r="AP8" s="113"/>
      <c r="AQ8" s="145"/>
      <c r="AR8" s="114"/>
      <c r="AS8" s="115"/>
      <c r="AT8" s="111"/>
      <c r="AU8" s="112"/>
      <c r="AV8" s="113"/>
      <c r="AW8" s="145"/>
      <c r="AX8" s="114"/>
      <c r="AY8" s="115"/>
      <c r="AZ8" s="111"/>
      <c r="BA8" s="112"/>
      <c r="BB8" s="113"/>
      <c r="BC8" s="145"/>
      <c r="BD8">
        <f t="shared" si="2"/>
        <v>4</v>
      </c>
    </row>
    <row r="9" spans="1:56" x14ac:dyDescent="0.15">
      <c r="A9" s="27" t="s">
        <v>53</v>
      </c>
      <c r="C9" s="120"/>
      <c r="D9" s="119"/>
      <c r="E9" s="121"/>
      <c r="F9" s="122"/>
      <c r="G9" s="150"/>
      <c r="H9" s="123"/>
      <c r="I9" s="115"/>
      <c r="J9" s="111"/>
      <c r="K9" s="112"/>
      <c r="L9" s="113"/>
      <c r="M9" s="145"/>
      <c r="N9" s="114"/>
      <c r="O9" s="115"/>
      <c r="P9" s="111"/>
      <c r="Q9" s="112"/>
      <c r="R9" s="113"/>
      <c r="S9" s="145"/>
      <c r="T9" s="114"/>
      <c r="U9" s="115"/>
      <c r="V9" s="111"/>
      <c r="W9" s="112"/>
      <c r="X9" s="113"/>
      <c r="Y9" s="145"/>
      <c r="Z9" s="114"/>
      <c r="AA9" s="115"/>
      <c r="AB9" s="111"/>
      <c r="AC9" s="112"/>
      <c r="AD9" s="113"/>
      <c r="AE9" s="145"/>
      <c r="AF9" s="114"/>
      <c r="AG9" s="115"/>
      <c r="AH9" s="111"/>
      <c r="AI9" s="112"/>
      <c r="AJ9" s="113"/>
      <c r="AK9" s="145"/>
      <c r="AL9" s="114"/>
      <c r="AM9" s="115"/>
      <c r="AN9" s="111"/>
      <c r="AO9" s="112"/>
      <c r="AP9" s="113"/>
      <c r="AQ9" s="145"/>
      <c r="AR9" s="114"/>
      <c r="AS9" s="115"/>
      <c r="AT9" s="111"/>
      <c r="AU9" s="112"/>
      <c r="AV9" s="113"/>
      <c r="AW9" s="145"/>
      <c r="AX9" s="114"/>
      <c r="AY9" s="115"/>
      <c r="AZ9" s="111"/>
      <c r="BA9" s="112"/>
      <c r="BB9" s="113"/>
      <c r="BC9" s="145"/>
      <c r="BD9">
        <f t="shared" si="2"/>
        <v>0</v>
      </c>
    </row>
    <row r="10" spans="1:56" x14ac:dyDescent="0.15">
      <c r="A10" s="2" t="s">
        <v>12</v>
      </c>
      <c r="B10">
        <v>3</v>
      </c>
      <c r="C10" s="21">
        <v>3</v>
      </c>
      <c r="D10" s="128">
        <v>2</v>
      </c>
      <c r="E10" s="54">
        <v>3</v>
      </c>
      <c r="F10" s="64">
        <v>3</v>
      </c>
      <c r="G10" s="69">
        <v>3</v>
      </c>
      <c r="H10">
        <v>3</v>
      </c>
      <c r="I10" s="21">
        <v>4</v>
      </c>
      <c r="J10" s="128">
        <v>1</v>
      </c>
      <c r="K10" s="54">
        <v>2</v>
      </c>
      <c r="L10" s="64">
        <v>2</v>
      </c>
      <c r="M10" s="69">
        <v>3</v>
      </c>
      <c r="O10" s="21">
        <v>1</v>
      </c>
      <c r="P10" s="128">
        <v>1</v>
      </c>
      <c r="Q10" s="54">
        <v>1</v>
      </c>
      <c r="R10" s="64">
        <v>1</v>
      </c>
      <c r="S10" s="69">
        <v>1</v>
      </c>
      <c r="T10">
        <v>3</v>
      </c>
      <c r="U10" s="21">
        <v>3</v>
      </c>
      <c r="V10" s="128">
        <v>2</v>
      </c>
      <c r="W10" s="54">
        <v>1</v>
      </c>
      <c r="X10" s="64">
        <v>1</v>
      </c>
      <c r="Y10" s="69">
        <v>1</v>
      </c>
      <c r="Z10">
        <v>3</v>
      </c>
      <c r="AA10" s="21">
        <v>3</v>
      </c>
      <c r="AB10" s="128">
        <v>2</v>
      </c>
      <c r="AC10" s="54">
        <v>1</v>
      </c>
      <c r="AD10" s="64">
        <v>1</v>
      </c>
      <c r="AE10" s="69">
        <v>1</v>
      </c>
      <c r="AF10">
        <v>3</v>
      </c>
      <c r="AG10" s="21">
        <v>2</v>
      </c>
      <c r="AH10" s="128">
        <v>1</v>
      </c>
      <c r="AI10" s="54">
        <v>1</v>
      </c>
      <c r="AJ10" s="64">
        <v>1</v>
      </c>
      <c r="AK10" s="69">
        <v>1</v>
      </c>
      <c r="AM10" s="21">
        <v>1</v>
      </c>
      <c r="AN10" s="128">
        <v>1</v>
      </c>
      <c r="AO10" s="54">
        <v>1</v>
      </c>
      <c r="AP10" s="64">
        <v>1</v>
      </c>
      <c r="AQ10" s="69"/>
      <c r="AS10" s="21"/>
      <c r="AT10" s="128"/>
      <c r="AU10" s="54"/>
      <c r="AV10" s="64"/>
      <c r="AW10" s="69"/>
      <c r="AX10">
        <v>1</v>
      </c>
      <c r="AY10" s="21"/>
      <c r="AZ10" s="128">
        <v>1</v>
      </c>
      <c r="BA10" s="54">
        <v>1</v>
      </c>
      <c r="BB10" s="64">
        <v>1</v>
      </c>
      <c r="BC10" s="69">
        <v>1</v>
      </c>
      <c r="BD10">
        <f t="shared" si="2"/>
        <v>44</v>
      </c>
    </row>
    <row r="11" spans="1:56" x14ac:dyDescent="0.15">
      <c r="A11" s="2" t="s">
        <v>93</v>
      </c>
      <c r="C11" s="21"/>
      <c r="D11" s="128">
        <v>1</v>
      </c>
      <c r="E11" s="54">
        <v>1</v>
      </c>
      <c r="F11" s="64"/>
      <c r="G11" s="69">
        <v>1</v>
      </c>
      <c r="I11" s="21"/>
      <c r="J11" s="128"/>
      <c r="K11" s="54"/>
      <c r="L11" s="64"/>
      <c r="M11" s="69"/>
      <c r="O11" s="21"/>
      <c r="P11" s="128"/>
      <c r="Q11" s="54"/>
      <c r="R11" s="64"/>
      <c r="S11" s="69"/>
      <c r="U11" s="21"/>
      <c r="V11" s="128">
        <v>1</v>
      </c>
      <c r="W11" s="54">
        <v>1</v>
      </c>
      <c r="X11" s="64"/>
      <c r="Y11" s="69">
        <v>1</v>
      </c>
      <c r="AA11" s="21"/>
      <c r="AB11" s="128"/>
      <c r="AC11" s="54"/>
      <c r="AD11" s="64"/>
      <c r="AE11" s="69"/>
      <c r="AG11" s="21"/>
      <c r="AH11" s="128"/>
      <c r="AI11" s="54"/>
      <c r="AJ11" s="64"/>
      <c r="AK11" s="69"/>
      <c r="AM11" s="21"/>
      <c r="AN11" s="128"/>
      <c r="AO11" s="54"/>
      <c r="AP11" s="64"/>
      <c r="AQ11" s="69"/>
      <c r="AS11" s="21"/>
      <c r="AT11" s="128"/>
      <c r="AU11" s="54"/>
      <c r="AV11" s="64"/>
      <c r="AW11" s="69"/>
      <c r="AY11" s="21"/>
      <c r="AZ11" s="128"/>
      <c r="BA11" s="54"/>
      <c r="BB11" s="64"/>
      <c r="BC11" s="69"/>
      <c r="BD11">
        <f t="shared" si="2"/>
        <v>6</v>
      </c>
    </row>
    <row r="12" spans="1:56" x14ac:dyDescent="0.15">
      <c r="A12" s="2" t="s">
        <v>33</v>
      </c>
      <c r="C12" s="21"/>
      <c r="D12" s="128"/>
      <c r="E12" s="54"/>
      <c r="F12" s="64"/>
      <c r="G12" s="69"/>
      <c r="I12" s="21"/>
      <c r="J12" s="128"/>
      <c r="K12" s="54"/>
      <c r="L12" s="64"/>
      <c r="M12" s="69"/>
      <c r="O12" s="21"/>
      <c r="P12" s="128"/>
      <c r="Q12" s="54"/>
      <c r="R12" s="64"/>
      <c r="S12" s="69"/>
      <c r="U12" s="21"/>
      <c r="V12" s="128"/>
      <c r="W12" s="54"/>
      <c r="X12" s="64"/>
      <c r="Y12" s="69"/>
      <c r="AA12" s="21"/>
      <c r="AB12" s="128"/>
      <c r="AC12" s="54"/>
      <c r="AD12" s="64"/>
      <c r="AE12" s="69"/>
      <c r="AG12" s="21"/>
      <c r="AH12" s="128"/>
      <c r="AI12" s="54"/>
      <c r="AJ12" s="64"/>
      <c r="AK12" s="69"/>
      <c r="AM12" s="21"/>
      <c r="AN12" s="128"/>
      <c r="AO12" s="54"/>
      <c r="AP12" s="64"/>
      <c r="AQ12" s="69"/>
      <c r="AS12" s="21"/>
      <c r="AT12" s="128"/>
      <c r="AU12" s="54"/>
      <c r="AV12" s="64"/>
      <c r="AW12" s="69"/>
      <c r="AY12" s="21"/>
      <c r="AZ12" s="128"/>
      <c r="BA12" s="54"/>
      <c r="BB12" s="64"/>
      <c r="BC12" s="69"/>
      <c r="BD12">
        <f t="shared" si="2"/>
        <v>0</v>
      </c>
    </row>
    <row r="13" spans="1:56" x14ac:dyDescent="0.15">
      <c r="A13" s="2" t="s">
        <v>13</v>
      </c>
      <c r="C13" s="21"/>
      <c r="D13" s="128"/>
      <c r="E13" s="54"/>
      <c r="F13" s="64"/>
      <c r="G13" s="69"/>
      <c r="I13" s="21"/>
      <c r="J13" s="128"/>
      <c r="K13" s="54"/>
      <c r="L13" s="64"/>
      <c r="M13" s="69"/>
      <c r="O13" s="21"/>
      <c r="P13" s="128"/>
      <c r="Q13" s="54"/>
      <c r="R13" s="64"/>
      <c r="S13" s="69"/>
      <c r="U13" s="21"/>
      <c r="V13" s="128"/>
      <c r="W13" s="54"/>
      <c r="X13" s="64"/>
      <c r="Y13" s="69"/>
      <c r="AA13" s="21"/>
      <c r="AB13" s="128"/>
      <c r="AC13" s="54"/>
      <c r="AD13" s="64"/>
      <c r="AE13" s="69"/>
      <c r="AG13" s="21"/>
      <c r="AH13" s="128"/>
      <c r="AI13" s="54"/>
      <c r="AJ13" s="64"/>
      <c r="AK13" s="69"/>
      <c r="AM13" s="21"/>
      <c r="AN13" s="128"/>
      <c r="AO13" s="54"/>
      <c r="AP13" s="64"/>
      <c r="AQ13" s="69"/>
      <c r="AS13" s="21"/>
      <c r="AT13" s="128"/>
      <c r="AU13" s="54"/>
      <c r="AV13" s="64"/>
      <c r="AW13" s="69"/>
      <c r="AY13" s="21"/>
      <c r="AZ13" s="128"/>
      <c r="BA13" s="54"/>
      <c r="BB13" s="64"/>
      <c r="BC13" s="69"/>
      <c r="BD13">
        <f t="shared" si="2"/>
        <v>0</v>
      </c>
    </row>
    <row r="14" spans="1:56" x14ac:dyDescent="0.15">
      <c r="A14" s="2" t="s">
        <v>190</v>
      </c>
      <c r="C14" s="21"/>
      <c r="D14" s="128"/>
      <c r="E14" s="54"/>
      <c r="F14" s="64"/>
      <c r="G14" s="69"/>
      <c r="I14" s="21"/>
      <c r="J14" s="128"/>
      <c r="K14" s="54"/>
      <c r="L14" s="64"/>
      <c r="M14" s="69"/>
      <c r="O14" s="21"/>
      <c r="P14" s="128"/>
      <c r="Q14" s="54"/>
      <c r="R14" s="64"/>
      <c r="S14" s="69"/>
      <c r="U14" s="21"/>
      <c r="V14" s="128"/>
      <c r="W14" s="54"/>
      <c r="X14" s="64"/>
      <c r="Y14" s="69"/>
      <c r="AA14" s="21"/>
      <c r="AB14" s="128"/>
      <c r="AC14" s="54"/>
      <c r="AD14" s="64"/>
      <c r="AE14" s="69"/>
      <c r="AG14" s="21"/>
      <c r="AH14" s="128"/>
      <c r="AI14" s="54"/>
      <c r="AJ14" s="64"/>
      <c r="AK14" s="69"/>
      <c r="AM14" s="21"/>
      <c r="AN14" s="128"/>
      <c r="AO14" s="54"/>
      <c r="AP14" s="64"/>
      <c r="AQ14" s="69"/>
      <c r="AS14" s="21"/>
      <c r="AT14" s="128"/>
      <c r="AU14" s="54"/>
      <c r="AV14" s="64"/>
      <c r="AW14" s="69"/>
      <c r="AY14" s="21"/>
      <c r="AZ14" s="128"/>
      <c r="BA14" s="54"/>
      <c r="BB14" s="64"/>
      <c r="BC14" s="69"/>
      <c r="BD14">
        <f t="shared" si="2"/>
        <v>0</v>
      </c>
    </row>
    <row r="15" spans="1:56" x14ac:dyDescent="0.15">
      <c r="A15" s="2" t="s">
        <v>14</v>
      </c>
      <c r="B15">
        <v>1</v>
      </c>
      <c r="C15" s="21">
        <v>1</v>
      </c>
      <c r="D15" s="128">
        <v>1</v>
      </c>
      <c r="E15" s="54">
        <v>1</v>
      </c>
      <c r="F15" s="64"/>
      <c r="G15" s="69"/>
      <c r="I15" s="21"/>
      <c r="J15" s="128">
        <v>1</v>
      </c>
      <c r="K15" s="54"/>
      <c r="L15" s="64"/>
      <c r="M15" s="69"/>
      <c r="O15" s="21"/>
      <c r="P15" s="128"/>
      <c r="Q15" s="54"/>
      <c r="R15" s="64"/>
      <c r="S15" s="69"/>
      <c r="T15">
        <v>1</v>
      </c>
      <c r="U15" s="21"/>
      <c r="V15" s="128"/>
      <c r="W15" s="54">
        <v>1</v>
      </c>
      <c r="X15" s="64">
        <v>1</v>
      </c>
      <c r="Y15" s="69"/>
      <c r="AA15" s="21"/>
      <c r="AB15" s="128"/>
      <c r="AC15" s="54"/>
      <c r="AD15" s="64"/>
      <c r="AE15" s="69"/>
      <c r="AG15" s="21">
        <v>1</v>
      </c>
      <c r="AH15" s="128"/>
      <c r="AI15" s="54"/>
      <c r="AJ15" s="64"/>
      <c r="AK15" s="69"/>
      <c r="AM15" s="21"/>
      <c r="AN15" s="128"/>
      <c r="AO15" s="54"/>
      <c r="AP15" s="64"/>
      <c r="AQ15" s="69"/>
      <c r="AS15" s="21"/>
      <c r="AT15" s="128"/>
      <c r="AU15" s="54"/>
      <c r="AV15" s="64"/>
      <c r="AW15" s="69"/>
      <c r="AY15" s="21"/>
      <c r="AZ15" s="128"/>
      <c r="BA15" s="54"/>
      <c r="BB15" s="64"/>
      <c r="BC15" s="69"/>
      <c r="BD15">
        <f t="shared" si="2"/>
        <v>9</v>
      </c>
    </row>
    <row r="16" spans="1:56" x14ac:dyDescent="0.15">
      <c r="A16" s="2" t="s">
        <v>26</v>
      </c>
      <c r="C16" s="21"/>
      <c r="D16" s="128"/>
      <c r="E16" s="54"/>
      <c r="F16" s="64"/>
      <c r="G16" s="69"/>
      <c r="I16" s="21"/>
      <c r="J16" s="128"/>
      <c r="K16" s="54"/>
      <c r="L16" s="64"/>
      <c r="M16" s="69"/>
      <c r="O16" s="21"/>
      <c r="P16" s="128"/>
      <c r="Q16" s="54"/>
      <c r="R16" s="64"/>
      <c r="S16" s="69"/>
      <c r="U16" s="21"/>
      <c r="V16" s="128"/>
      <c r="W16" s="54"/>
      <c r="X16" s="64"/>
      <c r="Y16" s="69"/>
      <c r="AA16" s="21"/>
      <c r="AB16" s="128"/>
      <c r="AC16" s="54"/>
      <c r="AD16" s="64"/>
      <c r="AE16" s="69"/>
      <c r="AG16" s="21"/>
      <c r="AH16" s="128"/>
      <c r="AI16" s="54"/>
      <c r="AJ16" s="64"/>
      <c r="AK16" s="69"/>
      <c r="AM16" s="21"/>
      <c r="AN16" s="128"/>
      <c r="AO16" s="54"/>
      <c r="AP16" s="64"/>
      <c r="AQ16" s="69"/>
      <c r="AS16" s="21"/>
      <c r="AT16" s="128"/>
      <c r="AU16" s="54"/>
      <c r="AV16" s="64"/>
      <c r="AW16" s="69"/>
      <c r="AY16" s="21"/>
      <c r="AZ16" s="128"/>
      <c r="BA16" s="54"/>
      <c r="BB16" s="64"/>
      <c r="BC16" s="69"/>
      <c r="BD16">
        <f t="shared" si="2"/>
        <v>0</v>
      </c>
    </row>
    <row r="17" spans="1:56" x14ac:dyDescent="0.15">
      <c r="A17" s="2" t="s">
        <v>51</v>
      </c>
      <c r="C17" s="21">
        <v>2</v>
      </c>
      <c r="D17" s="128"/>
      <c r="E17" s="54">
        <v>2</v>
      </c>
      <c r="F17" s="64">
        <v>1</v>
      </c>
      <c r="G17" s="69">
        <v>1</v>
      </c>
      <c r="I17" s="21"/>
      <c r="J17" s="128"/>
      <c r="K17" s="54"/>
      <c r="L17" s="64"/>
      <c r="M17" s="69"/>
      <c r="O17" s="21"/>
      <c r="P17" s="128"/>
      <c r="Q17" s="54"/>
      <c r="R17" s="64"/>
      <c r="S17" s="69"/>
      <c r="U17" s="21">
        <v>1</v>
      </c>
      <c r="V17" s="128"/>
      <c r="W17" s="54"/>
      <c r="X17" s="64"/>
      <c r="Y17" s="69"/>
      <c r="AA17" s="21">
        <v>1</v>
      </c>
      <c r="AB17" s="128">
        <v>1</v>
      </c>
      <c r="AC17" s="54">
        <v>1</v>
      </c>
      <c r="AD17" s="64"/>
      <c r="AE17" s="69"/>
      <c r="AG17" s="21"/>
      <c r="AH17" s="128"/>
      <c r="AI17" s="54"/>
      <c r="AJ17" s="64"/>
      <c r="AK17" s="69"/>
      <c r="AM17" s="21"/>
      <c r="AN17" s="128"/>
      <c r="AO17" s="54"/>
      <c r="AP17" s="64"/>
      <c r="AQ17" s="69"/>
      <c r="AS17" s="21"/>
      <c r="AT17" s="128"/>
      <c r="AU17" s="54"/>
      <c r="AV17" s="64"/>
      <c r="AW17" s="69"/>
      <c r="AY17" s="21"/>
      <c r="AZ17" s="128"/>
      <c r="BA17" s="54"/>
      <c r="BB17" s="64"/>
      <c r="BC17" s="69"/>
      <c r="BD17">
        <f t="shared" si="2"/>
        <v>8</v>
      </c>
    </row>
    <row r="18" spans="1:56" x14ac:dyDescent="0.15">
      <c r="A18" s="2" t="s">
        <v>44</v>
      </c>
      <c r="C18" s="21"/>
      <c r="D18" s="128"/>
      <c r="E18" s="54">
        <v>1</v>
      </c>
      <c r="F18" s="64"/>
      <c r="G18" s="69">
        <v>1</v>
      </c>
      <c r="I18" s="21">
        <v>1</v>
      </c>
      <c r="J18" s="128">
        <v>1</v>
      </c>
      <c r="K18" s="54">
        <v>1</v>
      </c>
      <c r="L18" s="64">
        <v>1</v>
      </c>
      <c r="M18" s="69">
        <v>1</v>
      </c>
      <c r="O18" s="21"/>
      <c r="P18" s="128"/>
      <c r="Q18" s="54">
        <v>1</v>
      </c>
      <c r="R18" s="64">
        <v>2</v>
      </c>
      <c r="S18" s="69">
        <v>3</v>
      </c>
      <c r="U18" s="21"/>
      <c r="V18" s="128"/>
      <c r="W18" s="54">
        <v>2</v>
      </c>
      <c r="X18" s="64">
        <v>2</v>
      </c>
      <c r="Y18" s="69">
        <v>1</v>
      </c>
      <c r="AA18" s="21">
        <v>1</v>
      </c>
      <c r="AB18" s="128"/>
      <c r="AC18" s="54">
        <v>3</v>
      </c>
      <c r="AD18" s="64">
        <v>2</v>
      </c>
      <c r="AE18" s="69">
        <v>1</v>
      </c>
      <c r="AG18" s="21"/>
      <c r="AH18" s="128"/>
      <c r="AI18" s="54"/>
      <c r="AJ18" s="64"/>
      <c r="AK18" s="69"/>
      <c r="AM18" s="21"/>
      <c r="AN18" s="128"/>
      <c r="AO18" s="54"/>
      <c r="AP18" s="64"/>
      <c r="AQ18" s="69"/>
      <c r="AS18" s="21"/>
      <c r="AT18" s="128"/>
      <c r="AU18" s="54">
        <v>1</v>
      </c>
      <c r="AV18" s="64"/>
      <c r="AW18" s="69"/>
      <c r="AY18" s="21">
        <v>1</v>
      </c>
      <c r="AZ18" s="128"/>
      <c r="BA18" s="54">
        <v>2</v>
      </c>
      <c r="BB18" s="64">
        <v>1</v>
      </c>
      <c r="BC18" s="69">
        <v>1</v>
      </c>
      <c r="BD18">
        <f t="shared" si="2"/>
        <v>22</v>
      </c>
    </row>
    <row r="19" spans="1:56" x14ac:dyDescent="0.15">
      <c r="A19" s="2" t="s">
        <v>4</v>
      </c>
      <c r="B19">
        <v>3</v>
      </c>
      <c r="C19" s="21">
        <v>1</v>
      </c>
      <c r="D19" s="128"/>
      <c r="E19" s="54"/>
      <c r="F19" s="64"/>
      <c r="G19" s="69"/>
      <c r="I19" s="21"/>
      <c r="J19" s="128"/>
      <c r="K19" s="54"/>
      <c r="L19" s="64"/>
      <c r="M19" s="69"/>
      <c r="O19" s="21"/>
      <c r="P19" s="128"/>
      <c r="Q19" s="54">
        <v>1</v>
      </c>
      <c r="R19" s="64">
        <v>1</v>
      </c>
      <c r="S19" s="69">
        <v>2</v>
      </c>
      <c r="T19">
        <v>3</v>
      </c>
      <c r="U19" s="21">
        <v>1</v>
      </c>
      <c r="V19" s="128"/>
      <c r="W19" s="54">
        <v>1</v>
      </c>
      <c r="X19" s="64"/>
      <c r="Y19" s="69">
        <v>1</v>
      </c>
      <c r="Z19">
        <v>1</v>
      </c>
      <c r="AA19" s="21"/>
      <c r="AB19" s="128">
        <v>1</v>
      </c>
      <c r="AC19" s="54">
        <v>1</v>
      </c>
      <c r="AD19" s="64">
        <v>1</v>
      </c>
      <c r="AE19" s="69">
        <v>1</v>
      </c>
      <c r="AG19" s="21"/>
      <c r="AH19" s="128"/>
      <c r="AI19" s="54"/>
      <c r="AJ19" s="64"/>
      <c r="AK19" s="69"/>
      <c r="AM19" s="21"/>
      <c r="AN19" s="128"/>
      <c r="AO19" s="54"/>
      <c r="AP19" s="64"/>
      <c r="AQ19" s="69"/>
      <c r="AS19" s="21"/>
      <c r="AT19" s="128">
        <v>1</v>
      </c>
      <c r="AU19" s="54">
        <v>1</v>
      </c>
      <c r="AV19" s="64"/>
      <c r="AW19" s="69"/>
      <c r="AY19" s="21">
        <v>1</v>
      </c>
      <c r="AZ19" s="128"/>
      <c r="BA19" s="54">
        <v>1</v>
      </c>
      <c r="BB19" s="64">
        <v>1</v>
      </c>
      <c r="BC19" s="69">
        <v>1</v>
      </c>
      <c r="BD19">
        <f t="shared" si="2"/>
        <v>20</v>
      </c>
    </row>
    <row r="20" spans="1:56" x14ac:dyDescent="0.15">
      <c r="A20" s="2" t="s">
        <v>232</v>
      </c>
      <c r="C20" s="21"/>
      <c r="D20" s="128"/>
      <c r="E20" s="54"/>
      <c r="F20" s="64"/>
      <c r="G20" s="69"/>
      <c r="I20" s="21"/>
      <c r="J20" s="128"/>
      <c r="K20" s="54"/>
      <c r="L20" s="64"/>
      <c r="M20" s="69"/>
      <c r="O20" s="21"/>
      <c r="P20" s="128"/>
      <c r="Q20" s="54"/>
      <c r="R20" s="64"/>
      <c r="S20" s="69"/>
      <c r="U20" s="21"/>
      <c r="V20" s="128"/>
      <c r="W20" s="54"/>
      <c r="X20" s="64"/>
      <c r="Y20" s="69"/>
      <c r="AA20" s="21"/>
      <c r="AB20" s="128"/>
      <c r="AC20" s="54"/>
      <c r="AD20" s="64"/>
      <c r="AE20" s="69"/>
      <c r="AG20" s="21"/>
      <c r="AH20" s="128"/>
      <c r="AI20" s="54"/>
      <c r="AJ20" s="64"/>
      <c r="AK20" s="69"/>
      <c r="AM20" s="21"/>
      <c r="AN20" s="128"/>
      <c r="AO20" s="54"/>
      <c r="AP20" s="64"/>
      <c r="AQ20" s="69"/>
      <c r="AS20" s="21"/>
      <c r="AT20" s="128"/>
      <c r="AU20" s="54"/>
      <c r="AV20" s="64"/>
      <c r="AW20" s="69"/>
      <c r="AY20" s="21"/>
      <c r="AZ20" s="128"/>
      <c r="BA20" s="54"/>
      <c r="BB20" s="64"/>
      <c r="BC20" s="69"/>
      <c r="BD20">
        <f t="shared" si="2"/>
        <v>0</v>
      </c>
    </row>
    <row r="21" spans="1:56" x14ac:dyDescent="0.15">
      <c r="A21" s="2" t="s">
        <v>15</v>
      </c>
      <c r="C21" s="21">
        <v>1</v>
      </c>
      <c r="D21" s="128"/>
      <c r="E21" s="54"/>
      <c r="F21" s="64"/>
      <c r="G21" s="69"/>
      <c r="I21" s="21"/>
      <c r="J21" s="128"/>
      <c r="K21" s="54"/>
      <c r="L21" s="64"/>
      <c r="M21" s="69"/>
      <c r="O21" s="21"/>
      <c r="P21" s="128"/>
      <c r="Q21" s="54"/>
      <c r="R21" s="64"/>
      <c r="S21" s="69"/>
      <c r="U21" s="21"/>
      <c r="V21" s="128"/>
      <c r="W21" s="54"/>
      <c r="X21" s="64"/>
      <c r="Y21" s="69"/>
      <c r="AA21" s="21"/>
      <c r="AB21" s="128"/>
      <c r="AC21" s="54"/>
      <c r="AD21" s="64"/>
      <c r="AE21" s="69"/>
      <c r="AG21" s="21"/>
      <c r="AH21" s="128"/>
      <c r="AI21" s="54"/>
      <c r="AJ21" s="64"/>
      <c r="AK21" s="69"/>
      <c r="AM21" s="21"/>
      <c r="AN21" s="128"/>
      <c r="AO21" s="54"/>
      <c r="AP21" s="64"/>
      <c r="AQ21" s="69"/>
      <c r="AS21" s="21"/>
      <c r="AT21" s="128"/>
      <c r="AU21" s="54"/>
      <c r="AV21" s="64"/>
      <c r="AW21" s="69"/>
      <c r="AY21" s="21"/>
      <c r="AZ21" s="128"/>
      <c r="BA21" s="54"/>
      <c r="BB21" s="64"/>
      <c r="BC21" s="69"/>
      <c r="BD21">
        <f t="shared" si="2"/>
        <v>1</v>
      </c>
    </row>
    <row r="22" spans="1:56" x14ac:dyDescent="0.15">
      <c r="A22" s="2" t="s">
        <v>5</v>
      </c>
      <c r="B22">
        <v>1</v>
      </c>
      <c r="C22" s="21"/>
      <c r="D22" s="128">
        <v>1</v>
      </c>
      <c r="E22" s="54">
        <v>1</v>
      </c>
      <c r="F22" s="64">
        <v>1</v>
      </c>
      <c r="G22" s="69"/>
      <c r="H22">
        <v>2</v>
      </c>
      <c r="I22" s="21">
        <v>2</v>
      </c>
      <c r="J22" s="128"/>
      <c r="K22" s="54">
        <v>1</v>
      </c>
      <c r="L22" s="64"/>
      <c r="M22" s="69"/>
      <c r="N22">
        <v>1</v>
      </c>
      <c r="O22" s="21"/>
      <c r="P22" s="128"/>
      <c r="Q22" s="54"/>
      <c r="R22" s="64"/>
      <c r="S22" s="69">
        <v>1</v>
      </c>
      <c r="U22" s="21">
        <v>1</v>
      </c>
      <c r="V22" s="128"/>
      <c r="W22" s="54"/>
      <c r="X22" s="64"/>
      <c r="Y22" s="69"/>
      <c r="Z22">
        <v>2</v>
      </c>
      <c r="AA22" s="21">
        <v>1</v>
      </c>
      <c r="AB22" s="128"/>
      <c r="AC22" s="54"/>
      <c r="AD22" s="64"/>
      <c r="AE22" s="69"/>
      <c r="AG22" s="21"/>
      <c r="AH22" s="128"/>
      <c r="AI22" s="54"/>
      <c r="AJ22" s="64"/>
      <c r="AK22" s="69"/>
      <c r="AM22" s="21"/>
      <c r="AN22" s="128"/>
      <c r="AO22" s="54"/>
      <c r="AP22" s="64"/>
      <c r="AQ22" s="69"/>
      <c r="AR22">
        <v>1</v>
      </c>
      <c r="AS22" s="21"/>
      <c r="AT22" s="128"/>
      <c r="AU22" s="54"/>
      <c r="AV22" s="64"/>
      <c r="AW22" s="69"/>
      <c r="AY22" s="21"/>
      <c r="AZ22" s="128"/>
      <c r="BA22" s="54"/>
      <c r="BB22" s="64"/>
      <c r="BC22" s="69"/>
      <c r="BD22">
        <f t="shared" si="2"/>
        <v>13</v>
      </c>
    </row>
    <row r="23" spans="1:56" x14ac:dyDescent="0.15">
      <c r="A23" s="2" t="s">
        <v>46</v>
      </c>
      <c r="C23" s="21">
        <v>1</v>
      </c>
      <c r="D23" s="128"/>
      <c r="E23" s="54"/>
      <c r="F23" s="64"/>
      <c r="G23" s="69"/>
      <c r="I23" s="21"/>
      <c r="J23" s="128"/>
      <c r="K23" s="54"/>
      <c r="L23" s="64"/>
      <c r="M23" s="69">
        <v>1</v>
      </c>
      <c r="O23" s="21">
        <v>1</v>
      </c>
      <c r="P23" s="128">
        <v>2</v>
      </c>
      <c r="Q23" s="54">
        <v>1</v>
      </c>
      <c r="R23" s="64">
        <v>1</v>
      </c>
      <c r="S23" s="69">
        <v>1</v>
      </c>
      <c r="U23" s="21"/>
      <c r="V23" s="128"/>
      <c r="W23" s="54"/>
      <c r="X23" s="64"/>
      <c r="Y23" s="69"/>
      <c r="AA23" s="21"/>
      <c r="AB23" s="128"/>
      <c r="AC23" s="54"/>
      <c r="AD23" s="64"/>
      <c r="AE23" s="69"/>
      <c r="AG23" s="21"/>
      <c r="AH23" s="128"/>
      <c r="AI23" s="54"/>
      <c r="AJ23" s="64"/>
      <c r="AK23" s="69"/>
      <c r="AM23" s="21"/>
      <c r="AN23" s="128"/>
      <c r="AO23" s="54"/>
      <c r="AP23" s="64"/>
      <c r="AQ23" s="69"/>
      <c r="AS23" s="21"/>
      <c r="AT23" s="128"/>
      <c r="AU23" s="54"/>
      <c r="AV23" s="64"/>
      <c r="AW23" s="69"/>
      <c r="AX23">
        <v>1</v>
      </c>
      <c r="AY23" s="21">
        <v>1</v>
      </c>
      <c r="AZ23" s="128">
        <v>1</v>
      </c>
      <c r="BA23" s="54"/>
      <c r="BB23" s="64">
        <v>1</v>
      </c>
      <c r="BC23" s="69">
        <v>1</v>
      </c>
      <c r="BD23">
        <f t="shared" si="2"/>
        <v>12</v>
      </c>
    </row>
    <row r="24" spans="1:56" x14ac:dyDescent="0.15">
      <c r="A24" s="2" t="s">
        <v>228</v>
      </c>
      <c r="C24" s="21"/>
      <c r="D24" s="128"/>
      <c r="E24" s="54"/>
      <c r="F24" s="64"/>
      <c r="G24" s="69"/>
      <c r="I24" s="21"/>
      <c r="J24" s="128"/>
      <c r="K24" s="54"/>
      <c r="L24" s="64"/>
      <c r="M24" s="69"/>
      <c r="O24" s="21"/>
      <c r="P24" s="128"/>
      <c r="Q24" s="54"/>
      <c r="R24" s="64"/>
      <c r="S24" s="69"/>
      <c r="U24" s="21"/>
      <c r="V24" s="128"/>
      <c r="W24" s="54"/>
      <c r="X24" s="64"/>
      <c r="Y24" s="69"/>
      <c r="AA24" s="21"/>
      <c r="AB24" s="128"/>
      <c r="AC24" s="54"/>
      <c r="AD24" s="64"/>
      <c r="AE24" s="69"/>
      <c r="AG24" s="21"/>
      <c r="AH24" s="128"/>
      <c r="AI24" s="54"/>
      <c r="AJ24" s="64"/>
      <c r="AK24" s="69"/>
      <c r="AM24" s="21"/>
      <c r="AN24" s="128"/>
      <c r="AO24" s="54"/>
      <c r="AP24" s="64"/>
      <c r="AQ24" s="69"/>
      <c r="AS24" s="21"/>
      <c r="AT24" s="128"/>
      <c r="AU24" s="54"/>
      <c r="AV24" s="64"/>
      <c r="AW24" s="69"/>
      <c r="AY24" s="21"/>
      <c r="AZ24" s="128"/>
      <c r="BA24" s="54"/>
      <c r="BB24" s="64"/>
      <c r="BC24" s="69"/>
      <c r="BD24">
        <f t="shared" si="2"/>
        <v>0</v>
      </c>
    </row>
    <row r="25" spans="1:56" x14ac:dyDescent="0.15">
      <c r="A25" s="5" t="s">
        <v>133</v>
      </c>
      <c r="C25" s="21"/>
      <c r="D25" s="128"/>
      <c r="E25" s="54"/>
      <c r="F25" s="64"/>
      <c r="G25" s="69"/>
      <c r="I25" s="21"/>
      <c r="J25" s="128"/>
      <c r="K25" s="54"/>
      <c r="L25" s="64"/>
      <c r="M25" s="69"/>
      <c r="O25" s="21"/>
      <c r="P25" s="128"/>
      <c r="Q25" s="54"/>
      <c r="R25" s="64"/>
      <c r="S25" s="69"/>
      <c r="U25" s="21"/>
      <c r="V25" s="128"/>
      <c r="W25" s="54"/>
      <c r="X25" s="64"/>
      <c r="Y25" s="69"/>
      <c r="AA25" s="21"/>
      <c r="AB25" s="128"/>
      <c r="AC25" s="54"/>
      <c r="AD25" s="64"/>
      <c r="AE25" s="69"/>
      <c r="AG25" s="21"/>
      <c r="AH25" s="128"/>
      <c r="AI25" s="54"/>
      <c r="AJ25" s="64"/>
      <c r="AK25" s="69"/>
      <c r="AM25" s="21"/>
      <c r="AN25" s="128"/>
      <c r="AO25" s="54"/>
      <c r="AP25" s="64"/>
      <c r="AQ25" s="69"/>
      <c r="AS25" s="21"/>
      <c r="AT25" s="128"/>
      <c r="AU25" s="54"/>
      <c r="AV25" s="64"/>
      <c r="AW25" s="69"/>
      <c r="AY25" s="21"/>
      <c r="AZ25" s="128"/>
      <c r="BA25" s="54"/>
      <c r="BB25" s="64"/>
      <c r="BC25" s="69"/>
      <c r="BD25">
        <f t="shared" si="2"/>
        <v>0</v>
      </c>
    </row>
    <row r="26" spans="1:56" x14ac:dyDescent="0.15">
      <c r="A26" s="5" t="s">
        <v>212</v>
      </c>
      <c r="C26" s="21"/>
      <c r="D26" s="128"/>
      <c r="E26" s="54"/>
      <c r="F26" s="64"/>
      <c r="G26" s="69"/>
      <c r="I26" s="21"/>
      <c r="J26" s="128"/>
      <c r="K26" s="54"/>
      <c r="L26" s="64"/>
      <c r="M26" s="69"/>
      <c r="O26" s="21"/>
      <c r="P26" s="128"/>
      <c r="Q26" s="54"/>
      <c r="R26" s="64"/>
      <c r="S26" s="69"/>
      <c r="U26" s="21"/>
      <c r="V26" s="128"/>
      <c r="W26" s="54"/>
      <c r="X26" s="64"/>
      <c r="Y26" s="69"/>
      <c r="AA26" s="21"/>
      <c r="AB26" s="128"/>
      <c r="AC26" s="54"/>
      <c r="AD26" s="64"/>
      <c r="AE26" s="69"/>
      <c r="AG26" s="21"/>
      <c r="AH26" s="128"/>
      <c r="AI26" s="54"/>
      <c r="AJ26" s="64"/>
      <c r="AK26" s="69"/>
      <c r="AM26" s="21"/>
      <c r="AN26" s="128"/>
      <c r="AO26" s="54"/>
      <c r="AP26" s="64"/>
      <c r="AQ26" s="69"/>
      <c r="AS26" s="21"/>
      <c r="AT26" s="128"/>
      <c r="AU26" s="54"/>
      <c r="AV26" s="64"/>
      <c r="AW26" s="69"/>
      <c r="AY26" s="21"/>
      <c r="AZ26" s="128"/>
      <c r="BA26" s="54"/>
      <c r="BB26" s="64"/>
      <c r="BC26" s="69">
        <v>1</v>
      </c>
      <c r="BD26">
        <f t="shared" si="2"/>
        <v>1</v>
      </c>
    </row>
    <row r="27" spans="1:56" x14ac:dyDescent="0.15">
      <c r="A27" s="2" t="s">
        <v>45</v>
      </c>
      <c r="C27" s="21">
        <v>1</v>
      </c>
      <c r="D27" s="128">
        <v>1</v>
      </c>
      <c r="E27" s="54"/>
      <c r="F27" s="64"/>
      <c r="G27" s="69"/>
      <c r="I27" s="21"/>
      <c r="J27" s="128"/>
      <c r="K27" s="54"/>
      <c r="L27" s="64"/>
      <c r="M27" s="69"/>
      <c r="O27" s="21"/>
      <c r="P27" s="128"/>
      <c r="Q27" s="54"/>
      <c r="R27" s="64"/>
      <c r="S27" s="69"/>
      <c r="U27" s="21"/>
      <c r="V27" s="128"/>
      <c r="W27" s="54"/>
      <c r="X27" s="64"/>
      <c r="Y27" s="69"/>
      <c r="AA27" s="21"/>
      <c r="AB27" s="128"/>
      <c r="AC27" s="54"/>
      <c r="AD27" s="64"/>
      <c r="AE27" s="69"/>
      <c r="AG27" s="21"/>
      <c r="AH27" s="128"/>
      <c r="AI27" s="54"/>
      <c r="AJ27" s="64"/>
      <c r="AK27" s="69"/>
      <c r="AM27" s="21"/>
      <c r="AN27" s="128"/>
      <c r="AO27" s="54"/>
      <c r="AP27" s="64"/>
      <c r="AQ27" s="69"/>
      <c r="AS27" s="21"/>
      <c r="AT27" s="128"/>
      <c r="AU27" s="54"/>
      <c r="AV27" s="64"/>
      <c r="AW27" s="69"/>
      <c r="AY27" s="21"/>
      <c r="AZ27" s="128"/>
      <c r="BA27" s="54"/>
      <c r="BB27" s="64"/>
      <c r="BC27" s="69"/>
      <c r="BD27">
        <f t="shared" si="2"/>
        <v>2</v>
      </c>
    </row>
    <row r="28" spans="1:56" x14ac:dyDescent="0.15">
      <c r="A28" s="2" t="s">
        <v>16</v>
      </c>
      <c r="C28" s="21"/>
      <c r="D28" s="128"/>
      <c r="E28" s="54"/>
      <c r="F28" s="64"/>
      <c r="G28" s="69"/>
      <c r="I28" s="21"/>
      <c r="J28" s="128"/>
      <c r="K28" s="54"/>
      <c r="L28" s="64"/>
      <c r="M28" s="69"/>
      <c r="O28" s="21"/>
      <c r="P28" s="128">
        <v>1</v>
      </c>
      <c r="Q28" s="54"/>
      <c r="R28" s="64"/>
      <c r="S28" s="69"/>
      <c r="U28" s="21"/>
      <c r="V28" s="128"/>
      <c r="W28" s="54"/>
      <c r="X28" s="64"/>
      <c r="Y28" s="69"/>
      <c r="AA28" s="21"/>
      <c r="AB28" s="128"/>
      <c r="AC28" s="54"/>
      <c r="AD28" s="64"/>
      <c r="AE28" s="69"/>
      <c r="AG28" s="21"/>
      <c r="AH28" s="128"/>
      <c r="AI28" s="54"/>
      <c r="AJ28" s="64"/>
      <c r="AK28" s="69"/>
      <c r="AM28" s="21"/>
      <c r="AN28" s="128"/>
      <c r="AO28" s="54"/>
      <c r="AP28" s="64"/>
      <c r="AQ28" s="69"/>
      <c r="AS28" s="21"/>
      <c r="AT28" s="128"/>
      <c r="AU28" s="54"/>
      <c r="AV28" s="64"/>
      <c r="AW28" s="69"/>
      <c r="AY28" s="21"/>
      <c r="AZ28" s="128"/>
      <c r="BA28" s="54"/>
      <c r="BB28" s="64"/>
      <c r="BC28" s="69"/>
      <c r="BD28">
        <f t="shared" si="2"/>
        <v>1</v>
      </c>
    </row>
    <row r="29" spans="1:56" x14ac:dyDescent="0.15">
      <c r="A29" s="2" t="s">
        <v>219</v>
      </c>
      <c r="C29" s="21"/>
      <c r="D29" s="128"/>
      <c r="E29" s="54"/>
      <c r="F29" s="64"/>
      <c r="G29" s="69"/>
      <c r="I29" s="21"/>
      <c r="J29" s="128"/>
      <c r="K29" s="54"/>
      <c r="L29" s="64"/>
      <c r="M29" s="69"/>
      <c r="O29" s="21"/>
      <c r="P29" s="128"/>
      <c r="Q29" s="54"/>
      <c r="R29" s="64"/>
      <c r="S29" s="69"/>
      <c r="U29" s="21"/>
      <c r="V29" s="128">
        <v>1</v>
      </c>
      <c r="W29" s="54">
        <v>1</v>
      </c>
      <c r="X29" s="64">
        <v>1</v>
      </c>
      <c r="Y29" s="69"/>
      <c r="AA29" s="21"/>
      <c r="AB29" s="128"/>
      <c r="AC29" s="54"/>
      <c r="AD29" s="64"/>
      <c r="AE29" s="69"/>
      <c r="AG29" s="21"/>
      <c r="AH29" s="128"/>
      <c r="AI29" s="54"/>
      <c r="AJ29" s="64"/>
      <c r="AK29" s="69"/>
      <c r="AM29" s="21"/>
      <c r="AN29" s="128"/>
      <c r="AO29" s="54"/>
      <c r="AP29" s="64"/>
      <c r="AQ29" s="69"/>
      <c r="AS29" s="21"/>
      <c r="AT29" s="128"/>
      <c r="AU29" s="54"/>
      <c r="AV29" s="64"/>
      <c r="AW29" s="69"/>
      <c r="AY29" s="21"/>
      <c r="AZ29" s="128"/>
      <c r="BA29" s="54"/>
      <c r="BB29" s="64"/>
      <c r="BC29" s="69"/>
      <c r="BD29">
        <f t="shared" si="2"/>
        <v>3</v>
      </c>
    </row>
    <row r="30" spans="1:56" x14ac:dyDescent="0.15">
      <c r="A30" s="5" t="s">
        <v>70</v>
      </c>
      <c r="C30" s="21"/>
      <c r="D30" s="128"/>
      <c r="E30" s="54"/>
      <c r="F30" s="64"/>
      <c r="G30" s="69"/>
      <c r="I30" s="21"/>
      <c r="J30" s="128"/>
      <c r="K30" s="54"/>
      <c r="L30" s="64"/>
      <c r="M30" s="69"/>
      <c r="O30" s="21"/>
      <c r="P30" s="128"/>
      <c r="Q30" s="54"/>
      <c r="R30" s="64"/>
      <c r="S30" s="69"/>
      <c r="U30" s="21"/>
      <c r="V30" s="128"/>
      <c r="W30" s="54"/>
      <c r="X30" s="64"/>
      <c r="Y30" s="69"/>
      <c r="AA30" s="21"/>
      <c r="AB30" s="128"/>
      <c r="AC30" s="54"/>
      <c r="AD30" s="64"/>
      <c r="AE30" s="69"/>
      <c r="AG30" s="21"/>
      <c r="AH30" s="128"/>
      <c r="AI30" s="54"/>
      <c r="AJ30" s="64"/>
      <c r="AK30" s="69"/>
      <c r="AM30" s="21"/>
      <c r="AN30" s="128"/>
      <c r="AO30" s="54"/>
      <c r="AP30" s="64"/>
      <c r="AQ30" s="69"/>
      <c r="AS30" s="21"/>
      <c r="AT30" s="128"/>
      <c r="AU30" s="54"/>
      <c r="AV30" s="64"/>
      <c r="AW30" s="69"/>
      <c r="AY30" s="21"/>
      <c r="AZ30" s="128"/>
      <c r="BA30" s="54"/>
      <c r="BB30" s="64"/>
      <c r="BC30" s="69"/>
      <c r="BD30">
        <f t="shared" si="2"/>
        <v>0</v>
      </c>
    </row>
    <row r="31" spans="1:56" x14ac:dyDescent="0.15">
      <c r="A31" s="5" t="s">
        <v>221</v>
      </c>
      <c r="C31" s="21"/>
      <c r="D31" s="128"/>
      <c r="E31" s="54"/>
      <c r="F31" s="64"/>
      <c r="G31" s="69"/>
      <c r="I31" s="21"/>
      <c r="J31" s="128"/>
      <c r="K31" s="54"/>
      <c r="L31" s="64"/>
      <c r="M31" s="69"/>
      <c r="O31" s="21"/>
      <c r="P31" s="128"/>
      <c r="Q31" s="54"/>
      <c r="R31" s="64"/>
      <c r="S31" s="69"/>
      <c r="U31" s="21"/>
      <c r="V31" s="128"/>
      <c r="W31" s="54"/>
      <c r="X31" s="64"/>
      <c r="Y31" s="69"/>
      <c r="AA31" s="21"/>
      <c r="AB31" s="128"/>
      <c r="AC31" s="54"/>
      <c r="AD31" s="64"/>
      <c r="AE31" s="69"/>
      <c r="AG31" s="21"/>
      <c r="AH31" s="128"/>
      <c r="AI31" s="54"/>
      <c r="AJ31" s="64"/>
      <c r="AK31" s="69"/>
      <c r="AM31" s="21"/>
      <c r="AN31" s="128"/>
      <c r="AO31" s="54"/>
      <c r="AP31" s="64"/>
      <c r="AQ31" s="69"/>
      <c r="AS31" s="21"/>
      <c r="AT31" s="128"/>
      <c r="AU31" s="54"/>
      <c r="AV31" s="64"/>
      <c r="AW31" s="69"/>
      <c r="AY31" s="21"/>
      <c r="AZ31" s="128"/>
      <c r="BA31" s="54"/>
      <c r="BB31" s="64"/>
      <c r="BC31" s="69"/>
      <c r="BD31">
        <f t="shared" si="2"/>
        <v>0</v>
      </c>
    </row>
    <row r="32" spans="1:56" x14ac:dyDescent="0.15">
      <c r="A32" s="5" t="s">
        <v>199</v>
      </c>
      <c r="C32" s="21"/>
      <c r="D32" s="128"/>
      <c r="E32" s="54"/>
      <c r="F32" s="64"/>
      <c r="G32" s="69"/>
      <c r="I32" s="21"/>
      <c r="J32" s="128"/>
      <c r="K32" s="54"/>
      <c r="L32" s="64"/>
      <c r="M32" s="69"/>
      <c r="O32" s="21"/>
      <c r="P32" s="128"/>
      <c r="Q32" s="54"/>
      <c r="R32" s="64"/>
      <c r="S32" s="69"/>
      <c r="U32" s="21"/>
      <c r="V32" s="128"/>
      <c r="W32" s="54"/>
      <c r="X32" s="64"/>
      <c r="Y32" s="69"/>
      <c r="AA32" s="21"/>
      <c r="AB32" s="128"/>
      <c r="AC32" s="54"/>
      <c r="AD32" s="64"/>
      <c r="AE32" s="69"/>
      <c r="AG32" s="21"/>
      <c r="AH32" s="128"/>
      <c r="AI32" s="54"/>
      <c r="AJ32" s="64"/>
      <c r="AK32" s="69"/>
      <c r="AM32" s="21"/>
      <c r="AN32" s="128"/>
      <c r="AO32" s="54"/>
      <c r="AP32" s="64"/>
      <c r="AQ32" s="69"/>
      <c r="AS32" s="21"/>
      <c r="AT32" s="128"/>
      <c r="AU32" s="54"/>
      <c r="AV32" s="64"/>
      <c r="AW32" s="69"/>
      <c r="AY32" s="21"/>
      <c r="AZ32" s="128"/>
      <c r="BA32" s="54"/>
      <c r="BB32" s="64"/>
      <c r="BC32" s="69"/>
      <c r="BD32">
        <f t="shared" si="2"/>
        <v>0</v>
      </c>
    </row>
    <row r="33" spans="1:56" x14ac:dyDescent="0.15">
      <c r="A33" s="5" t="s">
        <v>222</v>
      </c>
      <c r="C33" s="21"/>
      <c r="D33" s="128"/>
      <c r="E33" s="54"/>
      <c r="F33" s="64"/>
      <c r="G33" s="69"/>
      <c r="I33" s="21"/>
      <c r="J33" s="128"/>
      <c r="K33" s="54"/>
      <c r="L33" s="64"/>
      <c r="M33" s="69"/>
      <c r="O33" s="21"/>
      <c r="P33" s="128"/>
      <c r="Q33" s="54"/>
      <c r="R33" s="64"/>
      <c r="S33" s="69"/>
      <c r="U33" s="21"/>
      <c r="V33" s="128"/>
      <c r="W33" s="54"/>
      <c r="X33" s="64"/>
      <c r="Y33" s="69"/>
      <c r="AA33" s="21"/>
      <c r="AB33" s="128"/>
      <c r="AC33" s="54"/>
      <c r="AD33" s="64"/>
      <c r="AE33" s="69"/>
      <c r="AG33" s="21"/>
      <c r="AH33" s="128"/>
      <c r="AI33" s="54"/>
      <c r="AJ33" s="64"/>
      <c r="AK33" s="69"/>
      <c r="AM33" s="21"/>
      <c r="AN33" s="128"/>
      <c r="AO33" s="54"/>
      <c r="AP33" s="64"/>
      <c r="AQ33" s="69"/>
      <c r="AS33" s="21"/>
      <c r="AT33" s="128"/>
      <c r="AU33" s="54"/>
      <c r="AV33" s="64"/>
      <c r="AW33" s="69"/>
      <c r="AY33" s="21"/>
      <c r="AZ33" s="128"/>
      <c r="BA33" s="54"/>
      <c r="BB33" s="64"/>
      <c r="BC33" s="69"/>
      <c r="BD33">
        <f t="shared" si="2"/>
        <v>0</v>
      </c>
    </row>
    <row r="34" spans="1:56" x14ac:dyDescent="0.15">
      <c r="A34" s="2" t="s">
        <v>62</v>
      </c>
      <c r="C34" s="21"/>
      <c r="D34" s="128"/>
      <c r="E34" s="54"/>
      <c r="F34" s="64"/>
      <c r="G34" s="69"/>
      <c r="I34" s="21"/>
      <c r="J34" s="128"/>
      <c r="K34" s="54"/>
      <c r="L34" s="64"/>
      <c r="M34" s="69"/>
      <c r="O34" s="21"/>
      <c r="P34" s="128"/>
      <c r="Q34" s="54"/>
      <c r="R34" s="64"/>
      <c r="S34" s="69"/>
      <c r="U34" s="21"/>
      <c r="V34" s="128"/>
      <c r="W34" s="54"/>
      <c r="X34" s="64"/>
      <c r="Y34" s="69"/>
      <c r="AA34" s="21"/>
      <c r="AB34" s="128"/>
      <c r="AC34" s="54"/>
      <c r="AD34" s="64"/>
      <c r="AE34" s="69"/>
      <c r="AG34" s="21"/>
      <c r="AH34" s="128"/>
      <c r="AI34" s="54"/>
      <c r="AJ34" s="64"/>
      <c r="AK34" s="69"/>
      <c r="AM34" s="21"/>
      <c r="AN34" s="128"/>
      <c r="AO34" s="54"/>
      <c r="AP34" s="64"/>
      <c r="AQ34" s="69"/>
      <c r="AS34" s="21"/>
      <c r="AT34" s="128"/>
      <c r="AU34" s="54"/>
      <c r="AV34" s="64"/>
      <c r="AW34" s="69"/>
      <c r="AY34" s="21"/>
      <c r="AZ34" s="128"/>
      <c r="BA34" s="54"/>
      <c r="BB34" s="64"/>
      <c r="BC34" s="69"/>
      <c r="BD34">
        <f t="shared" si="2"/>
        <v>0</v>
      </c>
    </row>
    <row r="35" spans="1:56" x14ac:dyDescent="0.15">
      <c r="A35" s="2" t="s">
        <v>17</v>
      </c>
      <c r="C35" s="21"/>
      <c r="D35" s="128"/>
      <c r="E35" s="54"/>
      <c r="F35" s="64"/>
      <c r="G35" s="69"/>
      <c r="I35" s="21"/>
      <c r="J35" s="128"/>
      <c r="K35" s="54"/>
      <c r="L35" s="64"/>
      <c r="M35" s="69"/>
      <c r="O35" s="21"/>
      <c r="P35" s="128"/>
      <c r="Q35" s="54"/>
      <c r="R35" s="64"/>
      <c r="S35" s="69"/>
      <c r="U35" s="21"/>
      <c r="V35" s="128"/>
      <c r="W35" s="54"/>
      <c r="X35" s="64"/>
      <c r="Y35" s="69"/>
      <c r="AA35" s="21"/>
      <c r="AB35" s="128"/>
      <c r="AC35" s="54"/>
      <c r="AD35" s="64"/>
      <c r="AE35" s="69"/>
      <c r="AG35" s="21"/>
      <c r="AH35" s="128"/>
      <c r="AI35" s="54"/>
      <c r="AJ35" s="64"/>
      <c r="AK35" s="69"/>
      <c r="AM35" s="21"/>
      <c r="AN35" s="128"/>
      <c r="AO35" s="54"/>
      <c r="AP35" s="64"/>
      <c r="AQ35" s="69"/>
      <c r="AS35" s="21"/>
      <c r="AT35" s="128"/>
      <c r="AU35" s="54"/>
      <c r="AV35" s="64"/>
      <c r="AW35" s="69"/>
      <c r="AY35" s="21"/>
      <c r="AZ35" s="128"/>
      <c r="BA35" s="54"/>
      <c r="BB35" s="64"/>
      <c r="BC35" s="69"/>
      <c r="BD35">
        <f t="shared" si="2"/>
        <v>0</v>
      </c>
    </row>
    <row r="36" spans="1:56" x14ac:dyDescent="0.15">
      <c r="A36" s="2" t="s">
        <v>49</v>
      </c>
      <c r="C36" s="21">
        <v>1</v>
      </c>
      <c r="D36" s="128">
        <v>2</v>
      </c>
      <c r="E36" s="54">
        <v>2</v>
      </c>
      <c r="F36" s="64">
        <v>1</v>
      </c>
      <c r="G36" s="69">
        <v>2</v>
      </c>
      <c r="I36" s="21">
        <v>1</v>
      </c>
      <c r="J36" s="128">
        <v>1</v>
      </c>
      <c r="K36" s="54">
        <v>1</v>
      </c>
      <c r="L36" s="64">
        <v>1</v>
      </c>
      <c r="M36" s="69">
        <v>1</v>
      </c>
      <c r="O36" s="21">
        <v>1</v>
      </c>
      <c r="P36" s="128">
        <v>1</v>
      </c>
      <c r="Q36" s="54">
        <v>1</v>
      </c>
      <c r="R36" s="64">
        <v>1</v>
      </c>
      <c r="S36" s="69">
        <v>2</v>
      </c>
      <c r="U36" s="21"/>
      <c r="V36" s="128">
        <v>1</v>
      </c>
      <c r="W36" s="54">
        <v>1</v>
      </c>
      <c r="X36" s="64">
        <v>1</v>
      </c>
      <c r="Y36" s="69">
        <v>1</v>
      </c>
      <c r="AA36" s="21">
        <v>2</v>
      </c>
      <c r="AB36" s="128">
        <v>1</v>
      </c>
      <c r="AC36" s="54">
        <v>1</v>
      </c>
      <c r="AD36" s="64">
        <v>1</v>
      </c>
      <c r="AE36" s="69">
        <v>1</v>
      </c>
      <c r="AG36" s="21">
        <v>1</v>
      </c>
      <c r="AH36" s="128">
        <v>1</v>
      </c>
      <c r="AI36" s="54">
        <v>1</v>
      </c>
      <c r="AJ36" s="64">
        <v>1</v>
      </c>
      <c r="AK36" s="69">
        <v>1</v>
      </c>
      <c r="AM36" s="21">
        <v>2</v>
      </c>
      <c r="AN36" s="128">
        <v>1</v>
      </c>
      <c r="AO36" s="54">
        <v>1</v>
      </c>
      <c r="AP36" s="64">
        <v>1</v>
      </c>
      <c r="AQ36" s="69"/>
      <c r="AS36" s="21">
        <v>1</v>
      </c>
      <c r="AT36" s="128">
        <v>1</v>
      </c>
      <c r="AU36" s="54"/>
      <c r="AV36" s="64"/>
      <c r="AW36" s="69">
        <v>1</v>
      </c>
      <c r="AY36" s="21"/>
      <c r="AZ36" s="128">
        <v>1</v>
      </c>
      <c r="BA36" s="54"/>
      <c r="BB36" s="64">
        <v>1</v>
      </c>
      <c r="BC36" s="69">
        <v>1</v>
      </c>
      <c r="BD36">
        <f t="shared" si="2"/>
        <v>39</v>
      </c>
    </row>
    <row r="37" spans="1:56" x14ac:dyDescent="0.15">
      <c r="A37" s="2" t="s">
        <v>6</v>
      </c>
      <c r="C37" s="21"/>
      <c r="D37" s="128"/>
      <c r="E37" s="54"/>
      <c r="F37" s="64"/>
      <c r="G37" s="69"/>
      <c r="I37" s="21"/>
      <c r="J37" s="128"/>
      <c r="K37" s="54"/>
      <c r="L37" s="64"/>
      <c r="M37" s="69"/>
      <c r="O37" s="21"/>
      <c r="P37" s="128"/>
      <c r="Q37" s="54"/>
      <c r="R37" s="64"/>
      <c r="S37" s="69"/>
      <c r="U37" s="21"/>
      <c r="V37" s="128"/>
      <c r="W37" s="54"/>
      <c r="X37" s="64"/>
      <c r="Y37" s="69"/>
      <c r="AA37" s="21"/>
      <c r="AB37" s="128"/>
      <c r="AC37" s="54"/>
      <c r="AD37" s="64"/>
      <c r="AE37" s="69"/>
      <c r="AG37" s="21"/>
      <c r="AH37" s="128"/>
      <c r="AI37" s="54"/>
      <c r="AJ37" s="64"/>
      <c r="AK37" s="69"/>
      <c r="AM37" s="21"/>
      <c r="AN37" s="128"/>
      <c r="AO37" s="54"/>
      <c r="AP37" s="64"/>
      <c r="AQ37" s="69"/>
      <c r="AS37" s="21"/>
      <c r="AT37" s="128"/>
      <c r="AU37" s="54"/>
      <c r="AV37" s="64"/>
      <c r="AW37" s="69"/>
      <c r="AY37" s="21"/>
      <c r="AZ37" s="128"/>
      <c r="BA37" s="54"/>
      <c r="BB37" s="64"/>
      <c r="BC37" s="69"/>
      <c r="BD37">
        <f t="shared" si="2"/>
        <v>0</v>
      </c>
    </row>
    <row r="38" spans="1:56" x14ac:dyDescent="0.15">
      <c r="A38" s="2" t="s">
        <v>19</v>
      </c>
      <c r="C38" s="21">
        <v>1</v>
      </c>
      <c r="D38" s="128"/>
      <c r="E38" s="54"/>
      <c r="F38" s="64"/>
      <c r="G38" s="69"/>
      <c r="I38" s="21"/>
      <c r="J38" s="128"/>
      <c r="K38" s="54"/>
      <c r="L38" s="64"/>
      <c r="M38" s="69"/>
      <c r="O38" s="21">
        <v>2</v>
      </c>
      <c r="P38" s="128">
        <v>1</v>
      </c>
      <c r="Q38" s="54">
        <v>2</v>
      </c>
      <c r="R38" s="64">
        <v>3</v>
      </c>
      <c r="S38" s="69">
        <v>3</v>
      </c>
      <c r="U38" s="21"/>
      <c r="V38" s="128"/>
      <c r="W38" s="54"/>
      <c r="X38" s="64"/>
      <c r="Y38" s="69"/>
      <c r="Z38">
        <v>2</v>
      </c>
      <c r="AA38" s="21"/>
      <c r="AB38" s="128">
        <v>1</v>
      </c>
      <c r="AC38" s="54">
        <v>1</v>
      </c>
      <c r="AD38" s="64">
        <v>1</v>
      </c>
      <c r="AE38" s="69">
        <v>1</v>
      </c>
      <c r="AG38" s="21"/>
      <c r="AH38" s="128"/>
      <c r="AI38" s="54"/>
      <c r="AJ38" s="64"/>
      <c r="AK38" s="69"/>
      <c r="AM38" s="21"/>
      <c r="AN38" s="128"/>
      <c r="AO38" s="54"/>
      <c r="AP38" s="64"/>
      <c r="AQ38" s="69"/>
      <c r="AS38" s="21"/>
      <c r="AT38" s="128"/>
      <c r="AU38" s="54"/>
      <c r="AV38" s="64"/>
      <c r="AW38" s="69"/>
      <c r="AY38" s="21"/>
      <c r="AZ38" s="128"/>
      <c r="BA38" s="54"/>
      <c r="BB38" s="64"/>
      <c r="BC38" s="69"/>
      <c r="BD38">
        <f t="shared" si="2"/>
        <v>11</v>
      </c>
    </row>
    <row r="39" spans="1:56" x14ac:dyDescent="0.15">
      <c r="A39" s="2" t="s">
        <v>68</v>
      </c>
      <c r="C39" s="21"/>
      <c r="D39" s="128"/>
      <c r="E39" s="54"/>
      <c r="F39" s="64"/>
      <c r="G39" s="69"/>
      <c r="H39">
        <v>1</v>
      </c>
      <c r="I39" s="21"/>
      <c r="J39" s="128"/>
      <c r="K39" s="54"/>
      <c r="L39" s="64"/>
      <c r="M39" s="69"/>
      <c r="N39">
        <v>1</v>
      </c>
      <c r="O39" s="21"/>
      <c r="P39" s="128"/>
      <c r="Q39" s="54"/>
      <c r="R39" s="64"/>
      <c r="S39" s="69"/>
      <c r="U39" s="21"/>
      <c r="V39" s="128"/>
      <c r="W39" s="54"/>
      <c r="X39" s="64"/>
      <c r="Y39" s="69"/>
      <c r="Z39">
        <v>1</v>
      </c>
      <c r="AA39" s="21"/>
      <c r="AB39" s="128"/>
      <c r="AC39" s="54"/>
      <c r="AD39" s="64"/>
      <c r="AE39" s="69"/>
      <c r="AF39">
        <v>2</v>
      </c>
      <c r="AG39" s="21"/>
      <c r="AH39" s="128"/>
      <c r="AI39" s="54"/>
      <c r="AJ39" s="64"/>
      <c r="AK39" s="69"/>
      <c r="AL39">
        <v>1</v>
      </c>
      <c r="AM39" s="21"/>
      <c r="AN39" s="128"/>
      <c r="AO39" s="54"/>
      <c r="AP39" s="64"/>
      <c r="AQ39" s="69"/>
      <c r="AR39">
        <v>1</v>
      </c>
      <c r="AS39" s="21"/>
      <c r="AT39" s="128"/>
      <c r="AU39" s="54"/>
      <c r="AV39" s="64"/>
      <c r="AW39" s="69"/>
      <c r="AX39">
        <v>1</v>
      </c>
      <c r="AY39" s="21"/>
      <c r="AZ39" s="128"/>
      <c r="BA39" s="54"/>
      <c r="BB39" s="64"/>
      <c r="BC39" s="69"/>
      <c r="BD39">
        <f t="shared" si="2"/>
        <v>7</v>
      </c>
    </row>
    <row r="40" spans="1:56" x14ac:dyDescent="0.15">
      <c r="A40" s="2" t="s">
        <v>37</v>
      </c>
      <c r="C40" s="21"/>
      <c r="D40" s="128"/>
      <c r="E40" s="54"/>
      <c r="F40" s="64"/>
      <c r="G40" s="69"/>
      <c r="I40" s="21"/>
      <c r="J40" s="128"/>
      <c r="K40" s="54"/>
      <c r="L40" s="64"/>
      <c r="M40" s="69"/>
      <c r="O40" s="21"/>
      <c r="P40" s="128"/>
      <c r="Q40" s="54"/>
      <c r="R40" s="64"/>
      <c r="S40" s="69"/>
      <c r="U40" s="21"/>
      <c r="V40" s="128"/>
      <c r="W40" s="54"/>
      <c r="X40" s="64"/>
      <c r="Y40" s="69"/>
      <c r="Z40">
        <v>1</v>
      </c>
      <c r="AA40" s="21"/>
      <c r="AB40" s="128"/>
      <c r="AC40" s="54"/>
      <c r="AD40" s="64"/>
      <c r="AE40" s="69"/>
      <c r="AG40" s="21"/>
      <c r="AH40" s="128"/>
      <c r="AI40" s="54"/>
      <c r="AJ40" s="64"/>
      <c r="AK40" s="69"/>
      <c r="AM40" s="21"/>
      <c r="AN40" s="128"/>
      <c r="AO40" s="54"/>
      <c r="AP40" s="64"/>
      <c r="AQ40" s="69"/>
      <c r="AS40" s="21"/>
      <c r="AT40" s="128"/>
      <c r="AU40" s="54"/>
      <c r="AV40" s="64"/>
      <c r="AW40" s="69"/>
      <c r="AY40" s="21"/>
      <c r="AZ40" s="128"/>
      <c r="BA40" s="54"/>
      <c r="BB40" s="64"/>
      <c r="BC40" s="69"/>
      <c r="BD40">
        <f t="shared" si="2"/>
        <v>1</v>
      </c>
    </row>
    <row r="41" spans="1:56" x14ac:dyDescent="0.15">
      <c r="A41" s="2" t="s">
        <v>20</v>
      </c>
      <c r="C41" s="21"/>
      <c r="D41" s="128"/>
      <c r="E41" s="54"/>
      <c r="F41" s="64"/>
      <c r="G41" s="69"/>
      <c r="I41" s="21"/>
      <c r="J41" s="128">
        <v>1</v>
      </c>
      <c r="K41" s="54"/>
      <c r="L41" s="64"/>
      <c r="M41" s="69"/>
      <c r="O41" s="21"/>
      <c r="P41" s="128"/>
      <c r="Q41" s="54"/>
      <c r="R41" s="64"/>
      <c r="S41" s="69"/>
      <c r="T41">
        <v>3</v>
      </c>
      <c r="U41" s="21">
        <v>3</v>
      </c>
      <c r="V41" s="128">
        <v>2</v>
      </c>
      <c r="W41" s="54">
        <v>2</v>
      </c>
      <c r="X41" s="64">
        <v>2</v>
      </c>
      <c r="Y41" s="69">
        <v>2</v>
      </c>
      <c r="AA41" s="21"/>
      <c r="AB41" s="128"/>
      <c r="AC41" s="54"/>
      <c r="AD41" s="64"/>
      <c r="AE41" s="69"/>
      <c r="AF41">
        <v>3</v>
      </c>
      <c r="AG41" s="21">
        <v>1</v>
      </c>
      <c r="AH41" s="128">
        <v>1</v>
      </c>
      <c r="AI41" s="54">
        <v>1</v>
      </c>
      <c r="AJ41" s="64">
        <v>1</v>
      </c>
      <c r="AK41" s="69">
        <v>1</v>
      </c>
      <c r="AM41" s="21">
        <v>1</v>
      </c>
      <c r="AN41" s="128"/>
      <c r="AO41" s="54"/>
      <c r="AP41" s="64">
        <v>1</v>
      </c>
      <c r="AQ41" s="69">
        <v>1</v>
      </c>
      <c r="AS41" s="21"/>
      <c r="AT41" s="128"/>
      <c r="AU41" s="54"/>
      <c r="AV41" s="64"/>
      <c r="AW41" s="69"/>
      <c r="AY41" s="21"/>
      <c r="AZ41" s="128"/>
      <c r="BA41" s="54"/>
      <c r="BB41" s="64"/>
      <c r="BC41" s="69"/>
      <c r="BD41">
        <f t="shared" si="2"/>
        <v>16</v>
      </c>
    </row>
    <row r="42" spans="1:56" x14ac:dyDescent="0.15">
      <c r="A42" s="2" t="s">
        <v>11</v>
      </c>
      <c r="C42" s="21"/>
      <c r="D42" s="128"/>
      <c r="E42" s="54"/>
      <c r="F42" s="64"/>
      <c r="G42" s="69"/>
      <c r="I42" s="21"/>
      <c r="J42" s="128"/>
      <c r="K42" s="54"/>
      <c r="L42" s="64"/>
      <c r="M42" s="69"/>
      <c r="O42" s="21"/>
      <c r="P42" s="128"/>
      <c r="Q42" s="54"/>
      <c r="R42" s="64"/>
      <c r="S42" s="69"/>
      <c r="U42" s="21"/>
      <c r="V42" s="128"/>
      <c r="W42" s="54"/>
      <c r="X42" s="64"/>
      <c r="Y42" s="69"/>
      <c r="AA42" s="21"/>
      <c r="AB42" s="128"/>
      <c r="AC42" s="54"/>
      <c r="AD42" s="64"/>
      <c r="AE42" s="69"/>
      <c r="AG42" s="21"/>
      <c r="AH42" s="128"/>
      <c r="AI42" s="54"/>
      <c r="AJ42" s="64"/>
      <c r="AK42" s="69"/>
      <c r="AM42" s="21"/>
      <c r="AN42" s="128"/>
      <c r="AO42" s="54"/>
      <c r="AP42" s="64"/>
      <c r="AQ42" s="69"/>
      <c r="AS42" s="21"/>
      <c r="AT42" s="128"/>
      <c r="AU42" s="54"/>
      <c r="AV42" s="64"/>
      <c r="AW42" s="69"/>
      <c r="AY42" s="21"/>
      <c r="AZ42" s="128"/>
      <c r="BA42" s="54"/>
      <c r="BB42" s="64"/>
      <c r="BC42" s="69"/>
      <c r="BD42">
        <f t="shared" si="2"/>
        <v>0</v>
      </c>
    </row>
    <row r="43" spans="1:56" x14ac:dyDescent="0.15">
      <c r="A43" s="2" t="s">
        <v>21</v>
      </c>
      <c r="B43">
        <v>4</v>
      </c>
      <c r="C43" s="21">
        <v>2</v>
      </c>
      <c r="D43" s="128">
        <v>2</v>
      </c>
      <c r="E43" s="54">
        <v>2</v>
      </c>
      <c r="F43" s="64">
        <v>1</v>
      </c>
      <c r="G43" s="69">
        <v>1</v>
      </c>
      <c r="I43" s="21"/>
      <c r="J43" s="128">
        <v>1</v>
      </c>
      <c r="K43" s="54">
        <v>1</v>
      </c>
      <c r="L43" s="64">
        <v>1</v>
      </c>
      <c r="M43" s="69">
        <v>1</v>
      </c>
      <c r="N43">
        <v>3</v>
      </c>
      <c r="O43" s="21">
        <v>3</v>
      </c>
      <c r="P43" s="128">
        <v>1</v>
      </c>
      <c r="Q43" s="54">
        <v>3</v>
      </c>
      <c r="R43" s="64">
        <v>4</v>
      </c>
      <c r="S43" s="69">
        <v>3</v>
      </c>
      <c r="T43">
        <v>3</v>
      </c>
      <c r="U43" s="21">
        <v>2</v>
      </c>
      <c r="V43" s="128">
        <v>2</v>
      </c>
      <c r="W43" s="54">
        <v>1</v>
      </c>
      <c r="X43" s="64">
        <v>1</v>
      </c>
      <c r="Y43" s="69">
        <v>2</v>
      </c>
      <c r="Z43">
        <v>2</v>
      </c>
      <c r="AA43" s="21">
        <v>1</v>
      </c>
      <c r="AB43" s="128">
        <v>2</v>
      </c>
      <c r="AC43" s="54">
        <v>1</v>
      </c>
      <c r="AD43" s="64">
        <v>1</v>
      </c>
      <c r="AE43" s="69">
        <v>1</v>
      </c>
      <c r="AG43" s="21">
        <v>1</v>
      </c>
      <c r="AH43" s="128">
        <v>1</v>
      </c>
      <c r="AI43" s="54">
        <v>1</v>
      </c>
      <c r="AJ43" s="64">
        <v>1</v>
      </c>
      <c r="AK43" s="69">
        <v>1</v>
      </c>
      <c r="AL43">
        <v>2</v>
      </c>
      <c r="AM43" s="21">
        <v>3</v>
      </c>
      <c r="AN43" s="128">
        <v>3</v>
      </c>
      <c r="AO43" s="54">
        <v>3</v>
      </c>
      <c r="AP43" s="64">
        <v>3</v>
      </c>
      <c r="AQ43" s="69">
        <v>2</v>
      </c>
      <c r="AR43">
        <v>3</v>
      </c>
      <c r="AS43" s="21">
        <v>2</v>
      </c>
      <c r="AT43" s="128">
        <v>2</v>
      </c>
      <c r="AU43" s="54">
        <v>2</v>
      </c>
      <c r="AV43" s="64">
        <v>1</v>
      </c>
      <c r="AW43" s="69">
        <v>1</v>
      </c>
      <c r="AX43">
        <v>3</v>
      </c>
      <c r="AY43" s="21">
        <v>2</v>
      </c>
      <c r="AZ43" s="128">
        <v>1</v>
      </c>
      <c r="BA43" s="54">
        <v>1</v>
      </c>
      <c r="BB43" s="64">
        <v>2</v>
      </c>
      <c r="BC43" s="69">
        <v>1</v>
      </c>
      <c r="BD43">
        <f t="shared" si="2"/>
        <v>51</v>
      </c>
    </row>
    <row r="44" spans="1:56" x14ac:dyDescent="0.15">
      <c r="A44" s="2" t="s">
        <v>197</v>
      </c>
      <c r="C44" s="21"/>
      <c r="D44" s="128"/>
      <c r="E44" s="54"/>
      <c r="F44" s="64"/>
      <c r="G44" s="69"/>
      <c r="I44" s="21"/>
      <c r="J44" s="128"/>
      <c r="K44" s="54"/>
      <c r="L44" s="64"/>
      <c r="M44" s="69"/>
      <c r="O44" s="21"/>
      <c r="P44" s="128"/>
      <c r="Q44" s="54"/>
      <c r="R44" s="64"/>
      <c r="S44" s="69"/>
      <c r="U44" s="21"/>
      <c r="V44" s="128"/>
      <c r="W44" s="54"/>
      <c r="X44" s="64"/>
      <c r="Y44" s="69"/>
      <c r="AA44" s="21"/>
      <c r="AB44" s="128"/>
      <c r="AC44" s="54"/>
      <c r="AD44" s="64"/>
      <c r="AE44" s="69"/>
      <c r="AG44" s="21"/>
      <c r="AH44" s="128"/>
      <c r="AI44" s="54"/>
      <c r="AJ44" s="64"/>
      <c r="AK44" s="69"/>
      <c r="AM44" s="21"/>
      <c r="AN44" s="128"/>
      <c r="AO44" s="54"/>
      <c r="AP44" s="64"/>
      <c r="AQ44" s="69"/>
      <c r="AS44" s="21"/>
      <c r="AT44" s="128"/>
      <c r="AU44" s="54"/>
      <c r="AV44" s="64"/>
      <c r="AW44" s="69"/>
      <c r="AY44" s="21"/>
      <c r="AZ44" s="128"/>
      <c r="BA44" s="54"/>
      <c r="BB44" s="64"/>
      <c r="BC44" s="69"/>
      <c r="BD44">
        <f t="shared" si="2"/>
        <v>0</v>
      </c>
    </row>
    <row r="45" spans="1:56" x14ac:dyDescent="0.15">
      <c r="A45" s="2" t="s">
        <v>196</v>
      </c>
      <c r="C45" s="21"/>
      <c r="D45" s="128"/>
      <c r="E45" s="54"/>
      <c r="F45" s="64"/>
      <c r="G45" s="69"/>
      <c r="I45" s="21"/>
      <c r="J45" s="128"/>
      <c r="K45" s="54"/>
      <c r="L45" s="64"/>
      <c r="M45" s="69"/>
      <c r="O45" s="21"/>
      <c r="P45" s="128"/>
      <c r="Q45" s="54"/>
      <c r="R45" s="64"/>
      <c r="S45" s="69"/>
      <c r="U45" s="21"/>
      <c r="V45" s="128"/>
      <c r="W45" s="54"/>
      <c r="X45" s="64"/>
      <c r="Y45" s="69"/>
      <c r="AA45" s="21"/>
      <c r="AB45" s="128"/>
      <c r="AC45" s="54"/>
      <c r="AD45" s="64"/>
      <c r="AE45" s="69"/>
      <c r="AG45" s="21"/>
      <c r="AH45" s="128"/>
      <c r="AI45" s="54"/>
      <c r="AJ45" s="64"/>
      <c r="AK45" s="69"/>
      <c r="AM45" s="21"/>
      <c r="AN45" s="128"/>
      <c r="AO45" s="54"/>
      <c r="AP45" s="64"/>
      <c r="AQ45" s="69"/>
      <c r="AS45" s="21"/>
      <c r="AT45" s="128"/>
      <c r="AU45" s="54"/>
      <c r="AV45" s="64"/>
      <c r="AW45" s="69"/>
      <c r="AY45" s="21"/>
      <c r="AZ45" s="128"/>
      <c r="BA45" s="54"/>
      <c r="BB45" s="64"/>
      <c r="BC45" s="69"/>
      <c r="BD45">
        <f t="shared" si="2"/>
        <v>0</v>
      </c>
    </row>
    <row r="46" spans="1:56" x14ac:dyDescent="0.15">
      <c r="A46" s="5" t="s">
        <v>198</v>
      </c>
      <c r="C46" s="21"/>
      <c r="D46" s="128"/>
      <c r="E46" s="54"/>
      <c r="F46" s="64"/>
      <c r="G46" s="69"/>
      <c r="I46" s="21"/>
      <c r="J46" s="128"/>
      <c r="K46" s="54"/>
      <c r="L46" s="64"/>
      <c r="M46" s="69"/>
      <c r="O46" s="21"/>
      <c r="P46" s="128"/>
      <c r="Q46" s="54"/>
      <c r="R46" s="64"/>
      <c r="S46" s="69"/>
      <c r="U46" s="21"/>
      <c r="V46" s="128"/>
      <c r="W46" s="54"/>
      <c r="X46" s="64"/>
      <c r="Y46" s="69"/>
      <c r="AA46" s="21"/>
      <c r="AB46" s="128"/>
      <c r="AC46" s="54"/>
      <c r="AD46" s="64"/>
      <c r="AE46" s="69"/>
      <c r="AG46" s="21"/>
      <c r="AH46" s="128"/>
      <c r="AI46" s="54"/>
      <c r="AJ46" s="64"/>
      <c r="AK46" s="69"/>
      <c r="AM46" s="21"/>
      <c r="AN46" s="128"/>
      <c r="AO46" s="54"/>
      <c r="AP46" s="64"/>
      <c r="AQ46" s="69"/>
      <c r="AS46" s="21"/>
      <c r="AT46" s="128"/>
      <c r="AU46" s="54"/>
      <c r="AV46" s="64"/>
      <c r="AW46" s="69"/>
      <c r="AY46" s="21"/>
      <c r="AZ46" s="128"/>
      <c r="BA46" s="54"/>
      <c r="BB46" s="64"/>
      <c r="BC46" s="69"/>
      <c r="BD46">
        <f t="shared" si="2"/>
        <v>0</v>
      </c>
    </row>
    <row r="47" spans="1:56" x14ac:dyDescent="0.15">
      <c r="A47" s="2" t="s">
        <v>35</v>
      </c>
      <c r="B47">
        <v>3</v>
      </c>
      <c r="C47" s="21">
        <v>1</v>
      </c>
      <c r="D47" s="128">
        <v>1</v>
      </c>
      <c r="E47" s="54">
        <v>2</v>
      </c>
      <c r="F47" s="64">
        <v>2</v>
      </c>
      <c r="G47" s="69">
        <v>1</v>
      </c>
      <c r="H47">
        <v>1</v>
      </c>
      <c r="I47" s="21">
        <v>1</v>
      </c>
      <c r="J47" s="128">
        <v>1</v>
      </c>
      <c r="K47" s="54">
        <v>1</v>
      </c>
      <c r="L47" s="64">
        <v>1</v>
      </c>
      <c r="M47" s="69">
        <v>1</v>
      </c>
      <c r="N47">
        <v>2</v>
      </c>
      <c r="O47" s="21">
        <v>1</v>
      </c>
      <c r="P47" s="128"/>
      <c r="Q47" s="54">
        <v>2</v>
      </c>
      <c r="R47" s="64">
        <v>2</v>
      </c>
      <c r="S47" s="69">
        <v>2</v>
      </c>
      <c r="T47">
        <v>1</v>
      </c>
      <c r="U47" s="21">
        <v>1</v>
      </c>
      <c r="V47" s="128">
        <v>1</v>
      </c>
      <c r="W47" s="54">
        <v>1</v>
      </c>
      <c r="X47" s="64">
        <v>1</v>
      </c>
      <c r="Y47" s="69">
        <v>1</v>
      </c>
      <c r="Z47">
        <v>3</v>
      </c>
      <c r="AA47" s="21">
        <v>1</v>
      </c>
      <c r="AB47" s="128">
        <v>1</v>
      </c>
      <c r="AC47" s="54">
        <v>2</v>
      </c>
      <c r="AD47" s="64">
        <v>1</v>
      </c>
      <c r="AE47" s="69">
        <v>1</v>
      </c>
      <c r="AF47">
        <v>1</v>
      </c>
      <c r="AG47" s="21">
        <v>1</v>
      </c>
      <c r="AH47" s="128">
        <v>2</v>
      </c>
      <c r="AI47" s="54">
        <v>1</v>
      </c>
      <c r="AJ47" s="64">
        <v>2</v>
      </c>
      <c r="AK47" s="69">
        <v>1</v>
      </c>
      <c r="AL47">
        <v>1</v>
      </c>
      <c r="AM47" s="21">
        <v>1</v>
      </c>
      <c r="AN47" s="128">
        <v>1</v>
      </c>
      <c r="AO47" s="54">
        <v>1</v>
      </c>
      <c r="AP47" s="64">
        <v>1</v>
      </c>
      <c r="AQ47" s="69">
        <v>1</v>
      </c>
      <c r="AR47">
        <v>2</v>
      </c>
      <c r="AS47" s="21">
        <v>1</v>
      </c>
      <c r="AT47" s="128">
        <v>1</v>
      </c>
      <c r="AU47" s="54">
        <v>1</v>
      </c>
      <c r="AV47" s="64">
        <v>2</v>
      </c>
      <c r="AW47" s="69">
        <v>1</v>
      </c>
      <c r="AX47">
        <v>3</v>
      </c>
      <c r="AY47" s="21">
        <v>1</v>
      </c>
      <c r="AZ47" s="128"/>
      <c r="BA47" s="54">
        <v>1</v>
      </c>
      <c r="BB47" s="64">
        <v>1</v>
      </c>
      <c r="BC47" s="69">
        <v>1</v>
      </c>
      <c r="BD47">
        <f t="shared" si="2"/>
        <v>52</v>
      </c>
    </row>
    <row r="48" spans="1:56" x14ac:dyDescent="0.15">
      <c r="A48" s="2" t="s">
        <v>110</v>
      </c>
      <c r="C48" s="21"/>
      <c r="D48" s="128"/>
      <c r="E48" s="54"/>
      <c r="F48" s="64"/>
      <c r="G48" s="69"/>
      <c r="I48" s="21"/>
      <c r="J48" s="128"/>
      <c r="K48" s="54"/>
      <c r="L48" s="64"/>
      <c r="M48" s="69"/>
      <c r="O48" s="21"/>
      <c r="P48" s="128"/>
      <c r="Q48" s="54"/>
      <c r="R48" s="64"/>
      <c r="S48" s="69"/>
      <c r="U48" s="21"/>
      <c r="V48" s="128"/>
      <c r="W48" s="54"/>
      <c r="X48" s="64"/>
      <c r="Y48" s="69"/>
      <c r="AA48" s="21"/>
      <c r="AB48" s="128"/>
      <c r="AC48" s="54"/>
      <c r="AD48" s="64"/>
      <c r="AE48" s="69"/>
      <c r="AG48" s="21"/>
      <c r="AH48" s="128"/>
      <c r="AI48" s="54"/>
      <c r="AJ48" s="64"/>
      <c r="AK48" s="69"/>
      <c r="AM48" s="21"/>
      <c r="AN48" s="128"/>
      <c r="AO48" s="54"/>
      <c r="AP48" s="64"/>
      <c r="AQ48" s="69"/>
      <c r="AS48" s="21"/>
      <c r="AT48" s="128"/>
      <c r="AU48" s="54"/>
      <c r="AV48" s="64"/>
      <c r="AW48" s="69"/>
      <c r="AY48" s="21"/>
      <c r="AZ48" s="128"/>
      <c r="BA48" s="54"/>
      <c r="BB48" s="64"/>
      <c r="BC48" s="69"/>
      <c r="BD48">
        <f t="shared" si="2"/>
        <v>0</v>
      </c>
    </row>
    <row r="49" spans="1:56" x14ac:dyDescent="0.15">
      <c r="A49" s="2" t="s">
        <v>25</v>
      </c>
      <c r="C49" s="21"/>
      <c r="D49" s="128"/>
      <c r="E49" s="54"/>
      <c r="F49" s="64"/>
      <c r="G49" s="69"/>
      <c r="I49" s="21"/>
      <c r="J49" s="128"/>
      <c r="K49" s="54"/>
      <c r="L49" s="64"/>
      <c r="M49" s="69"/>
      <c r="O49" s="21"/>
      <c r="P49" s="128">
        <v>1</v>
      </c>
      <c r="Q49" s="54"/>
      <c r="R49" s="64">
        <v>1</v>
      </c>
      <c r="S49" s="69">
        <v>2</v>
      </c>
      <c r="U49" s="21"/>
      <c r="V49" s="128"/>
      <c r="W49" s="54"/>
      <c r="X49" s="64"/>
      <c r="Y49" s="69"/>
      <c r="AA49" s="21"/>
      <c r="AB49" s="128"/>
      <c r="AC49" s="54"/>
      <c r="AD49" s="64"/>
      <c r="AE49" s="69"/>
      <c r="AG49" s="21"/>
      <c r="AH49" s="128"/>
      <c r="AI49" s="54"/>
      <c r="AJ49" s="64"/>
      <c r="AK49" s="69"/>
      <c r="AM49" s="21"/>
      <c r="AN49" s="128"/>
      <c r="AO49" s="54"/>
      <c r="AP49" s="64"/>
      <c r="AQ49" s="69"/>
      <c r="AS49" s="21"/>
      <c r="AT49" s="128"/>
      <c r="AU49" s="54"/>
      <c r="AV49" s="64"/>
      <c r="AW49" s="69"/>
      <c r="AY49" s="21"/>
      <c r="AZ49" s="128"/>
      <c r="BA49" s="54"/>
      <c r="BB49" s="64"/>
      <c r="BC49" s="69"/>
      <c r="BD49">
        <f t="shared" si="2"/>
        <v>3</v>
      </c>
    </row>
    <row r="50" spans="1:56" x14ac:dyDescent="0.15">
      <c r="A50" s="2" t="s">
        <v>38</v>
      </c>
      <c r="C50" s="21"/>
      <c r="D50" s="128"/>
      <c r="E50" s="54"/>
      <c r="F50" s="64"/>
      <c r="G50" s="69"/>
      <c r="I50" s="21"/>
      <c r="J50" s="128"/>
      <c r="K50" s="54"/>
      <c r="L50" s="64"/>
      <c r="M50" s="69"/>
      <c r="O50" s="21"/>
      <c r="P50" s="128"/>
      <c r="Q50" s="54"/>
      <c r="R50" s="64"/>
      <c r="S50" s="69"/>
      <c r="U50" s="21"/>
      <c r="V50" s="128"/>
      <c r="W50" s="54"/>
      <c r="X50" s="64"/>
      <c r="Y50" s="69"/>
      <c r="AA50" s="21"/>
      <c r="AB50" s="128"/>
      <c r="AC50" s="54"/>
      <c r="AD50" s="64"/>
      <c r="AE50" s="69"/>
      <c r="AG50" s="21"/>
      <c r="AH50" s="128"/>
      <c r="AI50" s="54"/>
      <c r="AJ50" s="64"/>
      <c r="AK50" s="69"/>
      <c r="AM50" s="21"/>
      <c r="AN50" s="128"/>
      <c r="AO50" s="54"/>
      <c r="AP50" s="64"/>
      <c r="AQ50" s="69"/>
      <c r="AS50" s="21"/>
      <c r="AT50" s="128"/>
      <c r="AU50" s="54"/>
      <c r="AV50" s="64"/>
      <c r="AW50" s="69"/>
      <c r="AY50" s="21"/>
      <c r="AZ50" s="128"/>
      <c r="BA50" s="54"/>
      <c r="BB50" s="64"/>
      <c r="BC50" s="69"/>
      <c r="BD50">
        <f t="shared" si="2"/>
        <v>0</v>
      </c>
    </row>
    <row r="51" spans="1:56" x14ac:dyDescent="0.15">
      <c r="A51" s="2" t="s">
        <v>27</v>
      </c>
      <c r="C51" s="21"/>
      <c r="D51" s="128"/>
      <c r="E51" s="54"/>
      <c r="F51" s="64"/>
      <c r="G51" s="69"/>
      <c r="I51" s="21"/>
      <c r="J51" s="128"/>
      <c r="K51" s="54"/>
      <c r="L51" s="64"/>
      <c r="M51" s="69"/>
      <c r="O51" s="21"/>
      <c r="P51" s="128"/>
      <c r="Q51" s="54"/>
      <c r="R51" s="64"/>
      <c r="S51" s="69"/>
      <c r="U51" s="21"/>
      <c r="V51" s="128"/>
      <c r="W51" s="54"/>
      <c r="X51" s="64"/>
      <c r="Y51" s="69"/>
      <c r="AA51" s="21"/>
      <c r="AB51" s="128"/>
      <c r="AC51" s="54"/>
      <c r="AD51" s="64"/>
      <c r="AE51" s="69"/>
      <c r="AG51" s="21"/>
      <c r="AH51" s="128"/>
      <c r="AI51" s="54"/>
      <c r="AJ51" s="64"/>
      <c r="AK51" s="69"/>
      <c r="AM51" s="21"/>
      <c r="AN51" s="128"/>
      <c r="AO51" s="54"/>
      <c r="AP51" s="64"/>
      <c r="AQ51" s="69"/>
      <c r="AS51" s="21"/>
      <c r="AT51" s="128"/>
      <c r="AU51" s="54"/>
      <c r="AV51" s="64"/>
      <c r="AW51" s="69"/>
      <c r="AY51" s="21"/>
      <c r="AZ51" s="128"/>
      <c r="BA51" s="54"/>
      <c r="BB51" s="64"/>
      <c r="BC51" s="69"/>
      <c r="BD51">
        <f t="shared" si="2"/>
        <v>0</v>
      </c>
    </row>
    <row r="52" spans="1:56" x14ac:dyDescent="0.15">
      <c r="A52" s="2" t="s">
        <v>229</v>
      </c>
      <c r="C52" s="21"/>
      <c r="D52" s="128"/>
      <c r="E52" s="54"/>
      <c r="F52" s="64"/>
      <c r="G52" s="69"/>
      <c r="I52" s="21"/>
      <c r="J52" s="128"/>
      <c r="K52" s="54"/>
      <c r="L52" s="64"/>
      <c r="M52" s="69"/>
      <c r="O52" s="21"/>
      <c r="P52" s="128"/>
      <c r="Q52" s="54"/>
      <c r="R52" s="64"/>
      <c r="S52" s="69"/>
      <c r="U52" s="21"/>
      <c r="V52" s="128"/>
      <c r="W52" s="54"/>
      <c r="X52" s="64"/>
      <c r="Y52" s="69"/>
      <c r="AA52" s="21"/>
      <c r="AB52" s="128"/>
      <c r="AC52" s="54"/>
      <c r="AD52" s="64"/>
      <c r="AE52" s="69"/>
      <c r="AG52" s="21"/>
      <c r="AH52" s="128"/>
      <c r="AI52" s="54"/>
      <c r="AJ52" s="64"/>
      <c r="AK52" s="69"/>
      <c r="AM52" s="21"/>
      <c r="AN52" s="128"/>
      <c r="AO52" s="54"/>
      <c r="AP52" s="64"/>
      <c r="AQ52" s="69"/>
      <c r="AS52" s="21"/>
      <c r="AT52" s="128"/>
      <c r="AU52" s="54"/>
      <c r="AV52" s="64"/>
      <c r="AW52" s="69"/>
      <c r="AY52" s="21"/>
      <c r="AZ52" s="128"/>
      <c r="BA52" s="54"/>
      <c r="BB52" s="64"/>
      <c r="BC52" s="69"/>
      <c r="BD52">
        <f t="shared" si="2"/>
        <v>0</v>
      </c>
    </row>
    <row r="53" spans="1:56" x14ac:dyDescent="0.15">
      <c r="A53" s="2" t="s">
        <v>36</v>
      </c>
      <c r="C53" s="21"/>
      <c r="D53" s="128"/>
      <c r="E53" s="54"/>
      <c r="F53" s="64"/>
      <c r="G53" s="69"/>
      <c r="I53" s="21"/>
      <c r="J53" s="128"/>
      <c r="K53" s="54"/>
      <c r="L53" s="64"/>
      <c r="M53" s="69"/>
      <c r="O53" s="21"/>
      <c r="P53" s="128">
        <v>1</v>
      </c>
      <c r="Q53" s="54">
        <v>1</v>
      </c>
      <c r="R53" s="64"/>
      <c r="S53" s="69"/>
      <c r="U53" s="21"/>
      <c r="V53" s="128"/>
      <c r="W53" s="54"/>
      <c r="X53" s="64"/>
      <c r="Y53" s="69"/>
      <c r="AA53" s="21"/>
      <c r="AB53" s="128"/>
      <c r="AC53" s="54"/>
      <c r="AD53" s="64"/>
      <c r="AE53" s="69"/>
      <c r="AG53" s="21"/>
      <c r="AH53" s="128"/>
      <c r="AI53" s="54"/>
      <c r="AJ53" s="64"/>
      <c r="AK53" s="69"/>
      <c r="AM53" s="21"/>
      <c r="AN53" s="128"/>
      <c r="AO53" s="54"/>
      <c r="AP53" s="64"/>
      <c r="AQ53" s="69"/>
      <c r="AS53" s="21"/>
      <c r="AT53" s="128"/>
      <c r="AU53" s="54"/>
      <c r="AV53" s="64"/>
      <c r="AW53" s="69"/>
      <c r="AY53" s="21"/>
      <c r="AZ53" s="128"/>
      <c r="BA53" s="54"/>
      <c r="BB53" s="64"/>
      <c r="BC53" s="69"/>
      <c r="BD53">
        <f t="shared" si="2"/>
        <v>2</v>
      </c>
    </row>
    <row r="54" spans="1:56" x14ac:dyDescent="0.15">
      <c r="A54" s="2" t="s">
        <v>50</v>
      </c>
      <c r="C54" s="21"/>
      <c r="D54" s="128"/>
      <c r="E54" s="54"/>
      <c r="F54" s="64"/>
      <c r="G54" s="69"/>
      <c r="I54" s="21"/>
      <c r="J54" s="128"/>
      <c r="K54" s="54"/>
      <c r="L54" s="64"/>
      <c r="M54" s="69"/>
      <c r="O54" s="21"/>
      <c r="P54" s="128"/>
      <c r="Q54" s="54"/>
      <c r="R54" s="64"/>
      <c r="S54" s="69"/>
      <c r="U54" s="21"/>
      <c r="V54" s="128"/>
      <c r="W54" s="54"/>
      <c r="X54" s="64"/>
      <c r="Y54" s="69"/>
      <c r="AA54" s="21"/>
      <c r="AB54" s="128"/>
      <c r="AC54" s="54"/>
      <c r="AD54" s="64"/>
      <c r="AE54" s="69"/>
      <c r="AG54" s="21"/>
      <c r="AH54" s="128"/>
      <c r="AI54" s="54"/>
      <c r="AJ54" s="64"/>
      <c r="AK54" s="69"/>
      <c r="AM54" s="21"/>
      <c r="AN54" s="128"/>
      <c r="AO54" s="54"/>
      <c r="AP54" s="64"/>
      <c r="AQ54" s="69"/>
      <c r="AS54" s="21"/>
      <c r="AT54" s="128"/>
      <c r="AU54" s="54"/>
      <c r="AV54" s="64"/>
      <c r="AW54" s="69"/>
      <c r="AY54" s="21"/>
      <c r="AZ54" s="128"/>
      <c r="BA54" s="54"/>
      <c r="BB54" s="64"/>
      <c r="BC54" s="69"/>
      <c r="BD54">
        <f t="shared" si="2"/>
        <v>0</v>
      </c>
    </row>
    <row r="55" spans="1:56" x14ac:dyDescent="0.15">
      <c r="A55" s="2" t="s">
        <v>231</v>
      </c>
      <c r="C55" s="21"/>
      <c r="D55" s="128"/>
      <c r="E55" s="54"/>
      <c r="F55" s="64"/>
      <c r="G55" s="69"/>
      <c r="I55" s="21"/>
      <c r="J55" s="128"/>
      <c r="K55" s="54"/>
      <c r="L55" s="64"/>
      <c r="M55" s="69"/>
      <c r="O55" s="21"/>
      <c r="P55" s="128"/>
      <c r="Q55" s="54"/>
      <c r="R55" s="64"/>
      <c r="S55" s="69"/>
      <c r="U55" s="21"/>
      <c r="V55" s="128"/>
      <c r="W55" s="54"/>
      <c r="X55" s="64"/>
      <c r="Y55" s="69"/>
      <c r="AA55" s="21"/>
      <c r="AB55" s="128"/>
      <c r="AC55" s="54"/>
      <c r="AD55" s="64"/>
      <c r="AE55" s="69"/>
      <c r="AG55" s="21"/>
      <c r="AH55" s="128"/>
      <c r="AI55" s="54"/>
      <c r="AJ55" s="64"/>
      <c r="AK55" s="69"/>
      <c r="AM55" s="21"/>
      <c r="AN55" s="128"/>
      <c r="AO55" s="54"/>
      <c r="AP55" s="64"/>
      <c r="AQ55" s="69"/>
      <c r="AS55" s="21"/>
      <c r="AT55" s="128"/>
      <c r="AU55" s="54"/>
      <c r="AV55" s="64"/>
      <c r="AW55" s="69"/>
      <c r="AY55" s="21"/>
      <c r="AZ55" s="128"/>
      <c r="BA55" s="54"/>
      <c r="BB55" s="64"/>
      <c r="BC55" s="69"/>
      <c r="BD55">
        <f t="shared" si="2"/>
        <v>0</v>
      </c>
    </row>
    <row r="56" spans="1:56" x14ac:dyDescent="0.15">
      <c r="A56" s="2" t="s">
        <v>190</v>
      </c>
      <c r="C56" s="21"/>
      <c r="D56" s="128"/>
      <c r="E56" s="54"/>
      <c r="F56" s="64"/>
      <c r="G56" s="69"/>
      <c r="I56" s="21"/>
      <c r="J56" s="128"/>
      <c r="K56" s="54"/>
      <c r="L56" s="64"/>
      <c r="M56" s="69"/>
      <c r="O56" s="21"/>
      <c r="P56" s="128"/>
      <c r="Q56" s="54"/>
      <c r="R56" s="64"/>
      <c r="S56" s="69"/>
      <c r="U56" s="21"/>
      <c r="V56" s="128"/>
      <c r="W56" s="54"/>
      <c r="X56" s="64"/>
      <c r="Y56" s="69"/>
      <c r="AA56" s="21"/>
      <c r="AB56" s="128"/>
      <c r="AC56" s="54"/>
      <c r="AD56" s="64"/>
      <c r="AE56" s="69"/>
      <c r="AG56" s="21"/>
      <c r="AH56" s="128"/>
      <c r="AI56" s="54"/>
      <c r="AJ56" s="64"/>
      <c r="AK56" s="69"/>
      <c r="AM56" s="21"/>
      <c r="AN56" s="128"/>
      <c r="AO56" s="54"/>
      <c r="AP56" s="64"/>
      <c r="AQ56" s="69"/>
      <c r="AS56" s="21"/>
      <c r="AT56" s="128"/>
      <c r="AU56" s="54"/>
      <c r="AV56" s="64"/>
      <c r="AW56" s="69"/>
      <c r="AY56" s="21"/>
      <c r="AZ56" s="128"/>
      <c r="BA56" s="54"/>
      <c r="BB56" s="64"/>
      <c r="BC56" s="69"/>
      <c r="BD56">
        <f t="shared" si="2"/>
        <v>0</v>
      </c>
    </row>
    <row r="57" spans="1:56" x14ac:dyDescent="0.15">
      <c r="A57" s="2" t="s">
        <v>58</v>
      </c>
      <c r="C57" s="21"/>
      <c r="D57" s="128"/>
      <c r="E57" s="54"/>
      <c r="F57" s="64"/>
      <c r="G57" s="69"/>
      <c r="I57" s="21"/>
      <c r="J57" s="128"/>
      <c r="K57" s="54"/>
      <c r="L57" s="64"/>
      <c r="M57" s="69"/>
      <c r="O57" s="21"/>
      <c r="P57" s="128"/>
      <c r="Q57" s="54"/>
      <c r="R57" s="64"/>
      <c r="S57" s="69"/>
      <c r="U57" s="21"/>
      <c r="V57" s="128"/>
      <c r="W57" s="54"/>
      <c r="X57" s="64"/>
      <c r="Y57" s="69"/>
      <c r="AA57" s="21"/>
      <c r="AB57" s="128"/>
      <c r="AC57" s="54"/>
      <c r="AD57" s="64"/>
      <c r="AE57" s="69"/>
      <c r="AG57" s="21"/>
      <c r="AH57" s="128"/>
      <c r="AI57" s="54"/>
      <c r="AJ57" s="64"/>
      <c r="AK57" s="69"/>
      <c r="AM57" s="21"/>
      <c r="AN57" s="128"/>
      <c r="AO57" s="54"/>
      <c r="AP57" s="64"/>
      <c r="AQ57" s="69"/>
      <c r="AS57" s="21"/>
      <c r="AT57" s="128"/>
      <c r="AU57" s="54"/>
      <c r="AV57" s="64"/>
      <c r="AW57" s="69"/>
      <c r="AY57" s="21"/>
      <c r="AZ57" s="128"/>
      <c r="BA57" s="54"/>
      <c r="BB57" s="64"/>
      <c r="BC57" s="69"/>
      <c r="BD57">
        <f t="shared" si="2"/>
        <v>0</v>
      </c>
    </row>
    <row r="58" spans="1:56" x14ac:dyDescent="0.15">
      <c r="A58" s="2" t="s">
        <v>57</v>
      </c>
      <c r="C58" s="21"/>
      <c r="D58" s="128"/>
      <c r="E58" s="54"/>
      <c r="F58" s="64"/>
      <c r="G58" s="69"/>
      <c r="I58" s="21"/>
      <c r="J58" s="128"/>
      <c r="K58" s="54"/>
      <c r="L58" s="64"/>
      <c r="M58" s="69"/>
      <c r="O58" s="21"/>
      <c r="P58" s="128"/>
      <c r="Q58" s="54"/>
      <c r="R58" s="64"/>
      <c r="S58" s="69"/>
      <c r="U58" s="21"/>
      <c r="V58" s="128"/>
      <c r="W58" s="54"/>
      <c r="X58" s="64"/>
      <c r="Y58" s="69"/>
      <c r="AA58" s="21"/>
      <c r="AB58" s="128"/>
      <c r="AC58" s="54"/>
      <c r="AD58" s="64"/>
      <c r="AE58" s="69"/>
      <c r="AG58" s="21"/>
      <c r="AH58" s="128"/>
      <c r="AI58" s="54"/>
      <c r="AJ58" s="64"/>
      <c r="AK58" s="69"/>
      <c r="AM58" s="21"/>
      <c r="AN58" s="128"/>
      <c r="AO58" s="54"/>
      <c r="AP58" s="64"/>
      <c r="AQ58" s="69"/>
      <c r="AS58" s="21"/>
      <c r="AT58" s="128"/>
      <c r="AU58" s="54"/>
      <c r="AV58" s="64"/>
      <c r="AW58" s="69"/>
      <c r="AY58" s="21"/>
      <c r="AZ58" s="128"/>
      <c r="BA58" s="54"/>
      <c r="BB58" s="64"/>
      <c r="BC58" s="69"/>
      <c r="BD58">
        <f t="shared" si="2"/>
        <v>0</v>
      </c>
    </row>
    <row r="59" spans="1:56" x14ac:dyDescent="0.15">
      <c r="A59" s="2" t="s">
        <v>28</v>
      </c>
      <c r="C59" s="21"/>
      <c r="D59" s="128"/>
      <c r="E59" s="54"/>
      <c r="F59" s="64"/>
      <c r="G59" s="69"/>
      <c r="I59" s="21"/>
      <c r="J59" s="128"/>
      <c r="K59" s="54"/>
      <c r="L59" s="64"/>
      <c r="M59" s="69"/>
      <c r="O59" s="21"/>
      <c r="P59" s="128"/>
      <c r="Q59" s="54"/>
      <c r="R59" s="64"/>
      <c r="S59" s="69"/>
      <c r="U59" s="21"/>
      <c r="V59" s="128"/>
      <c r="W59" s="54"/>
      <c r="X59" s="64"/>
      <c r="Y59" s="69"/>
      <c r="AA59" s="21"/>
      <c r="AB59" s="128"/>
      <c r="AC59" s="54"/>
      <c r="AD59" s="64"/>
      <c r="AE59" s="69"/>
      <c r="AG59" s="21"/>
      <c r="AH59" s="128"/>
      <c r="AI59" s="54"/>
      <c r="AJ59" s="64"/>
      <c r="AK59" s="69"/>
      <c r="AM59" s="21"/>
      <c r="AN59" s="128"/>
      <c r="AO59" s="54"/>
      <c r="AP59" s="64"/>
      <c r="AQ59" s="69"/>
      <c r="AS59" s="21"/>
      <c r="AT59" s="128"/>
      <c r="AU59" s="54"/>
      <c r="AV59" s="64"/>
      <c r="AW59" s="69"/>
      <c r="AY59" s="21"/>
      <c r="AZ59" s="128"/>
      <c r="BA59" s="54"/>
      <c r="BB59" s="64"/>
      <c r="BC59" s="69"/>
      <c r="BD59">
        <f t="shared" si="2"/>
        <v>0</v>
      </c>
    </row>
    <row r="60" spans="1:56" x14ac:dyDescent="0.15">
      <c r="A60" s="2" t="s">
        <v>194</v>
      </c>
      <c r="C60" s="21"/>
      <c r="D60" s="128"/>
      <c r="E60" s="54"/>
      <c r="F60" s="64"/>
      <c r="G60" s="69"/>
      <c r="I60" s="21"/>
      <c r="J60" s="128"/>
      <c r="K60" s="54"/>
      <c r="L60" s="64"/>
      <c r="M60" s="69"/>
      <c r="O60" s="21"/>
      <c r="P60" s="128"/>
      <c r="Q60" s="54"/>
      <c r="R60" s="64"/>
      <c r="S60" s="69"/>
      <c r="U60" s="21"/>
      <c r="V60" s="128"/>
      <c r="W60" s="54"/>
      <c r="X60" s="64"/>
      <c r="Y60" s="69"/>
      <c r="AA60" s="21"/>
      <c r="AB60" s="128"/>
      <c r="AC60" s="54"/>
      <c r="AD60" s="64"/>
      <c r="AE60" s="69"/>
      <c r="AG60" s="21"/>
      <c r="AH60" s="128"/>
      <c r="AI60" s="54"/>
      <c r="AJ60" s="64"/>
      <c r="AK60" s="69"/>
      <c r="AM60" s="21"/>
      <c r="AN60" s="128"/>
      <c r="AO60" s="54"/>
      <c r="AP60" s="64"/>
      <c r="AQ60" s="69"/>
      <c r="AS60" s="21"/>
      <c r="AT60" s="128"/>
      <c r="AU60" s="54"/>
      <c r="AV60" s="64"/>
      <c r="AW60" s="69"/>
      <c r="AY60" s="21"/>
      <c r="AZ60" s="128"/>
      <c r="BA60" s="54"/>
      <c r="BB60" s="64"/>
      <c r="BC60" s="69"/>
      <c r="BD60">
        <f t="shared" si="2"/>
        <v>0</v>
      </c>
    </row>
    <row r="61" spans="1:56" x14ac:dyDescent="0.15">
      <c r="A61" s="2" t="s">
        <v>10</v>
      </c>
      <c r="C61" s="21"/>
      <c r="D61" s="128"/>
      <c r="E61" s="54"/>
      <c r="F61" s="64"/>
      <c r="G61" s="69"/>
      <c r="I61" s="21"/>
      <c r="J61" s="128"/>
      <c r="K61" s="54"/>
      <c r="L61" s="64"/>
      <c r="M61" s="69"/>
      <c r="O61" s="21"/>
      <c r="P61" s="128"/>
      <c r="Q61" s="54"/>
      <c r="R61" s="64"/>
      <c r="S61" s="69"/>
      <c r="U61" s="21"/>
      <c r="V61" s="128"/>
      <c r="W61" s="54"/>
      <c r="X61" s="64"/>
      <c r="Y61" s="69"/>
      <c r="AA61" s="21"/>
      <c r="AB61" s="128"/>
      <c r="AC61" s="54"/>
      <c r="AD61" s="64"/>
      <c r="AE61" s="69"/>
      <c r="AG61" s="21"/>
      <c r="AH61" s="128"/>
      <c r="AI61" s="54"/>
      <c r="AJ61" s="64"/>
      <c r="AK61" s="69"/>
      <c r="AM61" s="21"/>
      <c r="AN61" s="128"/>
      <c r="AO61" s="54"/>
      <c r="AP61" s="64"/>
      <c r="AQ61" s="69"/>
      <c r="AS61" s="21"/>
      <c r="AT61" s="128"/>
      <c r="AU61" s="54"/>
      <c r="AV61" s="64"/>
      <c r="AW61" s="69"/>
      <c r="AY61" s="21"/>
      <c r="AZ61" s="128"/>
      <c r="BA61" s="54"/>
      <c r="BB61" s="64"/>
      <c r="BC61" s="69"/>
      <c r="BD61">
        <f t="shared" si="2"/>
        <v>0</v>
      </c>
    </row>
    <row r="62" spans="1:56" x14ac:dyDescent="0.15">
      <c r="A62" s="5" t="s">
        <v>174</v>
      </c>
      <c r="C62" s="120"/>
      <c r="D62" s="119"/>
      <c r="E62" s="121"/>
      <c r="F62" s="122"/>
      <c r="G62" s="150"/>
      <c r="H62" s="123"/>
      <c r="I62" s="115"/>
      <c r="J62" s="111"/>
      <c r="K62" s="112"/>
      <c r="L62" s="113"/>
      <c r="M62" s="145"/>
      <c r="N62" s="114"/>
      <c r="O62" s="115"/>
      <c r="P62" s="111"/>
      <c r="Q62" s="112"/>
      <c r="R62" s="113"/>
      <c r="S62" s="145"/>
      <c r="T62" s="114"/>
      <c r="U62" s="115"/>
      <c r="V62" s="111"/>
      <c r="W62" s="112"/>
      <c r="X62" s="113"/>
      <c r="Y62" s="145"/>
      <c r="Z62" s="114"/>
      <c r="AA62" s="115"/>
      <c r="AB62" s="111"/>
      <c r="AC62" s="112"/>
      <c r="AD62" s="113"/>
      <c r="AE62" s="145"/>
      <c r="AF62" s="114"/>
      <c r="AG62" s="115"/>
      <c r="AH62" s="111"/>
      <c r="AI62" s="112"/>
      <c r="AJ62" s="113"/>
      <c r="AK62" s="145"/>
      <c r="AL62" s="114"/>
      <c r="AM62" s="115"/>
      <c r="AN62" s="111"/>
      <c r="AO62" s="112"/>
      <c r="AP62" s="113"/>
      <c r="AQ62" s="145"/>
      <c r="AR62" s="114"/>
      <c r="AS62" s="115"/>
      <c r="AT62" s="111"/>
      <c r="AU62" s="112"/>
      <c r="AV62" s="113"/>
      <c r="AW62" s="145"/>
      <c r="AX62" s="114"/>
      <c r="AY62" s="115"/>
      <c r="AZ62" s="111"/>
      <c r="BA62" s="112"/>
      <c r="BB62" s="113"/>
      <c r="BC62" s="145"/>
      <c r="BD62">
        <f t="shared" si="2"/>
        <v>0</v>
      </c>
    </row>
    <row r="63" spans="1:56" x14ac:dyDescent="0.15">
      <c r="A63" s="2" t="s">
        <v>22</v>
      </c>
      <c r="C63" s="21">
        <v>1</v>
      </c>
      <c r="D63" s="128"/>
      <c r="E63" s="54"/>
      <c r="F63" s="64"/>
      <c r="G63" s="69"/>
      <c r="I63" s="21"/>
      <c r="J63" s="128"/>
      <c r="K63" s="54"/>
      <c r="L63" s="64"/>
      <c r="M63" s="69"/>
      <c r="O63" s="21"/>
      <c r="P63" s="128"/>
      <c r="Q63" s="54"/>
      <c r="R63" s="64"/>
      <c r="S63" s="69"/>
      <c r="U63" s="21"/>
      <c r="V63" s="128"/>
      <c r="W63" s="54"/>
      <c r="X63" s="64"/>
      <c r="Y63" s="69"/>
      <c r="AA63" s="21"/>
      <c r="AB63" s="128"/>
      <c r="AC63" s="54"/>
      <c r="AD63" s="64"/>
      <c r="AE63" s="69"/>
      <c r="AG63" s="21"/>
      <c r="AH63" s="128"/>
      <c r="AI63" s="54"/>
      <c r="AJ63" s="64"/>
      <c r="AK63" s="69"/>
      <c r="AM63" s="21"/>
      <c r="AN63" s="128"/>
      <c r="AO63" s="54"/>
      <c r="AP63" s="64"/>
      <c r="AQ63" s="69"/>
      <c r="AS63" s="21"/>
      <c r="AT63" s="128"/>
      <c r="AU63" s="54"/>
      <c r="AV63" s="64"/>
      <c r="AW63" s="69"/>
      <c r="AY63" s="21"/>
      <c r="AZ63" s="128"/>
      <c r="BA63" s="54"/>
      <c r="BB63" s="64"/>
      <c r="BC63" s="69"/>
      <c r="BD63">
        <f t="shared" si="2"/>
        <v>1</v>
      </c>
    </row>
    <row r="64" spans="1:56" x14ac:dyDescent="0.15">
      <c r="A64" s="5" t="s">
        <v>132</v>
      </c>
      <c r="C64" s="21"/>
      <c r="D64" s="128"/>
      <c r="E64" s="54"/>
      <c r="F64" s="64"/>
      <c r="G64" s="69"/>
      <c r="I64" s="21"/>
      <c r="J64" s="128"/>
      <c r="K64" s="54"/>
      <c r="L64" s="64"/>
      <c r="M64" s="69"/>
      <c r="O64" s="21"/>
      <c r="P64" s="128"/>
      <c r="Q64" s="54"/>
      <c r="R64" s="64"/>
      <c r="S64" s="69"/>
      <c r="U64" s="21"/>
      <c r="V64" s="128"/>
      <c r="W64" s="54"/>
      <c r="X64" s="64"/>
      <c r="Y64" s="69"/>
      <c r="AA64" s="21"/>
      <c r="AB64" s="128"/>
      <c r="AC64" s="54"/>
      <c r="AD64" s="64"/>
      <c r="AE64" s="69"/>
      <c r="AG64" s="21"/>
      <c r="AH64" s="128"/>
      <c r="AI64" s="54"/>
      <c r="AJ64" s="64"/>
      <c r="AK64" s="69"/>
      <c r="AM64" s="21"/>
      <c r="AN64" s="128"/>
      <c r="AO64" s="54"/>
      <c r="AP64" s="64"/>
      <c r="AQ64" s="69"/>
      <c r="AS64" s="21"/>
      <c r="AT64" s="128"/>
      <c r="AU64" s="54"/>
      <c r="AV64" s="64"/>
      <c r="AW64" s="69"/>
      <c r="AY64" s="21"/>
      <c r="AZ64" s="128"/>
      <c r="BA64" s="54"/>
      <c r="BB64" s="64"/>
      <c r="BC64" s="69"/>
      <c r="BD64">
        <f t="shared" si="2"/>
        <v>0</v>
      </c>
    </row>
    <row r="65" spans="1:56" x14ac:dyDescent="0.15">
      <c r="A65" s="5" t="s">
        <v>191</v>
      </c>
      <c r="C65" s="21"/>
      <c r="D65" s="128"/>
      <c r="E65" s="54"/>
      <c r="F65" s="64"/>
      <c r="G65" s="69"/>
      <c r="I65" s="21"/>
      <c r="J65" s="128"/>
      <c r="K65" s="54"/>
      <c r="L65" s="64"/>
      <c r="M65" s="69"/>
      <c r="O65" s="21"/>
      <c r="P65" s="128"/>
      <c r="Q65" s="54"/>
      <c r="R65" s="64"/>
      <c r="S65" s="69"/>
      <c r="U65" s="21"/>
      <c r="V65" s="128"/>
      <c r="W65" s="54"/>
      <c r="X65" s="64"/>
      <c r="Y65" s="69"/>
      <c r="AA65" s="21"/>
      <c r="AB65" s="128"/>
      <c r="AC65" s="54"/>
      <c r="AD65" s="64"/>
      <c r="AE65" s="69"/>
      <c r="AG65" s="21"/>
      <c r="AH65" s="128"/>
      <c r="AI65" s="54"/>
      <c r="AJ65" s="64"/>
      <c r="AK65" s="69"/>
      <c r="AM65" s="21"/>
      <c r="AN65" s="128"/>
      <c r="AO65" s="54"/>
      <c r="AP65" s="64"/>
      <c r="AQ65" s="69"/>
      <c r="AS65" s="21"/>
      <c r="AT65" s="128"/>
      <c r="AU65" s="54"/>
      <c r="AV65" s="64"/>
      <c r="AW65" s="69"/>
      <c r="AY65" s="21"/>
      <c r="AZ65" s="128"/>
      <c r="BA65" s="54"/>
      <c r="BB65" s="64"/>
      <c r="BC65" s="69"/>
      <c r="BD65">
        <f t="shared" si="2"/>
        <v>0</v>
      </c>
    </row>
    <row r="66" spans="1:56" x14ac:dyDescent="0.15">
      <c r="A66" s="5" t="s">
        <v>218</v>
      </c>
      <c r="C66" s="21"/>
      <c r="D66" s="128"/>
      <c r="E66" s="54"/>
      <c r="F66" s="64"/>
      <c r="G66" s="69"/>
      <c r="I66" s="21"/>
      <c r="J66" s="128"/>
      <c r="K66" s="54"/>
      <c r="L66" s="64"/>
      <c r="M66" s="69"/>
      <c r="O66" s="21"/>
      <c r="P66" s="128"/>
      <c r="Q66" s="54"/>
      <c r="R66" s="64"/>
      <c r="S66" s="69"/>
      <c r="U66" s="21"/>
      <c r="V66" s="128"/>
      <c r="W66" s="54"/>
      <c r="X66" s="64"/>
      <c r="Y66" s="69"/>
      <c r="AA66" s="21"/>
      <c r="AB66" s="128"/>
      <c r="AC66" s="54"/>
      <c r="AD66" s="64"/>
      <c r="AE66" s="69"/>
      <c r="AG66" s="21"/>
      <c r="AH66" s="128"/>
      <c r="AI66" s="54"/>
      <c r="AJ66" s="64"/>
      <c r="AK66" s="69"/>
      <c r="AM66" s="21"/>
      <c r="AN66" s="128"/>
      <c r="AO66" s="54"/>
      <c r="AP66" s="64"/>
      <c r="AQ66" s="69"/>
      <c r="AS66" s="21"/>
      <c r="AT66" s="128"/>
      <c r="AU66" s="54"/>
      <c r="AV66" s="64"/>
      <c r="AW66" s="69"/>
      <c r="AY66" s="21"/>
      <c r="AZ66" s="128"/>
      <c r="BA66" s="54"/>
      <c r="BB66" s="64"/>
      <c r="BC66" s="69">
        <v>1</v>
      </c>
      <c r="BD66">
        <f t="shared" si="2"/>
        <v>1</v>
      </c>
    </row>
    <row r="67" spans="1:56" x14ac:dyDescent="0.15">
      <c r="A67" s="5" t="s">
        <v>203</v>
      </c>
      <c r="C67" s="21"/>
      <c r="D67" s="128">
        <v>1</v>
      </c>
      <c r="E67" s="54">
        <v>1</v>
      </c>
      <c r="F67" s="64">
        <v>1</v>
      </c>
      <c r="G67" s="69"/>
      <c r="I67" s="21"/>
      <c r="J67" s="128"/>
      <c r="K67" s="54"/>
      <c r="L67" s="64"/>
      <c r="M67" s="69">
        <v>1</v>
      </c>
      <c r="O67" s="21"/>
      <c r="P67" s="128">
        <v>1</v>
      </c>
      <c r="Q67" s="54"/>
      <c r="R67" s="64"/>
      <c r="S67" s="69"/>
      <c r="U67" s="21"/>
      <c r="V67" s="128"/>
      <c r="W67" s="54"/>
      <c r="X67" s="64"/>
      <c r="Y67" s="69"/>
      <c r="AA67" s="21"/>
      <c r="AB67" s="128"/>
      <c r="AC67" s="54"/>
      <c r="AD67" s="64"/>
      <c r="AE67" s="69"/>
      <c r="AG67" s="21"/>
      <c r="AH67" s="128"/>
      <c r="AI67" s="54"/>
      <c r="AJ67" s="64"/>
      <c r="AK67" s="69"/>
      <c r="AM67" s="21"/>
      <c r="AN67" s="128"/>
      <c r="AO67" s="54"/>
      <c r="AP67" s="64"/>
      <c r="AQ67" s="69"/>
      <c r="AS67" s="21"/>
      <c r="AT67" s="128"/>
      <c r="AU67" s="54"/>
      <c r="AV67" s="64"/>
      <c r="AW67" s="69"/>
      <c r="AY67" s="21"/>
      <c r="AZ67" s="128"/>
      <c r="BA67" s="54"/>
      <c r="BB67" s="64"/>
      <c r="BC67" s="69"/>
      <c r="BD67">
        <f t="shared" si="2"/>
        <v>5</v>
      </c>
    </row>
    <row r="68" spans="1:56" x14ac:dyDescent="0.15">
      <c r="A68" s="2" t="s">
        <v>23</v>
      </c>
      <c r="C68" s="21"/>
      <c r="D68" s="128"/>
      <c r="E68" s="54"/>
      <c r="F68" s="64"/>
      <c r="G68" s="69"/>
      <c r="I68" s="21"/>
      <c r="J68" s="128"/>
      <c r="K68" s="54"/>
      <c r="L68" s="64"/>
      <c r="M68" s="69"/>
      <c r="O68" s="21"/>
      <c r="P68" s="128"/>
      <c r="Q68" s="54"/>
      <c r="R68" s="64"/>
      <c r="S68" s="69"/>
      <c r="U68" s="21"/>
      <c r="V68" s="128"/>
      <c r="W68" s="54"/>
      <c r="X68" s="64"/>
      <c r="Y68" s="69"/>
      <c r="AA68" s="21"/>
      <c r="AB68" s="128"/>
      <c r="AC68" s="54"/>
      <c r="AD68" s="64"/>
      <c r="AE68" s="69"/>
      <c r="AG68" s="21"/>
      <c r="AH68" s="128"/>
      <c r="AI68" s="54"/>
      <c r="AJ68" s="64"/>
      <c r="AK68" s="69"/>
      <c r="AM68" s="21"/>
      <c r="AN68" s="128"/>
      <c r="AO68" s="54"/>
      <c r="AP68" s="64"/>
      <c r="AQ68" s="69"/>
      <c r="AS68" s="21"/>
      <c r="AT68" s="128"/>
      <c r="AU68" s="54"/>
      <c r="AV68" s="64"/>
      <c r="AW68" s="69"/>
      <c r="AY68" s="21"/>
      <c r="AZ68" s="128"/>
      <c r="BA68" s="54"/>
      <c r="BB68" s="64"/>
      <c r="BC68" s="69"/>
      <c r="BD68">
        <f t="shared" si="2"/>
        <v>0</v>
      </c>
    </row>
    <row r="69" spans="1:56" x14ac:dyDescent="0.15">
      <c r="A69" s="2" t="s">
        <v>208</v>
      </c>
      <c r="C69" s="21"/>
      <c r="D69" s="128"/>
      <c r="E69" s="54"/>
      <c r="F69" s="64"/>
      <c r="G69" s="69"/>
      <c r="I69" s="21"/>
      <c r="J69" s="128"/>
      <c r="K69" s="54"/>
      <c r="L69" s="64"/>
      <c r="M69" s="69"/>
      <c r="O69" s="21"/>
      <c r="P69" s="128"/>
      <c r="Q69" s="54"/>
      <c r="R69" s="64"/>
      <c r="S69" s="69"/>
      <c r="U69" s="21"/>
      <c r="V69" s="128"/>
      <c r="W69" s="54"/>
      <c r="X69" s="64"/>
      <c r="Y69" s="69"/>
      <c r="AA69" s="21"/>
      <c r="AB69" s="128"/>
      <c r="AC69" s="54"/>
      <c r="AD69" s="64"/>
      <c r="AE69" s="69"/>
      <c r="AG69" s="21"/>
      <c r="AH69" s="128"/>
      <c r="AI69" s="54"/>
      <c r="AJ69" s="64"/>
      <c r="AK69" s="69"/>
      <c r="AM69" s="21"/>
      <c r="AN69" s="128"/>
      <c r="AO69" s="54"/>
      <c r="AP69" s="64"/>
      <c r="AQ69" s="69"/>
      <c r="AS69" s="21"/>
      <c r="AT69" s="128"/>
      <c r="AU69" s="54"/>
      <c r="AV69" s="64"/>
      <c r="AW69" s="69"/>
      <c r="AY69" s="21"/>
      <c r="AZ69" s="128"/>
      <c r="BA69" s="54"/>
      <c r="BB69" s="64"/>
      <c r="BC69" s="69">
        <v>1</v>
      </c>
      <c r="BD69">
        <f t="shared" si="2"/>
        <v>1</v>
      </c>
    </row>
    <row r="70" spans="1:56" x14ac:dyDescent="0.15">
      <c r="A70" s="2" t="s">
        <v>41</v>
      </c>
      <c r="B70">
        <v>3</v>
      </c>
      <c r="C70" s="21"/>
      <c r="D70" s="128"/>
      <c r="E70" s="54"/>
      <c r="F70" s="64"/>
      <c r="G70" s="69"/>
      <c r="I70" s="21"/>
      <c r="J70" s="128"/>
      <c r="K70" s="54"/>
      <c r="L70" s="64"/>
      <c r="M70" s="69"/>
      <c r="O70" s="21"/>
      <c r="P70" s="128"/>
      <c r="Q70" s="54"/>
      <c r="R70" s="64"/>
      <c r="S70" s="69"/>
      <c r="U70" s="21"/>
      <c r="V70" s="128"/>
      <c r="W70" s="54"/>
      <c r="X70" s="64"/>
      <c r="Y70" s="69"/>
      <c r="AA70" s="21"/>
      <c r="AB70" s="128"/>
      <c r="AC70" s="54"/>
      <c r="AD70" s="64"/>
      <c r="AE70" s="69"/>
      <c r="AG70" s="21"/>
      <c r="AH70" s="128"/>
      <c r="AI70" s="54"/>
      <c r="AJ70" s="64"/>
      <c r="AK70" s="69"/>
      <c r="AM70" s="21"/>
      <c r="AN70" s="128"/>
      <c r="AO70" s="54"/>
      <c r="AP70" s="64"/>
      <c r="AQ70" s="69"/>
      <c r="AS70" s="21"/>
      <c r="AT70" s="128"/>
      <c r="AU70" s="54"/>
      <c r="AV70" s="64"/>
      <c r="AW70" s="69"/>
      <c r="AY70" s="21"/>
      <c r="AZ70" s="128"/>
      <c r="BA70" s="54"/>
      <c r="BB70" s="64"/>
      <c r="BC70" s="69"/>
      <c r="BD70">
        <f t="shared" si="2"/>
        <v>1</v>
      </c>
    </row>
    <row r="71" spans="1:56" x14ac:dyDescent="0.15">
      <c r="A71" s="5" t="s">
        <v>95</v>
      </c>
      <c r="C71" s="21"/>
      <c r="D71" s="128"/>
      <c r="E71" s="54"/>
      <c r="F71" s="64"/>
      <c r="G71" s="69"/>
      <c r="I71" s="21"/>
      <c r="J71" s="128"/>
      <c r="K71" s="54"/>
      <c r="L71" s="64"/>
      <c r="M71" s="69"/>
      <c r="O71" s="21"/>
      <c r="P71" s="128"/>
      <c r="Q71" s="54"/>
      <c r="R71" s="64"/>
      <c r="S71" s="69"/>
      <c r="U71" s="21"/>
      <c r="V71" s="128"/>
      <c r="W71" s="54"/>
      <c r="X71" s="64"/>
      <c r="Y71" s="69"/>
      <c r="AA71" s="21"/>
      <c r="AB71" s="128"/>
      <c r="AC71" s="54"/>
      <c r="AD71" s="64"/>
      <c r="AE71" s="69"/>
      <c r="AG71" s="21"/>
      <c r="AH71" s="128"/>
      <c r="AI71" s="54"/>
      <c r="AJ71" s="64"/>
      <c r="AK71" s="69"/>
      <c r="AM71" s="21"/>
      <c r="AN71" s="128"/>
      <c r="AO71" s="54"/>
      <c r="AP71" s="64"/>
      <c r="AQ71" s="69"/>
      <c r="AS71" s="21"/>
      <c r="AT71" s="128"/>
      <c r="AU71" s="54"/>
      <c r="AV71" s="64"/>
      <c r="AW71" s="69"/>
      <c r="AY71" s="21"/>
      <c r="AZ71" s="128"/>
      <c r="BA71" s="54"/>
      <c r="BB71" s="64"/>
      <c r="BC71" s="69"/>
      <c r="BD71">
        <f t="shared" ref="BD71:BD84" si="3">COUNTA(B71:BC71)</f>
        <v>0</v>
      </c>
    </row>
    <row r="72" spans="1:56" x14ac:dyDescent="0.15">
      <c r="A72" s="5" t="s">
        <v>111</v>
      </c>
      <c r="C72" s="21"/>
      <c r="D72" s="128"/>
      <c r="E72" s="54"/>
      <c r="F72" s="64"/>
      <c r="G72" s="69"/>
      <c r="I72" s="21"/>
      <c r="J72" s="128"/>
      <c r="K72" s="54"/>
      <c r="L72" s="64"/>
      <c r="M72" s="69"/>
      <c r="O72" s="21"/>
      <c r="P72" s="128"/>
      <c r="Q72" s="54"/>
      <c r="R72" s="64"/>
      <c r="S72" s="69"/>
      <c r="U72" s="21"/>
      <c r="V72" s="128"/>
      <c r="W72" s="54"/>
      <c r="X72" s="64"/>
      <c r="Y72" s="69"/>
      <c r="AA72" s="21"/>
      <c r="AB72" s="128"/>
      <c r="AC72" s="54"/>
      <c r="AD72" s="64"/>
      <c r="AE72" s="69"/>
      <c r="AG72" s="21"/>
      <c r="AH72" s="128"/>
      <c r="AI72" s="54"/>
      <c r="AJ72" s="64"/>
      <c r="AK72" s="69"/>
      <c r="AM72" s="21"/>
      <c r="AN72" s="128"/>
      <c r="AO72" s="54"/>
      <c r="AP72" s="64"/>
      <c r="AQ72" s="69"/>
      <c r="AS72" s="21"/>
      <c r="AT72" s="128"/>
      <c r="AU72" s="54"/>
      <c r="AV72" s="64"/>
      <c r="AW72" s="69"/>
      <c r="AY72" s="21"/>
      <c r="AZ72" s="128"/>
      <c r="BA72" s="54"/>
      <c r="BB72" s="64"/>
      <c r="BC72" s="69"/>
      <c r="BD72">
        <f t="shared" si="3"/>
        <v>0</v>
      </c>
    </row>
    <row r="73" spans="1:56" x14ac:dyDescent="0.15">
      <c r="A73" s="2" t="s">
        <v>7</v>
      </c>
      <c r="B73">
        <v>2</v>
      </c>
      <c r="C73" s="21">
        <v>2</v>
      </c>
      <c r="D73" s="128">
        <v>2</v>
      </c>
      <c r="E73" s="54">
        <v>2</v>
      </c>
      <c r="F73" s="64">
        <v>2</v>
      </c>
      <c r="G73" s="69">
        <v>2</v>
      </c>
      <c r="H73">
        <v>1</v>
      </c>
      <c r="I73" s="21">
        <v>1</v>
      </c>
      <c r="J73" s="128">
        <v>1</v>
      </c>
      <c r="K73" s="54"/>
      <c r="L73" s="64">
        <v>1</v>
      </c>
      <c r="M73" s="69">
        <v>1</v>
      </c>
      <c r="N73">
        <v>2</v>
      </c>
      <c r="O73" s="21">
        <v>3</v>
      </c>
      <c r="P73" s="128">
        <v>1</v>
      </c>
      <c r="Q73" s="54">
        <v>1</v>
      </c>
      <c r="R73" s="64">
        <v>2</v>
      </c>
      <c r="S73" s="69">
        <v>2</v>
      </c>
      <c r="U73" s="21"/>
      <c r="V73" s="128"/>
      <c r="W73" s="54"/>
      <c r="X73" s="64"/>
      <c r="Y73" s="69"/>
      <c r="AA73" s="21"/>
      <c r="AB73" s="128"/>
      <c r="AC73" s="54"/>
      <c r="AD73" s="64"/>
      <c r="AE73" s="69"/>
      <c r="AG73" s="21"/>
      <c r="AH73" s="128"/>
      <c r="AI73" s="54"/>
      <c r="AJ73" s="64"/>
      <c r="AK73" s="69"/>
      <c r="AM73" s="21"/>
      <c r="AN73" s="128"/>
      <c r="AO73" s="54"/>
      <c r="AP73" s="64"/>
      <c r="AQ73" s="69"/>
      <c r="AS73" s="21"/>
      <c r="AT73" s="128"/>
      <c r="AU73" s="54"/>
      <c r="AV73" s="64"/>
      <c r="AW73" s="69"/>
      <c r="AY73" s="21"/>
      <c r="AZ73" s="128"/>
      <c r="BA73" s="54"/>
      <c r="BB73" s="64"/>
      <c r="BC73" s="69"/>
      <c r="BD73">
        <f t="shared" si="3"/>
        <v>17</v>
      </c>
    </row>
    <row r="74" spans="1:56" x14ac:dyDescent="0.15">
      <c r="A74" s="2" t="s">
        <v>32</v>
      </c>
      <c r="B74">
        <v>1</v>
      </c>
      <c r="C74" s="21"/>
      <c r="D74" s="128"/>
      <c r="E74" s="54"/>
      <c r="F74" s="64"/>
      <c r="G74" s="69"/>
      <c r="I74" s="21"/>
      <c r="J74" s="128"/>
      <c r="K74" s="54"/>
      <c r="L74" s="64"/>
      <c r="M74" s="69"/>
      <c r="O74" s="21"/>
      <c r="P74" s="128"/>
      <c r="Q74" s="54"/>
      <c r="R74" s="64"/>
      <c r="S74" s="69"/>
      <c r="U74" s="21"/>
      <c r="V74" s="128"/>
      <c r="W74" s="54"/>
      <c r="X74" s="64"/>
      <c r="Y74" s="69"/>
      <c r="AA74" s="21"/>
      <c r="AB74" s="128"/>
      <c r="AC74" s="54">
        <v>1</v>
      </c>
      <c r="AD74" s="64"/>
      <c r="AE74" s="69"/>
      <c r="AG74" s="21"/>
      <c r="AH74" s="128"/>
      <c r="AI74" s="54"/>
      <c r="AJ74" s="64"/>
      <c r="AK74" s="69"/>
      <c r="AM74" s="21"/>
      <c r="AN74" s="128"/>
      <c r="AO74" s="54"/>
      <c r="AP74" s="64"/>
      <c r="AQ74" s="69"/>
      <c r="AS74" s="21"/>
      <c r="AT74" s="128"/>
      <c r="AU74" s="54"/>
      <c r="AV74" s="64"/>
      <c r="AW74" s="69"/>
      <c r="AY74" s="21"/>
      <c r="AZ74" s="128"/>
      <c r="BA74" s="54"/>
      <c r="BB74" s="64"/>
      <c r="BC74" s="69"/>
      <c r="BD74">
        <f t="shared" si="3"/>
        <v>2</v>
      </c>
    </row>
    <row r="75" spans="1:56" x14ac:dyDescent="0.15">
      <c r="A75" s="5" t="s">
        <v>72</v>
      </c>
      <c r="C75" s="21"/>
      <c r="D75" s="128"/>
      <c r="E75" s="54"/>
      <c r="F75" s="64"/>
      <c r="G75" s="69"/>
      <c r="I75" s="21"/>
      <c r="J75" s="128"/>
      <c r="K75" s="54"/>
      <c r="L75" s="64"/>
      <c r="M75" s="69"/>
      <c r="O75" s="21"/>
      <c r="P75" s="128"/>
      <c r="Q75" s="54"/>
      <c r="R75" s="64"/>
      <c r="S75" s="69"/>
      <c r="U75" s="21"/>
      <c r="V75" s="128"/>
      <c r="W75" s="54"/>
      <c r="X75" s="64"/>
      <c r="Y75" s="69"/>
      <c r="AA75" s="21"/>
      <c r="AB75" s="128"/>
      <c r="AC75" s="54"/>
      <c r="AD75" s="64"/>
      <c r="AE75" s="69"/>
      <c r="AG75" s="21"/>
      <c r="AH75" s="128"/>
      <c r="AI75" s="54"/>
      <c r="AJ75" s="64"/>
      <c r="AK75" s="69"/>
      <c r="AM75" s="21"/>
      <c r="AN75" s="128"/>
      <c r="AO75" s="54"/>
      <c r="AP75" s="64"/>
      <c r="AQ75" s="69"/>
      <c r="AS75" s="21"/>
      <c r="AT75" s="128"/>
      <c r="AU75" s="54"/>
      <c r="AV75" s="64"/>
      <c r="AW75" s="69"/>
      <c r="AY75" s="21"/>
      <c r="AZ75" s="128"/>
      <c r="BA75" s="54"/>
      <c r="BB75" s="64"/>
      <c r="BC75" s="69"/>
      <c r="BD75">
        <f t="shared" si="3"/>
        <v>0</v>
      </c>
    </row>
    <row r="76" spans="1:56" x14ac:dyDescent="0.15">
      <c r="A76" s="5" t="s">
        <v>61</v>
      </c>
      <c r="C76" s="21"/>
      <c r="D76" s="128"/>
      <c r="E76" s="54"/>
      <c r="F76" s="64"/>
      <c r="G76" s="69"/>
      <c r="I76" s="21"/>
      <c r="J76" s="128"/>
      <c r="K76" s="54"/>
      <c r="L76" s="64"/>
      <c r="M76" s="69"/>
      <c r="O76" s="21"/>
      <c r="P76" s="128"/>
      <c r="Q76" s="54"/>
      <c r="R76" s="64"/>
      <c r="S76" s="69"/>
      <c r="U76" s="21"/>
      <c r="V76" s="128"/>
      <c r="W76" s="54"/>
      <c r="X76" s="64"/>
      <c r="Y76" s="69"/>
      <c r="AA76" s="21"/>
      <c r="AB76" s="128"/>
      <c r="AC76" s="54"/>
      <c r="AD76" s="64"/>
      <c r="AE76" s="69"/>
      <c r="AG76" s="21"/>
      <c r="AH76" s="128"/>
      <c r="AI76" s="54"/>
      <c r="AJ76" s="64"/>
      <c r="AK76" s="69"/>
      <c r="AM76" s="21"/>
      <c r="AN76" s="128"/>
      <c r="AO76" s="54"/>
      <c r="AP76" s="64"/>
      <c r="AQ76" s="69"/>
      <c r="AS76" s="21"/>
      <c r="AT76" s="128"/>
      <c r="AU76" s="54"/>
      <c r="AV76" s="64"/>
      <c r="AW76" s="69"/>
      <c r="AY76" s="21"/>
      <c r="AZ76" s="128"/>
      <c r="BA76" s="54"/>
      <c r="BB76" s="64"/>
      <c r="BC76" s="69"/>
      <c r="BD76">
        <f t="shared" si="3"/>
        <v>0</v>
      </c>
    </row>
    <row r="77" spans="1:56" x14ac:dyDescent="0.15">
      <c r="A77" s="5" t="s">
        <v>42</v>
      </c>
      <c r="C77" s="21">
        <v>2</v>
      </c>
      <c r="D77" s="128">
        <v>1</v>
      </c>
      <c r="E77" s="54">
        <v>2</v>
      </c>
      <c r="F77" s="64"/>
      <c r="G77" s="69"/>
      <c r="I77" s="21">
        <v>2</v>
      </c>
      <c r="J77" s="128"/>
      <c r="K77" s="54">
        <v>1</v>
      </c>
      <c r="L77" s="64">
        <v>1</v>
      </c>
      <c r="M77" s="69">
        <v>1</v>
      </c>
      <c r="O77" s="21">
        <v>2</v>
      </c>
      <c r="P77" s="128">
        <v>3</v>
      </c>
      <c r="Q77" s="54">
        <v>2</v>
      </c>
      <c r="R77" s="64">
        <v>2</v>
      </c>
      <c r="S77" s="69">
        <v>2</v>
      </c>
      <c r="U77" s="21"/>
      <c r="V77" s="128">
        <v>2</v>
      </c>
      <c r="W77" s="54">
        <v>1</v>
      </c>
      <c r="X77" s="64">
        <v>1</v>
      </c>
      <c r="Y77" s="69">
        <v>2</v>
      </c>
      <c r="AA77" s="21"/>
      <c r="AB77" s="128"/>
      <c r="AC77" s="54">
        <v>1</v>
      </c>
      <c r="AD77" s="64"/>
      <c r="AE77" s="69">
        <v>1</v>
      </c>
      <c r="AG77" s="21"/>
      <c r="AH77" s="128"/>
      <c r="AI77" s="54"/>
      <c r="AJ77" s="64"/>
      <c r="AK77" s="69"/>
      <c r="AM77" s="21"/>
      <c r="AN77" s="128"/>
      <c r="AO77" s="54"/>
      <c r="AP77" s="64"/>
      <c r="AQ77" s="69"/>
      <c r="AS77" s="21"/>
      <c r="AT77" s="128"/>
      <c r="AU77" s="54"/>
      <c r="AV77" s="64"/>
      <c r="AW77" s="69"/>
      <c r="AY77" s="21"/>
      <c r="AZ77" s="128"/>
      <c r="BA77" s="54"/>
      <c r="BB77" s="64">
        <v>1</v>
      </c>
      <c r="BC77" s="69"/>
      <c r="BD77">
        <f t="shared" si="3"/>
        <v>19</v>
      </c>
    </row>
    <row r="78" spans="1:56" x14ac:dyDescent="0.15">
      <c r="A78" s="5" t="s">
        <v>205</v>
      </c>
      <c r="C78" s="21"/>
      <c r="D78" s="128"/>
      <c r="E78" s="54"/>
      <c r="F78" s="64"/>
      <c r="G78" s="69"/>
      <c r="I78" s="21"/>
      <c r="J78" s="128"/>
      <c r="K78" s="54"/>
      <c r="L78" s="64"/>
      <c r="M78" s="69"/>
      <c r="O78" s="21"/>
      <c r="P78" s="128"/>
      <c r="Q78" s="54"/>
      <c r="R78" s="64"/>
      <c r="S78" s="69"/>
      <c r="U78" s="21"/>
      <c r="V78" s="128"/>
      <c r="W78" s="54"/>
      <c r="X78" s="64"/>
      <c r="Y78" s="69"/>
      <c r="AA78" s="21"/>
      <c r="AB78" s="128"/>
      <c r="AC78" s="54"/>
      <c r="AD78" s="64"/>
      <c r="AE78" s="69"/>
      <c r="AG78" s="21"/>
      <c r="AH78" s="128"/>
      <c r="AI78" s="54"/>
      <c r="AJ78" s="64"/>
      <c r="AK78" s="69"/>
      <c r="AM78" s="21"/>
      <c r="AN78" s="128"/>
      <c r="AO78" s="54"/>
      <c r="AP78" s="64"/>
      <c r="AQ78" s="69"/>
      <c r="AS78" s="21"/>
      <c r="AT78" s="128"/>
      <c r="AU78" s="54"/>
      <c r="AV78" s="64"/>
      <c r="AW78" s="69"/>
      <c r="AY78" s="21"/>
      <c r="AZ78" s="128"/>
      <c r="BA78" s="54"/>
      <c r="BB78" s="64"/>
      <c r="BC78" s="69"/>
      <c r="BD78">
        <f t="shared" si="3"/>
        <v>0</v>
      </c>
    </row>
    <row r="79" spans="1:56" x14ac:dyDescent="0.15">
      <c r="A79" s="2" t="s">
        <v>213</v>
      </c>
      <c r="C79" s="21"/>
      <c r="D79" s="128"/>
      <c r="E79" s="54"/>
      <c r="F79" s="64"/>
      <c r="G79" s="69"/>
      <c r="I79" s="21"/>
      <c r="J79" s="128"/>
      <c r="K79" s="54"/>
      <c r="L79" s="64"/>
      <c r="M79" s="69"/>
      <c r="O79" s="21"/>
      <c r="P79" s="128"/>
      <c r="Q79" s="54"/>
      <c r="R79" s="64"/>
      <c r="S79" s="69"/>
      <c r="U79" s="21"/>
      <c r="V79" s="128"/>
      <c r="W79" s="54"/>
      <c r="X79" s="64"/>
      <c r="Y79" s="69"/>
      <c r="AA79" s="21"/>
      <c r="AB79" s="128"/>
      <c r="AC79" s="54"/>
      <c r="AD79" s="64"/>
      <c r="AE79" s="69"/>
      <c r="AG79" s="21"/>
      <c r="AH79" s="128"/>
      <c r="AI79" s="54"/>
      <c r="AJ79" s="64"/>
      <c r="AK79" s="69"/>
      <c r="AM79" s="21"/>
      <c r="AN79" s="128"/>
      <c r="AO79" s="54"/>
      <c r="AP79" s="64"/>
      <c r="AQ79" s="69"/>
      <c r="AS79" s="21"/>
      <c r="AT79" s="128"/>
      <c r="AU79" s="54"/>
      <c r="AV79" s="64"/>
      <c r="AW79" s="69"/>
      <c r="AY79" s="21"/>
      <c r="AZ79" s="128"/>
      <c r="BA79" s="54"/>
      <c r="BB79" s="64"/>
      <c r="BC79" s="69"/>
      <c r="BD79">
        <f t="shared" si="3"/>
        <v>0</v>
      </c>
    </row>
    <row r="80" spans="1:56" x14ac:dyDescent="0.15">
      <c r="A80" s="5" t="s">
        <v>96</v>
      </c>
      <c r="C80" s="21"/>
      <c r="D80" s="128">
        <v>1</v>
      </c>
      <c r="E80" s="54">
        <v>1</v>
      </c>
      <c r="F80" s="64">
        <v>1</v>
      </c>
      <c r="G80" s="69"/>
      <c r="I80" s="21"/>
      <c r="J80" s="128"/>
      <c r="K80" s="54"/>
      <c r="L80" s="64"/>
      <c r="M80" s="69"/>
      <c r="O80" s="21"/>
      <c r="P80" s="128"/>
      <c r="Q80" s="54"/>
      <c r="R80" s="64"/>
      <c r="S80" s="69"/>
      <c r="U80" s="21"/>
      <c r="V80" s="128"/>
      <c r="W80" s="54"/>
      <c r="X80" s="64"/>
      <c r="Y80" s="69"/>
      <c r="AA80" s="21"/>
      <c r="AB80" s="128"/>
      <c r="AC80" s="54"/>
      <c r="AD80" s="64"/>
      <c r="AE80" s="69"/>
      <c r="AG80" s="21"/>
      <c r="AH80" s="128"/>
      <c r="AI80" s="54"/>
      <c r="AJ80" s="64"/>
      <c r="AK80" s="69"/>
      <c r="AM80" s="21"/>
      <c r="AN80" s="128"/>
      <c r="AO80" s="54"/>
      <c r="AP80" s="64"/>
      <c r="AQ80" s="69"/>
      <c r="AS80" s="21">
        <v>1</v>
      </c>
      <c r="AT80" s="128"/>
      <c r="AU80" s="54"/>
      <c r="AV80" s="64"/>
      <c r="AW80" s="69">
        <v>1</v>
      </c>
      <c r="AY80" s="21"/>
      <c r="AZ80" s="128"/>
      <c r="BA80" s="54"/>
      <c r="BB80" s="64"/>
      <c r="BC80" s="69"/>
      <c r="BD80">
        <f t="shared" si="3"/>
        <v>5</v>
      </c>
    </row>
    <row r="81" spans="1:56" x14ac:dyDescent="0.15">
      <c r="A81" s="2" t="s">
        <v>175</v>
      </c>
      <c r="C81" s="21"/>
      <c r="D81" s="128">
        <v>1</v>
      </c>
      <c r="E81" s="54"/>
      <c r="F81" s="64"/>
      <c r="G81" s="69"/>
      <c r="I81" s="21"/>
      <c r="J81" s="128"/>
      <c r="K81" s="54"/>
      <c r="L81" s="64"/>
      <c r="M81" s="69"/>
      <c r="O81" s="21"/>
      <c r="P81" s="128"/>
      <c r="Q81" s="54"/>
      <c r="R81" s="64"/>
      <c r="S81" s="69"/>
      <c r="U81" s="21"/>
      <c r="V81" s="128"/>
      <c r="W81" s="54"/>
      <c r="X81" s="64"/>
      <c r="Y81" s="69"/>
      <c r="AA81" s="21"/>
      <c r="AB81" s="128"/>
      <c r="AC81" s="54"/>
      <c r="AD81" s="64"/>
      <c r="AE81" s="69"/>
      <c r="AG81" s="21"/>
      <c r="AH81" s="128"/>
      <c r="AI81" s="54"/>
      <c r="AJ81" s="64"/>
      <c r="AK81" s="69"/>
      <c r="AM81" s="21"/>
      <c r="AN81" s="128"/>
      <c r="AO81" s="54"/>
      <c r="AP81" s="64"/>
      <c r="AQ81" s="69"/>
      <c r="AS81" s="21"/>
      <c r="AT81" s="128"/>
      <c r="AU81" s="54"/>
      <c r="AV81" s="64"/>
      <c r="AW81" s="69"/>
      <c r="AY81" s="21"/>
      <c r="AZ81" s="128"/>
      <c r="BA81" s="54"/>
      <c r="BB81" s="64"/>
      <c r="BC81" s="69"/>
      <c r="BD81">
        <f t="shared" si="3"/>
        <v>1</v>
      </c>
    </row>
    <row r="82" spans="1:56" x14ac:dyDescent="0.15">
      <c r="A82" s="2" t="s">
        <v>24</v>
      </c>
      <c r="C82" s="21">
        <v>3</v>
      </c>
      <c r="D82" s="128"/>
      <c r="E82" s="54"/>
      <c r="F82" s="64"/>
      <c r="G82" s="69"/>
      <c r="I82" s="21">
        <v>3</v>
      </c>
      <c r="J82" s="128"/>
      <c r="K82" s="54"/>
      <c r="L82" s="64"/>
      <c r="M82" s="69"/>
      <c r="O82" s="21">
        <v>2</v>
      </c>
      <c r="P82" s="128"/>
      <c r="Q82" s="54"/>
      <c r="R82" s="64"/>
      <c r="S82" s="69"/>
      <c r="U82" s="21">
        <v>3</v>
      </c>
      <c r="V82" s="128"/>
      <c r="W82" s="54">
        <v>2</v>
      </c>
      <c r="X82" s="64"/>
      <c r="Y82" s="69"/>
      <c r="AA82" s="21">
        <v>2</v>
      </c>
      <c r="AB82" s="128"/>
      <c r="AC82" s="54"/>
      <c r="AD82" s="64"/>
      <c r="AE82" s="69"/>
      <c r="AG82" s="21">
        <v>1</v>
      </c>
      <c r="AH82" s="128">
        <v>1</v>
      </c>
      <c r="AI82" s="54"/>
      <c r="AJ82" s="64"/>
      <c r="AK82" s="69"/>
      <c r="AM82" s="21">
        <v>1</v>
      </c>
      <c r="AN82" s="128"/>
      <c r="AO82" s="54"/>
      <c r="AP82" s="64"/>
      <c r="AQ82" s="69"/>
      <c r="AS82" s="21"/>
      <c r="AT82" s="128"/>
      <c r="AU82" s="54"/>
      <c r="AV82" s="64"/>
      <c r="AW82" s="69"/>
      <c r="AY82" s="21">
        <v>1</v>
      </c>
      <c r="AZ82" s="128">
        <v>1</v>
      </c>
      <c r="BA82" s="54"/>
      <c r="BB82" s="64"/>
      <c r="BC82" s="69">
        <v>1</v>
      </c>
      <c r="BD82">
        <f t="shared" si="3"/>
        <v>12</v>
      </c>
    </row>
    <row r="83" spans="1:56" x14ac:dyDescent="0.15">
      <c r="A83" s="2" t="s">
        <v>189</v>
      </c>
      <c r="C83" s="21"/>
      <c r="D83" s="128">
        <v>2</v>
      </c>
      <c r="E83" s="54">
        <v>2</v>
      </c>
      <c r="F83" s="64">
        <v>2</v>
      </c>
      <c r="G83" s="69">
        <v>3</v>
      </c>
      <c r="I83" s="21"/>
      <c r="J83" s="128">
        <v>2</v>
      </c>
      <c r="K83" s="54"/>
      <c r="L83" s="64">
        <v>2</v>
      </c>
      <c r="M83" s="69">
        <v>2</v>
      </c>
      <c r="O83" s="21"/>
      <c r="P83" s="128">
        <v>2</v>
      </c>
      <c r="Q83" s="54">
        <v>1</v>
      </c>
      <c r="R83" s="64">
        <v>1</v>
      </c>
      <c r="S83" s="69">
        <v>1</v>
      </c>
      <c r="U83" s="21"/>
      <c r="V83" s="128">
        <v>1</v>
      </c>
      <c r="W83" s="54">
        <v>2</v>
      </c>
      <c r="X83" s="64">
        <v>1</v>
      </c>
      <c r="Y83" s="69">
        <v>1</v>
      </c>
      <c r="AA83" s="21"/>
      <c r="AB83" s="128">
        <v>1</v>
      </c>
      <c r="AC83" s="54">
        <v>1</v>
      </c>
      <c r="AD83" s="64">
        <v>1</v>
      </c>
      <c r="AE83" s="69">
        <v>1</v>
      </c>
      <c r="AG83" s="21"/>
      <c r="AH83" s="128"/>
      <c r="AI83" s="54">
        <v>1</v>
      </c>
      <c r="AJ83" s="64">
        <v>1</v>
      </c>
      <c r="AK83" s="69">
        <v>1</v>
      </c>
      <c r="AM83" s="21"/>
      <c r="AN83" s="128"/>
      <c r="AO83" s="54"/>
      <c r="AP83" s="64">
        <v>1</v>
      </c>
      <c r="AQ83" s="69"/>
      <c r="AS83" s="21"/>
      <c r="AT83" s="128"/>
      <c r="AU83" s="54"/>
      <c r="AV83" s="64"/>
      <c r="AW83" s="69"/>
      <c r="AY83" s="21"/>
      <c r="AZ83" s="128"/>
      <c r="BA83" s="54"/>
      <c r="BB83" s="64"/>
      <c r="BC83" s="69"/>
      <c r="BD83">
        <f t="shared" si="3"/>
        <v>23</v>
      </c>
    </row>
    <row r="84" spans="1:56" x14ac:dyDescent="0.15">
      <c r="A84" s="5" t="s">
        <v>202</v>
      </c>
      <c r="C84" s="21"/>
      <c r="D84" s="128"/>
      <c r="E84" s="54"/>
      <c r="F84" s="64"/>
      <c r="G84" s="69"/>
      <c r="H84" s="124"/>
      <c r="I84" s="21"/>
      <c r="J84" s="128"/>
      <c r="K84" s="54"/>
      <c r="L84" s="64"/>
      <c r="M84" s="69"/>
      <c r="O84" s="21"/>
      <c r="P84" s="128"/>
      <c r="Q84" s="54"/>
      <c r="R84" s="64"/>
      <c r="S84" s="69"/>
      <c r="U84" s="21"/>
      <c r="V84" s="128"/>
      <c r="W84" s="54"/>
      <c r="X84" s="64"/>
      <c r="Y84" s="69"/>
      <c r="Z84" s="124"/>
      <c r="AA84" s="21"/>
      <c r="AB84" s="128"/>
      <c r="AC84" s="54"/>
      <c r="AD84" s="64"/>
      <c r="AE84" s="69"/>
      <c r="AG84" s="21"/>
      <c r="AH84" s="128"/>
      <c r="AI84" s="54"/>
      <c r="AJ84" s="64"/>
      <c r="AK84" s="69"/>
      <c r="AM84" s="21"/>
      <c r="AN84" s="128"/>
      <c r="AO84" s="54"/>
      <c r="AP84" s="64"/>
      <c r="AQ84" s="69"/>
      <c r="AR84" s="124"/>
      <c r="AS84" s="21"/>
      <c r="AT84" s="128"/>
      <c r="AU84" s="54"/>
      <c r="AV84" s="64"/>
      <c r="AW84" s="69"/>
      <c r="AY84" s="21"/>
      <c r="AZ84" s="128"/>
      <c r="BA84" s="54"/>
      <c r="BB84" s="64"/>
      <c r="BC84" s="69"/>
      <c r="BD84">
        <f t="shared" si="3"/>
        <v>0</v>
      </c>
    </row>
    <row r="85" spans="1:56" ht="135" x14ac:dyDescent="0.15">
      <c r="A85" t="s">
        <v>8</v>
      </c>
      <c r="D85" s="4"/>
      <c r="AM85" s="124" t="s">
        <v>179</v>
      </c>
      <c r="AN85" s="124"/>
      <c r="AO85" s="124"/>
      <c r="AP85" s="124"/>
      <c r="AQ85" s="124"/>
    </row>
    <row r="87" spans="1:56" x14ac:dyDescent="0.15">
      <c r="A87">
        <f>COUNTA(A6:A83)</f>
        <v>78</v>
      </c>
    </row>
    <row r="96" spans="1:56" x14ac:dyDescent="0.15">
      <c r="A96" s="3" t="s">
        <v>56</v>
      </c>
      <c r="C96" s="21"/>
      <c r="D96" s="38"/>
      <c r="E96" s="54"/>
      <c r="F96" s="64"/>
      <c r="G96" s="64"/>
      <c r="I96" s="21"/>
      <c r="J96" s="38"/>
      <c r="K96" s="54"/>
      <c r="L96" s="64"/>
      <c r="M96" s="64"/>
      <c r="O96" s="21"/>
      <c r="P96" s="38"/>
      <c r="Q96" s="54"/>
      <c r="R96" s="64"/>
      <c r="S96" s="64"/>
      <c r="U96" s="21"/>
      <c r="V96" s="38"/>
      <c r="W96" s="54"/>
      <c r="X96" s="64"/>
      <c r="Y96" s="64"/>
      <c r="AA96" s="21"/>
      <c r="AB96" s="38"/>
      <c r="AC96" s="54"/>
      <c r="AD96" s="64"/>
      <c r="AE96" s="64"/>
      <c r="AG96" s="21"/>
      <c r="AH96" s="38"/>
      <c r="AI96" s="54"/>
      <c r="AJ96" s="64"/>
      <c r="AK96" s="64"/>
      <c r="AM96" s="21"/>
      <c r="AN96" s="38"/>
      <c r="AO96" s="54"/>
      <c r="AP96" s="64"/>
      <c r="AQ96" s="64"/>
      <c r="AS96" s="21"/>
      <c r="AT96" s="38"/>
      <c r="AU96" s="54"/>
      <c r="AV96" s="64"/>
      <c r="AW96" s="64"/>
      <c r="AY96" s="21"/>
      <c r="AZ96" s="38"/>
      <c r="BA96" s="54"/>
      <c r="BB96" s="64"/>
      <c r="BC96" s="64"/>
    </row>
    <row r="97" spans="1:55" x14ac:dyDescent="0.15">
      <c r="A97" s="5" t="s">
        <v>185</v>
      </c>
      <c r="C97" s="21"/>
      <c r="D97" s="38"/>
      <c r="E97" s="54"/>
      <c r="F97" s="64"/>
      <c r="G97" s="64"/>
      <c r="I97" s="21"/>
      <c r="J97" s="38"/>
      <c r="K97" s="54"/>
      <c r="L97" s="64"/>
      <c r="M97" s="64"/>
      <c r="O97" s="21"/>
      <c r="P97" s="38"/>
      <c r="Q97" s="54"/>
      <c r="R97" s="64"/>
      <c r="S97" s="64"/>
      <c r="U97" s="21"/>
      <c r="V97" s="38"/>
      <c r="W97" s="54"/>
      <c r="X97" s="64"/>
      <c r="Y97" s="64"/>
      <c r="AA97" s="21"/>
      <c r="AB97" s="38"/>
      <c r="AC97" s="54"/>
      <c r="AD97" s="64"/>
      <c r="AE97" s="64"/>
      <c r="AG97" s="21"/>
      <c r="AH97" s="38"/>
      <c r="AI97" s="54"/>
      <c r="AJ97" s="64"/>
      <c r="AK97" s="64"/>
      <c r="AM97" s="21"/>
      <c r="AN97" s="38"/>
      <c r="AO97" s="54"/>
      <c r="AP97" s="64"/>
      <c r="AQ97" s="64"/>
      <c r="AS97" s="21"/>
      <c r="AT97" s="38"/>
      <c r="AU97" s="54"/>
      <c r="AV97" s="64"/>
      <c r="AW97" s="64"/>
      <c r="AY97" s="21"/>
      <c r="AZ97" s="38"/>
      <c r="BA97" s="54"/>
      <c r="BB97" s="64"/>
      <c r="BC97" s="64"/>
    </row>
    <row r="98" spans="1:55" x14ac:dyDescent="0.15">
      <c r="A98" s="7" t="s">
        <v>47</v>
      </c>
      <c r="C98" s="21"/>
      <c r="D98" s="38"/>
      <c r="E98" s="54"/>
      <c r="F98" s="64"/>
      <c r="G98" s="64"/>
      <c r="I98" s="21"/>
      <c r="J98" s="38"/>
      <c r="K98" s="54"/>
      <c r="L98" s="64"/>
      <c r="M98" s="64"/>
      <c r="O98" s="21"/>
      <c r="P98" s="38"/>
      <c r="Q98" s="54"/>
      <c r="R98" s="64"/>
      <c r="S98" s="64"/>
      <c r="U98" s="21"/>
      <c r="V98" s="38"/>
      <c r="W98" s="54"/>
      <c r="X98" s="64"/>
      <c r="Y98" s="64"/>
      <c r="AA98" s="21"/>
      <c r="AB98" s="38"/>
      <c r="AC98" s="54"/>
      <c r="AD98" s="64"/>
      <c r="AE98" s="64"/>
      <c r="AG98" s="21"/>
      <c r="AH98" s="38"/>
      <c r="AI98" s="54"/>
      <c r="AJ98" s="64"/>
      <c r="AK98" s="64"/>
      <c r="AM98" s="21"/>
      <c r="AN98" s="38"/>
      <c r="AO98" s="54"/>
      <c r="AP98" s="64"/>
      <c r="AQ98" s="64"/>
      <c r="AS98" s="21"/>
      <c r="AT98" s="38"/>
      <c r="AU98" s="54"/>
      <c r="AV98" s="64"/>
      <c r="AW98" s="64"/>
      <c r="AY98" s="21"/>
      <c r="AZ98" s="38"/>
      <c r="BA98" s="54"/>
      <c r="BB98" s="64"/>
      <c r="BC98" s="64"/>
    </row>
    <row r="99" spans="1:55" x14ac:dyDescent="0.15">
      <c r="A99" s="39" t="s">
        <v>29</v>
      </c>
      <c r="C99" s="21"/>
      <c r="D99" s="38"/>
      <c r="E99" s="54"/>
      <c r="F99" s="64"/>
      <c r="G99" s="64"/>
      <c r="I99" s="21"/>
      <c r="J99" s="38"/>
      <c r="K99" s="54"/>
      <c r="L99" s="64"/>
      <c r="M99" s="64"/>
      <c r="O99" s="21"/>
      <c r="P99" s="38"/>
      <c r="Q99" s="54"/>
      <c r="R99" s="64"/>
      <c r="S99" s="64"/>
      <c r="U99" s="21"/>
      <c r="V99" s="38"/>
      <c r="W99" s="54"/>
      <c r="X99" s="64"/>
      <c r="Y99" s="64"/>
      <c r="AA99" s="21"/>
      <c r="AB99" s="38"/>
      <c r="AC99" s="54"/>
      <c r="AD99" s="64"/>
      <c r="AE99" s="64"/>
      <c r="AG99" s="21"/>
      <c r="AH99" s="38"/>
      <c r="AI99" s="54"/>
      <c r="AJ99" s="64"/>
      <c r="AK99" s="64"/>
      <c r="AM99" s="21"/>
      <c r="AN99" s="38"/>
      <c r="AO99" s="54"/>
      <c r="AP99" s="64"/>
      <c r="AQ99" s="64"/>
      <c r="AS99" s="21"/>
      <c r="AT99" s="38"/>
      <c r="AU99" s="54"/>
      <c r="AV99" s="64"/>
      <c r="AW99" s="64"/>
      <c r="AY99" s="21"/>
      <c r="AZ99" s="38"/>
      <c r="BA99" s="54"/>
      <c r="BB99" s="64"/>
      <c r="BC99" s="64"/>
    </row>
    <row r="100" spans="1:55" x14ac:dyDescent="0.15">
      <c r="A100" s="5" t="s">
        <v>48</v>
      </c>
      <c r="C100" s="21"/>
      <c r="D100" s="38"/>
      <c r="E100" s="54"/>
      <c r="F100" s="64"/>
      <c r="G100" s="64"/>
      <c r="I100" s="21"/>
      <c r="J100" s="38"/>
      <c r="K100" s="54"/>
      <c r="L100" s="64"/>
      <c r="M100" s="64"/>
      <c r="O100" s="21"/>
      <c r="P100" s="38"/>
      <c r="Q100" s="54"/>
      <c r="R100" s="64"/>
      <c r="S100" s="64"/>
      <c r="U100" s="21"/>
      <c r="V100" s="38"/>
      <c r="W100" s="54"/>
      <c r="X100" s="64"/>
      <c r="Y100" s="64"/>
      <c r="AA100" s="21"/>
      <c r="AB100" s="38"/>
      <c r="AC100" s="54"/>
      <c r="AD100" s="64"/>
      <c r="AE100" s="64"/>
      <c r="AG100" s="21"/>
      <c r="AH100" s="38"/>
      <c r="AI100" s="54"/>
      <c r="AJ100" s="64"/>
      <c r="AK100" s="64"/>
      <c r="AM100" s="21"/>
      <c r="AN100" s="38"/>
      <c r="AO100" s="54"/>
      <c r="AP100" s="64"/>
      <c r="AQ100" s="64"/>
      <c r="AS100" s="21"/>
      <c r="AT100" s="38"/>
      <c r="AU100" s="54"/>
      <c r="AV100" s="64"/>
      <c r="AW100" s="64"/>
      <c r="AY100" s="21"/>
      <c r="AZ100" s="38"/>
      <c r="BA100" s="54"/>
      <c r="BB100" s="64"/>
      <c r="BC100" s="64"/>
    </row>
    <row r="101" spans="1:55" x14ac:dyDescent="0.15">
      <c r="A101" s="5" t="s">
        <v>106</v>
      </c>
      <c r="C101" s="120"/>
      <c r="D101" s="38"/>
      <c r="E101" s="54"/>
      <c r="F101" s="64"/>
      <c r="G101" s="64"/>
      <c r="H101" s="123"/>
      <c r="I101" s="115"/>
      <c r="J101" s="142"/>
      <c r="K101" s="117"/>
      <c r="L101" s="118"/>
      <c r="M101" s="118"/>
      <c r="N101" s="114"/>
      <c r="O101" s="115"/>
      <c r="P101" s="142"/>
      <c r="Q101" s="117"/>
      <c r="R101" s="118"/>
      <c r="S101" s="118"/>
      <c r="T101" s="114"/>
      <c r="U101" s="115"/>
      <c r="V101" s="143"/>
      <c r="W101" s="112"/>
      <c r="X101" s="113"/>
      <c r="Y101" s="113"/>
      <c r="Z101" s="114"/>
      <c r="AA101" s="115"/>
      <c r="AB101" s="143"/>
      <c r="AC101" s="112"/>
      <c r="AD101" s="113"/>
      <c r="AE101" s="113"/>
      <c r="AF101" s="114"/>
      <c r="AG101" s="115"/>
      <c r="AH101" s="143"/>
      <c r="AI101" s="112"/>
      <c r="AJ101" s="113"/>
      <c r="AK101" s="113"/>
      <c r="AL101" s="114"/>
      <c r="AM101" s="115"/>
      <c r="AN101" s="142">
        <v>1</v>
      </c>
      <c r="AO101" s="117"/>
      <c r="AP101" s="118"/>
      <c r="AQ101" s="118"/>
      <c r="AR101" s="114"/>
      <c r="AS101" s="115"/>
      <c r="AT101" s="143"/>
      <c r="AU101" s="112"/>
      <c r="AV101" s="113"/>
      <c r="AW101" s="113"/>
      <c r="AX101" s="114"/>
      <c r="AY101" s="115"/>
      <c r="AZ101" s="143"/>
      <c r="BA101" s="112"/>
      <c r="BB101" s="113"/>
      <c r="BC101" s="113"/>
    </row>
    <row r="102" spans="1:55" x14ac:dyDescent="0.15">
      <c r="A102" s="7" t="s">
        <v>186</v>
      </c>
      <c r="C102" s="21"/>
      <c r="D102" s="38"/>
      <c r="E102" s="54"/>
      <c r="F102" s="64"/>
      <c r="G102" s="64"/>
      <c r="I102" s="21"/>
      <c r="J102" s="38"/>
      <c r="K102" s="54"/>
      <c r="L102" s="64"/>
      <c r="M102" s="64"/>
      <c r="O102" s="21"/>
      <c r="P102" s="38"/>
      <c r="Q102" s="54"/>
      <c r="R102" s="64"/>
      <c r="S102" s="64"/>
      <c r="U102" s="21"/>
      <c r="V102" s="38"/>
      <c r="W102" s="54"/>
      <c r="X102" s="64"/>
      <c r="Y102" s="64"/>
      <c r="AA102" s="21"/>
      <c r="AB102" s="38"/>
      <c r="AC102" s="54"/>
      <c r="AD102" s="64"/>
      <c r="AE102" s="64"/>
      <c r="AG102" s="21"/>
      <c r="AH102" s="38"/>
      <c r="AI102" s="54"/>
      <c r="AJ102" s="64"/>
      <c r="AK102" s="64"/>
      <c r="AM102" s="21"/>
      <c r="AN102" s="38"/>
      <c r="AO102" s="54"/>
      <c r="AP102" s="64"/>
      <c r="AQ102" s="64"/>
      <c r="AR102">
        <v>1</v>
      </c>
      <c r="AS102" s="21"/>
      <c r="AT102" s="38"/>
      <c r="AU102" s="54"/>
      <c r="AV102" s="64"/>
      <c r="AW102" s="64"/>
      <c r="AY102" s="21"/>
      <c r="AZ102" s="38"/>
      <c r="BA102" s="54"/>
      <c r="BB102" s="64"/>
      <c r="BC102" s="64"/>
    </row>
    <row r="103" spans="1:55" x14ac:dyDescent="0.15">
      <c r="A103" s="36" t="s">
        <v>94</v>
      </c>
      <c r="C103" s="21">
        <v>1</v>
      </c>
      <c r="D103" s="38"/>
      <c r="E103" s="54">
        <v>1</v>
      </c>
      <c r="F103" s="64"/>
      <c r="G103" s="64"/>
      <c r="I103" s="21"/>
      <c r="J103" s="38"/>
      <c r="K103" s="54">
        <v>1</v>
      </c>
      <c r="L103" s="64"/>
      <c r="M103" s="64"/>
      <c r="O103" s="21"/>
      <c r="P103" s="38">
        <v>1</v>
      </c>
      <c r="Q103" s="54">
        <v>1</v>
      </c>
      <c r="R103" s="64"/>
      <c r="S103" s="64"/>
      <c r="U103" s="21"/>
      <c r="V103" s="38">
        <v>1</v>
      </c>
      <c r="W103" s="54">
        <v>1</v>
      </c>
      <c r="X103" s="64"/>
      <c r="Y103" s="64"/>
      <c r="AA103" s="21"/>
      <c r="AB103" s="38">
        <v>1</v>
      </c>
      <c r="AC103" s="54">
        <v>2</v>
      </c>
      <c r="AD103" s="64"/>
      <c r="AE103" s="64"/>
      <c r="AG103" s="21"/>
      <c r="AH103" s="38">
        <v>1</v>
      </c>
      <c r="AI103" s="54">
        <v>1</v>
      </c>
      <c r="AJ103" s="64"/>
      <c r="AK103" s="64"/>
      <c r="AM103" s="21"/>
      <c r="AN103" s="38"/>
      <c r="AO103" s="54"/>
      <c r="AP103" s="64"/>
      <c r="AQ103" s="64"/>
      <c r="AS103" s="21"/>
      <c r="AT103" s="38">
        <v>1</v>
      </c>
      <c r="AU103" s="54">
        <v>1</v>
      </c>
      <c r="AV103" s="64"/>
      <c r="AW103" s="64"/>
      <c r="AY103" s="21"/>
      <c r="AZ103" s="38"/>
      <c r="BA103" s="54"/>
      <c r="BB103" s="64"/>
      <c r="BC103" s="64"/>
    </row>
    <row r="104" spans="1:55" x14ac:dyDescent="0.15">
      <c r="A104" s="40" t="s">
        <v>91</v>
      </c>
      <c r="C104" s="21"/>
      <c r="D104" s="38"/>
      <c r="E104" s="54"/>
      <c r="F104" s="64"/>
      <c r="G104" s="64"/>
      <c r="I104" s="21"/>
      <c r="J104" s="38"/>
      <c r="K104" s="54"/>
      <c r="L104" s="64"/>
      <c r="M104" s="64"/>
      <c r="O104" s="21"/>
      <c r="P104" s="38"/>
      <c r="Q104" s="54"/>
      <c r="R104" s="64"/>
      <c r="S104" s="64"/>
      <c r="U104" s="21"/>
      <c r="V104" s="38"/>
      <c r="W104" s="54"/>
      <c r="X104" s="64"/>
      <c r="Y104" s="64"/>
      <c r="AA104" s="21"/>
      <c r="AB104" s="38"/>
      <c r="AC104" s="54"/>
      <c r="AD104" s="64"/>
      <c r="AE104" s="64"/>
      <c r="AG104" s="21">
        <v>1</v>
      </c>
      <c r="AH104" s="38">
        <v>1</v>
      </c>
      <c r="AI104" s="54"/>
      <c r="AJ104" s="64"/>
      <c r="AK104" s="64"/>
      <c r="AM104" s="21"/>
      <c r="AN104" s="38"/>
      <c r="AO104" s="54"/>
      <c r="AP104" s="64"/>
      <c r="AQ104" s="64"/>
      <c r="AS104" s="21"/>
      <c r="AT104" s="38">
        <v>1</v>
      </c>
      <c r="AU104" s="54"/>
      <c r="AV104" s="64"/>
      <c r="AW104" s="64"/>
      <c r="AY104" s="21"/>
      <c r="AZ104" s="38"/>
      <c r="BA104" s="54"/>
      <c r="BB104" s="64"/>
      <c r="BC104" s="64"/>
    </row>
    <row r="105" spans="1:55" x14ac:dyDescent="0.15">
      <c r="A105" s="39" t="s">
        <v>69</v>
      </c>
      <c r="C105" s="21"/>
      <c r="D105" s="38"/>
      <c r="E105" s="54"/>
      <c r="F105" s="64"/>
      <c r="G105" s="64"/>
      <c r="I105" s="21"/>
      <c r="J105" s="38"/>
      <c r="K105" s="54"/>
      <c r="L105" s="64"/>
      <c r="M105" s="64"/>
      <c r="O105" s="21"/>
      <c r="P105" s="38"/>
      <c r="Q105" s="54"/>
      <c r="R105" s="64"/>
      <c r="S105" s="64"/>
      <c r="U105" s="21"/>
      <c r="V105" s="38"/>
      <c r="W105" s="54"/>
      <c r="X105" s="64"/>
      <c r="Y105" s="64"/>
      <c r="AA105" s="21"/>
      <c r="AB105" s="38"/>
      <c r="AC105" s="54"/>
      <c r="AD105" s="64"/>
      <c r="AE105" s="64"/>
      <c r="AG105" s="21"/>
      <c r="AH105" s="38"/>
      <c r="AI105" s="54"/>
      <c r="AJ105" s="64"/>
      <c r="AK105" s="64"/>
      <c r="AM105" s="21"/>
      <c r="AN105" s="38"/>
      <c r="AO105" s="54"/>
      <c r="AP105" s="64"/>
      <c r="AQ105" s="64"/>
      <c r="AS105" s="21"/>
      <c r="AT105" s="38"/>
      <c r="AU105" s="54"/>
      <c r="AV105" s="64"/>
      <c r="AW105" s="64"/>
      <c r="AY105" s="21"/>
      <c r="AZ105" s="38"/>
      <c r="BA105" s="54"/>
      <c r="BB105" s="64"/>
      <c r="BC105" s="64"/>
    </row>
    <row r="106" spans="1:55" x14ac:dyDescent="0.15">
      <c r="A106" s="39" t="s">
        <v>67</v>
      </c>
      <c r="C106" s="21"/>
      <c r="D106" s="38"/>
      <c r="E106" s="54"/>
      <c r="F106" s="64"/>
      <c r="G106" s="64"/>
      <c r="I106" s="21"/>
      <c r="J106" s="38"/>
      <c r="K106" s="54"/>
      <c r="L106" s="64"/>
      <c r="M106" s="64"/>
      <c r="O106" s="21"/>
      <c r="P106" s="38"/>
      <c r="Q106" s="54"/>
      <c r="R106" s="64"/>
      <c r="S106" s="64"/>
      <c r="U106" s="21"/>
      <c r="V106" s="38"/>
      <c r="W106" s="54"/>
      <c r="X106" s="64"/>
      <c r="Y106" s="64"/>
      <c r="AA106" s="21"/>
      <c r="AB106" s="38"/>
      <c r="AC106" s="54"/>
      <c r="AD106" s="64"/>
      <c r="AE106" s="64"/>
      <c r="AG106" s="21"/>
      <c r="AH106" s="38"/>
      <c r="AI106" s="54"/>
      <c r="AJ106" s="64"/>
      <c r="AK106" s="64"/>
      <c r="AM106" s="21"/>
      <c r="AN106" s="38"/>
      <c r="AO106" s="54"/>
      <c r="AP106" s="64"/>
      <c r="AQ106" s="64"/>
      <c r="AS106" s="21"/>
      <c r="AT106" s="38"/>
      <c r="AU106" s="54"/>
      <c r="AV106" s="64"/>
      <c r="AW106" s="64"/>
      <c r="AY106" s="21"/>
      <c r="AZ106" s="38"/>
      <c r="BA106" s="54"/>
      <c r="BB106" s="64"/>
      <c r="BC106" s="64"/>
    </row>
    <row r="107" spans="1:55" x14ac:dyDescent="0.15">
      <c r="A107" s="41" t="s">
        <v>66</v>
      </c>
      <c r="C107" s="21"/>
      <c r="D107" s="38"/>
      <c r="E107" s="54"/>
      <c r="F107" s="64"/>
      <c r="G107" s="64"/>
      <c r="I107" s="21"/>
      <c r="J107" s="38"/>
      <c r="K107" s="54"/>
      <c r="L107" s="64"/>
      <c r="M107" s="64"/>
      <c r="O107" s="21"/>
      <c r="P107" s="38"/>
      <c r="Q107" s="54"/>
      <c r="R107" s="64"/>
      <c r="S107" s="64"/>
      <c r="U107" s="21"/>
      <c r="V107" s="38"/>
      <c r="W107" s="54"/>
      <c r="X107" s="64"/>
      <c r="Y107" s="64"/>
      <c r="AA107" s="21"/>
      <c r="AB107" s="38"/>
      <c r="AC107" s="54"/>
      <c r="AD107" s="64"/>
      <c r="AE107" s="64"/>
      <c r="AG107" s="21"/>
      <c r="AH107" s="38"/>
      <c r="AI107" s="54"/>
      <c r="AJ107" s="64"/>
      <c r="AK107" s="64"/>
      <c r="AM107" s="21"/>
      <c r="AN107" s="38"/>
      <c r="AO107" s="54"/>
      <c r="AP107" s="64"/>
      <c r="AQ107" s="64"/>
      <c r="AS107" s="21"/>
      <c r="AT107" s="38"/>
      <c r="AU107" s="54"/>
      <c r="AV107" s="64"/>
      <c r="AW107" s="64"/>
      <c r="AY107" s="21"/>
      <c r="AZ107" s="38"/>
      <c r="BA107" s="54"/>
      <c r="BB107" s="64"/>
      <c r="BC107" s="64"/>
    </row>
    <row r="108" spans="1:55" x14ac:dyDescent="0.15">
      <c r="A108" s="58" t="s">
        <v>104</v>
      </c>
      <c r="C108" s="21"/>
      <c r="D108" s="38"/>
      <c r="E108" s="54"/>
      <c r="F108" s="64"/>
      <c r="G108" s="64"/>
      <c r="I108" s="21"/>
      <c r="J108" s="38"/>
      <c r="K108" s="54"/>
      <c r="L108" s="64"/>
      <c r="M108" s="64"/>
      <c r="O108" s="21"/>
      <c r="P108" s="38"/>
      <c r="Q108" s="54"/>
      <c r="R108" s="64"/>
      <c r="S108" s="64"/>
      <c r="U108" s="21"/>
      <c r="V108" s="38"/>
      <c r="W108" s="54"/>
      <c r="X108" s="64"/>
      <c r="Y108" s="64"/>
      <c r="AA108" s="21"/>
      <c r="AB108" s="38"/>
      <c r="AC108" s="54"/>
      <c r="AD108" s="64"/>
      <c r="AE108" s="64"/>
      <c r="AG108" s="21"/>
      <c r="AH108" s="38"/>
      <c r="AI108" s="54"/>
      <c r="AJ108" s="64"/>
      <c r="AK108" s="64"/>
      <c r="AM108" s="21"/>
      <c r="AN108" s="38"/>
      <c r="AO108" s="54"/>
      <c r="AP108" s="64"/>
      <c r="AQ108" s="64"/>
      <c r="AS108" s="21"/>
      <c r="AT108" s="38"/>
      <c r="AU108" s="54"/>
      <c r="AV108" s="64"/>
      <c r="AW108" s="64"/>
      <c r="AY108" s="21"/>
      <c r="AZ108" s="38"/>
      <c r="BA108" s="54"/>
      <c r="BB108" s="64"/>
      <c r="BC108" s="64"/>
    </row>
  </sheetData>
  <mergeCells count="18">
    <mergeCell ref="AL3:AQ3"/>
    <mergeCell ref="AR3:AW3"/>
    <mergeCell ref="AX3:BC3"/>
    <mergeCell ref="B3:G3"/>
    <mergeCell ref="H3:M3"/>
    <mergeCell ref="N3:S3"/>
    <mergeCell ref="T3:Y3"/>
    <mergeCell ref="Z3:AE3"/>
    <mergeCell ref="AF3:AK3"/>
    <mergeCell ref="AL2:AQ2"/>
    <mergeCell ref="AR2:AW2"/>
    <mergeCell ref="AX2:BC2"/>
    <mergeCell ref="B2:G2"/>
    <mergeCell ref="H2:M2"/>
    <mergeCell ref="N2:S2"/>
    <mergeCell ref="T2:Y2"/>
    <mergeCell ref="Z2:AE2"/>
    <mergeCell ref="AF2:AK2"/>
  </mergeCells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E037-42C4-470D-956E-1D2280A053BB}">
  <dimension ref="A1:AX108"/>
  <sheetViews>
    <sheetView zoomScale="71" zoomScaleNormal="71" workbookViewId="0">
      <selection activeCell="AM12" sqref="AM12"/>
    </sheetView>
  </sheetViews>
  <sheetFormatPr defaultRowHeight="13.5" x14ac:dyDescent="0.15"/>
  <cols>
    <col min="1" max="1" width="26.375" customWidth="1"/>
    <col min="2" max="5" width="3.75" customWidth="1"/>
    <col min="6" max="7" width="3.375" customWidth="1"/>
    <col min="8" max="11" width="3.75" customWidth="1"/>
    <col min="12" max="13" width="3.375" customWidth="1"/>
    <col min="14" max="17" width="3.75" customWidth="1"/>
    <col min="18" max="19" width="3.375" customWidth="1"/>
    <col min="20" max="23" width="3.75" customWidth="1"/>
    <col min="24" max="25" width="3.375" customWidth="1"/>
    <col min="26" max="29" width="3.625" customWidth="1"/>
    <col min="30" max="31" width="3.375" customWidth="1"/>
    <col min="32" max="35" width="3.75" customWidth="1"/>
    <col min="36" max="37" width="3.375" customWidth="1"/>
    <col min="38" max="41" width="3.75" customWidth="1"/>
    <col min="42" max="43" width="3.375" customWidth="1"/>
    <col min="44" max="47" width="3.75" customWidth="1"/>
    <col min="48" max="49" width="3.375" customWidth="1"/>
  </cols>
  <sheetData>
    <row r="1" spans="1:50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50" x14ac:dyDescent="0.15">
      <c r="A2" t="s">
        <v>0</v>
      </c>
      <c r="B2" s="242">
        <v>39</v>
      </c>
      <c r="C2" s="242"/>
      <c r="D2" s="242"/>
      <c r="E2" s="242"/>
      <c r="F2" s="242"/>
      <c r="G2" s="242"/>
      <c r="H2" s="242">
        <v>40</v>
      </c>
      <c r="I2" s="242"/>
      <c r="J2" s="242"/>
      <c r="K2" s="242"/>
      <c r="L2" s="242"/>
      <c r="M2" s="242"/>
      <c r="N2" s="242">
        <v>41</v>
      </c>
      <c r="O2" s="242"/>
      <c r="P2" s="242"/>
      <c r="Q2" s="242"/>
      <c r="R2" s="242"/>
      <c r="S2" s="242"/>
      <c r="T2" s="242">
        <v>42</v>
      </c>
      <c r="U2" s="242"/>
      <c r="V2" s="242"/>
      <c r="W2" s="242"/>
      <c r="X2" s="242"/>
      <c r="Y2" s="242"/>
      <c r="Z2" s="242">
        <v>43</v>
      </c>
      <c r="AA2" s="242"/>
      <c r="AB2" s="242"/>
      <c r="AC2" s="242"/>
      <c r="AD2" s="242"/>
      <c r="AE2" s="242"/>
      <c r="AF2" s="242">
        <v>44</v>
      </c>
      <c r="AG2" s="242"/>
      <c r="AH2" s="242"/>
      <c r="AI2" s="242"/>
      <c r="AJ2" s="242"/>
      <c r="AK2" s="242"/>
      <c r="AL2" s="242">
        <v>45</v>
      </c>
      <c r="AM2" s="242"/>
      <c r="AN2" s="242"/>
      <c r="AO2" s="242"/>
      <c r="AP2" s="242"/>
      <c r="AQ2" s="242"/>
      <c r="AR2" s="242">
        <v>46</v>
      </c>
      <c r="AS2" s="242"/>
      <c r="AT2" s="242"/>
      <c r="AU2" s="242"/>
      <c r="AV2" s="242"/>
      <c r="AW2" s="242"/>
    </row>
    <row r="3" spans="1:50" x14ac:dyDescent="0.15">
      <c r="A3" s="6" t="s">
        <v>1</v>
      </c>
      <c r="B3" s="243" t="s">
        <v>162</v>
      </c>
      <c r="C3" s="243"/>
      <c r="D3" s="243"/>
      <c r="E3" s="243"/>
      <c r="F3" s="243"/>
      <c r="G3" s="243"/>
      <c r="H3" s="243" t="s">
        <v>162</v>
      </c>
      <c r="I3" s="243"/>
      <c r="J3" s="243"/>
      <c r="K3" s="243"/>
      <c r="L3" s="243"/>
      <c r="M3" s="243"/>
      <c r="N3" s="243" t="s">
        <v>152</v>
      </c>
      <c r="O3" s="243"/>
      <c r="P3" s="243"/>
      <c r="Q3" s="243"/>
      <c r="R3" s="243"/>
      <c r="S3" s="243"/>
      <c r="T3" s="243" t="s">
        <v>153</v>
      </c>
      <c r="U3" s="243"/>
      <c r="V3" s="243"/>
      <c r="W3" s="243"/>
      <c r="X3" s="243"/>
      <c r="Y3" s="243"/>
      <c r="Z3" s="243" t="s">
        <v>154</v>
      </c>
      <c r="AA3" s="243"/>
      <c r="AB3" s="243"/>
      <c r="AC3" s="243"/>
      <c r="AD3" s="243"/>
      <c r="AE3" s="243"/>
      <c r="AF3" s="243" t="s">
        <v>151</v>
      </c>
      <c r="AG3" s="243"/>
      <c r="AH3" s="243"/>
      <c r="AI3" s="243"/>
      <c r="AJ3" s="243"/>
      <c r="AK3" s="243"/>
      <c r="AL3" s="243" t="s">
        <v>163</v>
      </c>
      <c r="AM3" s="243"/>
      <c r="AN3" s="243"/>
      <c r="AO3" s="243"/>
      <c r="AP3" s="243"/>
      <c r="AQ3" s="243"/>
      <c r="AR3" s="243" t="s">
        <v>164</v>
      </c>
      <c r="AS3" s="243"/>
      <c r="AT3" s="243"/>
      <c r="AU3" s="243"/>
      <c r="AV3" s="243"/>
      <c r="AW3" s="243"/>
    </row>
    <row r="4" spans="1:50" ht="18.75" customHeight="1" x14ac:dyDescent="0.15">
      <c r="A4" s="8"/>
      <c r="B4" s="94" t="s">
        <v>169</v>
      </c>
      <c r="C4" s="95" t="s">
        <v>172</v>
      </c>
      <c r="D4" s="96" t="s">
        <v>101</v>
      </c>
      <c r="E4" s="97" t="s">
        <v>122</v>
      </c>
      <c r="F4" s="98" t="s">
        <v>173</v>
      </c>
      <c r="G4" s="144" t="s">
        <v>210</v>
      </c>
      <c r="H4" s="94" t="s">
        <v>169</v>
      </c>
      <c r="I4" s="95" t="s">
        <v>172</v>
      </c>
      <c r="J4" s="96" t="s">
        <v>101</v>
      </c>
      <c r="K4" s="97" t="s">
        <v>122</v>
      </c>
      <c r="L4" s="98" t="s">
        <v>173</v>
      </c>
      <c r="M4" s="144" t="s">
        <v>210</v>
      </c>
      <c r="N4" s="94" t="s">
        <v>169</v>
      </c>
      <c r="O4" s="95" t="s">
        <v>172</v>
      </c>
      <c r="P4" s="96" t="s">
        <v>101</v>
      </c>
      <c r="Q4" s="97" t="s">
        <v>122</v>
      </c>
      <c r="R4" s="98" t="s">
        <v>173</v>
      </c>
      <c r="S4" s="144" t="s">
        <v>210</v>
      </c>
      <c r="T4" s="94" t="s">
        <v>169</v>
      </c>
      <c r="U4" s="95" t="s">
        <v>172</v>
      </c>
      <c r="V4" s="96" t="s">
        <v>101</v>
      </c>
      <c r="W4" s="97" t="s">
        <v>122</v>
      </c>
      <c r="X4" s="98" t="s">
        <v>173</v>
      </c>
      <c r="Y4" s="144" t="s">
        <v>210</v>
      </c>
      <c r="Z4" s="94" t="s">
        <v>169</v>
      </c>
      <c r="AA4" s="95" t="s">
        <v>172</v>
      </c>
      <c r="AB4" s="96" t="s">
        <v>101</v>
      </c>
      <c r="AC4" s="97" t="s">
        <v>122</v>
      </c>
      <c r="AD4" s="98" t="s">
        <v>173</v>
      </c>
      <c r="AE4" s="144" t="s">
        <v>210</v>
      </c>
      <c r="AF4" s="94" t="s">
        <v>169</v>
      </c>
      <c r="AG4" s="95" t="s">
        <v>172</v>
      </c>
      <c r="AH4" s="96" t="s">
        <v>101</v>
      </c>
      <c r="AI4" s="97" t="s">
        <v>122</v>
      </c>
      <c r="AJ4" s="98" t="s">
        <v>173</v>
      </c>
      <c r="AK4" s="144" t="s">
        <v>210</v>
      </c>
      <c r="AL4" s="94" t="s">
        <v>169</v>
      </c>
      <c r="AM4" s="95" t="s">
        <v>172</v>
      </c>
      <c r="AN4" s="96" t="s">
        <v>101</v>
      </c>
      <c r="AO4" s="97" t="s">
        <v>122</v>
      </c>
      <c r="AP4" s="98" t="s">
        <v>173</v>
      </c>
      <c r="AQ4" s="144" t="s">
        <v>210</v>
      </c>
      <c r="AR4" s="94" t="s">
        <v>169</v>
      </c>
      <c r="AS4" s="95" t="s">
        <v>172</v>
      </c>
      <c r="AT4" s="96" t="s">
        <v>101</v>
      </c>
      <c r="AU4" s="97" t="s">
        <v>122</v>
      </c>
      <c r="AV4" s="98" t="s">
        <v>173</v>
      </c>
      <c r="AW4" s="144" t="s">
        <v>210</v>
      </c>
    </row>
    <row r="5" spans="1:50" ht="14.25" x14ac:dyDescent="0.15">
      <c r="A5" s="26" t="s">
        <v>59</v>
      </c>
      <c r="B5" s="103">
        <f t="shared" ref="B5:K5" si="0">COUNT(B6:B83)</f>
        <v>3</v>
      </c>
      <c r="C5" s="103">
        <f t="shared" si="0"/>
        <v>7</v>
      </c>
      <c r="D5" s="105">
        <f t="shared" si="0"/>
        <v>6</v>
      </c>
      <c r="E5" s="106">
        <f t="shared" si="0"/>
        <v>5</v>
      </c>
      <c r="F5" s="107">
        <f t="shared" si="0"/>
        <v>6</v>
      </c>
      <c r="G5" s="155">
        <f>COUNT(G6:G84)</f>
        <v>5</v>
      </c>
      <c r="H5" s="103">
        <f t="shared" si="0"/>
        <v>5</v>
      </c>
      <c r="I5" s="108">
        <f t="shared" si="0"/>
        <v>6</v>
      </c>
      <c r="J5" s="105">
        <f t="shared" si="0"/>
        <v>3</v>
      </c>
      <c r="K5" s="106">
        <f t="shared" si="0"/>
        <v>3</v>
      </c>
      <c r="L5" s="107">
        <f>COUNT(L6:L84)</f>
        <v>4</v>
      </c>
      <c r="M5" s="155">
        <f>COUNT(M6:M84)</f>
        <v>7</v>
      </c>
      <c r="N5" s="103">
        <f>COUNT(N6:N83)</f>
        <v>4</v>
      </c>
      <c r="O5" s="108">
        <f>COUNT(O6:O83)</f>
        <v>4</v>
      </c>
      <c r="P5" s="105">
        <f>COUNT(P6:P83)</f>
        <v>2</v>
      </c>
      <c r="Q5" s="106">
        <f>COUNT(Q6:Q83)</f>
        <v>3</v>
      </c>
      <c r="R5" s="107">
        <f>COUNT(R6:R84)</f>
        <v>4</v>
      </c>
      <c r="S5" s="155">
        <f>COUNT(S6:S84)</f>
        <v>3</v>
      </c>
      <c r="T5" s="103">
        <f>COUNT(T6:T83)</f>
        <v>2</v>
      </c>
      <c r="U5" s="108">
        <f>COUNT(U6:U83)</f>
        <v>1</v>
      </c>
      <c r="V5" s="105">
        <f>COUNT(V6:V83)</f>
        <v>1</v>
      </c>
      <c r="W5" s="106">
        <v>0</v>
      </c>
      <c r="X5" s="107">
        <f>COUNT(X6:X84)</f>
        <v>2</v>
      </c>
      <c r="Y5" s="155">
        <f t="shared" ref="Y5" si="1">COUNT(Y6:Y83)</f>
        <v>1</v>
      </c>
      <c r="Z5" s="103">
        <f>COUNT(Z6:Z83)</f>
        <v>6</v>
      </c>
      <c r="AA5" s="108">
        <f>COUNT(AA6:AA83)</f>
        <v>5</v>
      </c>
      <c r="AB5" s="105">
        <f>COUNT(AB6:AB83)</f>
        <v>5</v>
      </c>
      <c r="AC5" s="106">
        <f>COUNT(AC6:AC83)</f>
        <v>6</v>
      </c>
      <c r="AD5" s="107">
        <f>COUNT(AD6:AD84)</f>
        <v>6</v>
      </c>
      <c r="AE5" s="155">
        <f t="shared" ref="AE5" si="2">COUNT(AE6:AE83)</f>
        <v>6</v>
      </c>
      <c r="AF5" s="103">
        <f>COUNT(AF6:AF83)</f>
        <v>9</v>
      </c>
      <c r="AG5" s="108">
        <f>COUNT(AG6:AG83)</f>
        <v>8</v>
      </c>
      <c r="AH5" s="105">
        <f>COUNT(AH6:AH83)</f>
        <v>8</v>
      </c>
      <c r="AI5" s="106">
        <f>COUNT(AI6:AI83)</f>
        <v>8</v>
      </c>
      <c r="AJ5" s="107">
        <f>COUNT(AJ6:AJ84)</f>
        <v>9</v>
      </c>
      <c r="AK5" s="155">
        <f t="shared" ref="AK5" si="3">COUNT(AK6:AK83)</f>
        <v>6</v>
      </c>
      <c r="AL5" s="103">
        <f>COUNT(AL6:AL83)</f>
        <v>8</v>
      </c>
      <c r="AM5" s="108">
        <f>COUNT(AM6:AM83)</f>
        <v>4</v>
      </c>
      <c r="AN5" s="105">
        <f>COUNT(AN6:AN83)</f>
        <v>8</v>
      </c>
      <c r="AO5" s="106">
        <f>COUNT(AO6:AO83)</f>
        <v>9</v>
      </c>
      <c r="AP5" s="107">
        <f>COUNT(AP6:AP84)</f>
        <v>10</v>
      </c>
      <c r="AQ5" s="155">
        <f t="shared" ref="AQ5" si="4">COUNT(AQ6:AQ83)</f>
        <v>11</v>
      </c>
      <c r="AR5" s="103">
        <f>COUNT(AR6:AR83)</f>
        <v>4</v>
      </c>
      <c r="AS5" s="108">
        <f>COUNT(AS6:AS83)</f>
        <v>4</v>
      </c>
      <c r="AT5" s="105">
        <f>COUNT(AT6:AT83)</f>
        <v>7</v>
      </c>
      <c r="AU5" s="106">
        <f>COUNT(AU6:AU83)</f>
        <v>7</v>
      </c>
      <c r="AV5" s="107">
        <f>COUNT(AV6:AV84)</f>
        <v>5</v>
      </c>
      <c r="AW5" s="155">
        <v>5</v>
      </c>
      <c r="AX5" t="s">
        <v>240</v>
      </c>
    </row>
    <row r="6" spans="1:50" x14ac:dyDescent="0.15">
      <c r="A6" s="27" t="s">
        <v>60</v>
      </c>
      <c r="B6" s="114"/>
      <c r="C6" s="115"/>
      <c r="D6" s="111"/>
      <c r="E6" s="112"/>
      <c r="F6" s="113"/>
      <c r="G6" s="145"/>
      <c r="H6" s="114"/>
      <c r="I6" s="115"/>
      <c r="J6" s="111"/>
      <c r="K6" s="112"/>
      <c r="L6" s="113"/>
      <c r="M6" s="145"/>
      <c r="N6" s="114"/>
      <c r="O6" s="115"/>
      <c r="P6" s="111"/>
      <c r="Q6" s="112"/>
      <c r="R6" s="113"/>
      <c r="S6" s="145"/>
      <c r="T6" s="114"/>
      <c r="U6" s="115"/>
      <c r="V6" s="111"/>
      <c r="W6" s="112"/>
      <c r="X6" s="113"/>
      <c r="Y6" s="145"/>
      <c r="Z6" s="114"/>
      <c r="AA6" s="115"/>
      <c r="AB6" s="111"/>
      <c r="AC6" s="112"/>
      <c r="AD6" s="113"/>
      <c r="AE6" s="145"/>
      <c r="AF6" s="114"/>
      <c r="AG6" s="115"/>
      <c r="AH6" s="111"/>
      <c r="AI6" s="112"/>
      <c r="AJ6" s="113"/>
      <c r="AK6" s="145"/>
      <c r="AL6" s="114"/>
      <c r="AM6" s="115"/>
      <c r="AN6" s="111"/>
      <c r="AO6" s="112"/>
      <c r="AP6" s="113"/>
      <c r="AQ6" s="145"/>
      <c r="AR6" s="114"/>
      <c r="AS6" s="115"/>
      <c r="AT6" s="111"/>
      <c r="AU6" s="112"/>
      <c r="AV6" s="113"/>
      <c r="AW6" s="145"/>
      <c r="AX6">
        <f>COUNTA(B6:AW6)</f>
        <v>0</v>
      </c>
    </row>
    <row r="7" spans="1:50" x14ac:dyDescent="0.15">
      <c r="A7" s="27" t="s">
        <v>105</v>
      </c>
      <c r="B7" s="114"/>
      <c r="C7" s="115"/>
      <c r="D7" s="111"/>
      <c r="E7" s="112"/>
      <c r="F7" s="113"/>
      <c r="G7" s="145"/>
      <c r="H7" s="114"/>
      <c r="I7" s="115"/>
      <c r="J7" s="111"/>
      <c r="K7" s="112"/>
      <c r="L7" s="113"/>
      <c r="M7" s="145"/>
      <c r="N7" s="114"/>
      <c r="O7" s="115"/>
      <c r="P7" s="116"/>
      <c r="Q7" s="117"/>
      <c r="R7" s="118"/>
      <c r="S7" s="146"/>
      <c r="T7" s="114"/>
      <c r="U7" s="115"/>
      <c r="V7" s="111"/>
      <c r="W7" s="112"/>
      <c r="X7" s="113"/>
      <c r="Y7" s="145"/>
      <c r="Z7" s="114"/>
      <c r="AA7" s="129"/>
      <c r="AB7" s="111"/>
      <c r="AC7" s="117"/>
      <c r="AD7" s="118"/>
      <c r="AE7" s="146"/>
      <c r="AF7" s="114"/>
      <c r="AG7" s="115"/>
      <c r="AH7" s="116"/>
      <c r="AI7" s="117"/>
      <c r="AJ7" s="118"/>
      <c r="AK7" s="146"/>
      <c r="AL7" s="114"/>
      <c r="AM7" s="115"/>
      <c r="AN7" s="111"/>
      <c r="AO7" s="117"/>
      <c r="AP7" s="118"/>
      <c r="AQ7" s="146"/>
      <c r="AR7" s="114"/>
      <c r="AS7" s="115"/>
      <c r="AT7" s="111"/>
      <c r="AU7" s="112"/>
      <c r="AV7" s="113"/>
      <c r="AW7" s="145"/>
      <c r="AX7">
        <f t="shared" ref="AX7:AX70" si="5">COUNTA(B7:AW7)</f>
        <v>0</v>
      </c>
    </row>
    <row r="8" spans="1:50" x14ac:dyDescent="0.15">
      <c r="A8" s="2" t="s">
        <v>43</v>
      </c>
      <c r="B8" s="114"/>
      <c r="C8" s="115"/>
      <c r="D8" s="111"/>
      <c r="E8" s="112"/>
      <c r="F8" s="113"/>
      <c r="G8" s="145"/>
      <c r="H8" s="114"/>
      <c r="I8" s="115"/>
      <c r="J8" s="111"/>
      <c r="K8" s="112"/>
      <c r="L8" s="113"/>
      <c r="M8" s="145">
        <v>1</v>
      </c>
      <c r="N8" s="114"/>
      <c r="O8" s="115"/>
      <c r="P8" s="111"/>
      <c r="Q8" s="112"/>
      <c r="R8" s="113"/>
      <c r="S8" s="145"/>
      <c r="T8" s="114"/>
      <c r="U8" s="115"/>
      <c r="V8" s="111"/>
      <c r="W8" s="112"/>
      <c r="X8" s="113"/>
      <c r="Y8" s="145"/>
      <c r="Z8" s="114"/>
      <c r="AA8" s="115"/>
      <c r="AB8" s="111"/>
      <c r="AC8" s="112"/>
      <c r="AD8" s="113"/>
      <c r="AE8" s="145"/>
      <c r="AF8" s="114"/>
      <c r="AG8" s="115"/>
      <c r="AH8" s="111"/>
      <c r="AI8" s="112"/>
      <c r="AJ8" s="113"/>
      <c r="AK8" s="145"/>
      <c r="AL8" s="114"/>
      <c r="AM8" s="115"/>
      <c r="AN8" s="111"/>
      <c r="AO8" s="112"/>
      <c r="AP8" s="113"/>
      <c r="AQ8" s="145">
        <v>1</v>
      </c>
      <c r="AR8" s="114"/>
      <c r="AS8" s="115"/>
      <c r="AT8" s="111"/>
      <c r="AU8" s="112"/>
      <c r="AV8" s="113"/>
      <c r="AW8" s="145"/>
      <c r="AX8">
        <f t="shared" si="5"/>
        <v>2</v>
      </c>
    </row>
    <row r="9" spans="1:50" x14ac:dyDescent="0.15">
      <c r="A9" s="27" t="s">
        <v>53</v>
      </c>
      <c r="B9" s="114"/>
      <c r="C9" s="115"/>
      <c r="D9" s="111"/>
      <c r="E9" s="112"/>
      <c r="F9" s="113"/>
      <c r="G9" s="145"/>
      <c r="H9" s="114"/>
      <c r="I9" s="115"/>
      <c r="J9" s="111"/>
      <c r="K9" s="112"/>
      <c r="L9" s="113"/>
      <c r="M9" s="145"/>
      <c r="N9" s="114"/>
      <c r="O9" s="115"/>
      <c r="P9" s="111"/>
      <c r="Q9" s="112"/>
      <c r="R9" s="113"/>
      <c r="S9" s="145"/>
      <c r="T9" s="114"/>
      <c r="U9" s="115"/>
      <c r="V9" s="111"/>
      <c r="W9" s="112"/>
      <c r="X9" s="113"/>
      <c r="Y9" s="145"/>
      <c r="Z9" s="114"/>
      <c r="AA9" s="115"/>
      <c r="AB9" s="111"/>
      <c r="AC9" s="112"/>
      <c r="AD9" s="113"/>
      <c r="AE9" s="145"/>
      <c r="AF9" s="114"/>
      <c r="AG9" s="115"/>
      <c r="AH9" s="111"/>
      <c r="AI9" s="112"/>
      <c r="AJ9" s="113"/>
      <c r="AK9" s="145"/>
      <c r="AL9" s="114"/>
      <c r="AM9" s="115"/>
      <c r="AN9" s="111"/>
      <c r="AO9" s="112"/>
      <c r="AP9" s="113"/>
      <c r="AQ9" s="145"/>
      <c r="AR9" s="114"/>
      <c r="AS9" s="115"/>
      <c r="AT9" s="111"/>
      <c r="AU9" s="112"/>
      <c r="AV9" s="113"/>
      <c r="AW9" s="145"/>
      <c r="AX9">
        <f t="shared" si="5"/>
        <v>0</v>
      </c>
    </row>
    <row r="10" spans="1:50" x14ac:dyDescent="0.15">
      <c r="A10" s="2" t="s">
        <v>12</v>
      </c>
      <c r="C10" s="21">
        <v>1</v>
      </c>
      <c r="D10" s="128">
        <v>1</v>
      </c>
      <c r="E10" s="54">
        <v>1</v>
      </c>
      <c r="F10" s="64">
        <v>1</v>
      </c>
      <c r="G10" s="69">
        <v>1</v>
      </c>
      <c r="H10">
        <v>2</v>
      </c>
      <c r="I10" s="21">
        <v>2</v>
      </c>
      <c r="J10" s="128">
        <v>2</v>
      </c>
      <c r="K10" s="54">
        <v>1</v>
      </c>
      <c r="L10" s="64">
        <v>1</v>
      </c>
      <c r="M10" s="69">
        <v>1</v>
      </c>
      <c r="N10">
        <v>1</v>
      </c>
      <c r="O10" s="21">
        <v>1</v>
      </c>
      <c r="P10" s="128"/>
      <c r="Q10" s="54">
        <v>1</v>
      </c>
      <c r="R10" s="64"/>
      <c r="S10" s="69">
        <v>1</v>
      </c>
      <c r="U10" s="21"/>
      <c r="V10" s="128"/>
      <c r="W10" s="54"/>
      <c r="X10" s="64"/>
      <c r="Y10" s="69"/>
      <c r="Z10">
        <v>3</v>
      </c>
      <c r="AA10" s="21">
        <v>2</v>
      </c>
      <c r="AB10" s="128">
        <v>2</v>
      </c>
      <c r="AC10" s="54">
        <v>2</v>
      </c>
      <c r="AD10" s="64">
        <v>1</v>
      </c>
      <c r="AE10" s="69">
        <v>1</v>
      </c>
      <c r="AF10">
        <v>2</v>
      </c>
      <c r="AG10" s="21">
        <v>1</v>
      </c>
      <c r="AH10" s="128"/>
      <c r="AI10" s="54">
        <v>2</v>
      </c>
      <c r="AJ10" s="64">
        <v>2</v>
      </c>
      <c r="AK10" s="69">
        <v>1</v>
      </c>
      <c r="AM10" s="21"/>
      <c r="AN10" s="128"/>
      <c r="AO10" s="54">
        <v>1</v>
      </c>
      <c r="AP10" s="64">
        <v>1</v>
      </c>
      <c r="AQ10" s="69">
        <v>1</v>
      </c>
      <c r="AS10" s="21"/>
      <c r="AT10" s="128"/>
      <c r="AU10" s="54"/>
      <c r="AV10" s="64"/>
      <c r="AW10" s="69"/>
      <c r="AX10">
        <f t="shared" si="5"/>
        <v>29</v>
      </c>
    </row>
    <row r="11" spans="1:50" x14ac:dyDescent="0.15">
      <c r="A11" s="2" t="s">
        <v>93</v>
      </c>
      <c r="C11" s="21"/>
      <c r="D11" s="128"/>
      <c r="E11" s="54"/>
      <c r="F11" s="64"/>
      <c r="G11" s="69"/>
      <c r="I11" s="21"/>
      <c r="J11" s="128"/>
      <c r="K11" s="54"/>
      <c r="L11" s="64"/>
      <c r="M11" s="69"/>
      <c r="O11" s="21"/>
      <c r="P11" s="128"/>
      <c r="Q11" s="54"/>
      <c r="R11" s="64"/>
      <c r="S11" s="69"/>
      <c r="U11" s="21"/>
      <c r="V11" s="128"/>
      <c r="W11" s="54"/>
      <c r="X11" s="64"/>
      <c r="Y11" s="69"/>
      <c r="AA11" s="21"/>
      <c r="AB11" s="128"/>
      <c r="AC11" s="54"/>
      <c r="AD11" s="64"/>
      <c r="AE11" s="69"/>
      <c r="AG11" s="21"/>
      <c r="AH11" s="128"/>
      <c r="AI11" s="54"/>
      <c r="AJ11" s="64"/>
      <c r="AK11" s="69"/>
      <c r="AM11" s="21"/>
      <c r="AN11" s="128"/>
      <c r="AO11" s="54"/>
      <c r="AP11" s="64"/>
      <c r="AQ11" s="69"/>
      <c r="AS11" s="21"/>
      <c r="AT11" s="128"/>
      <c r="AU11" s="54"/>
      <c r="AV11" s="64"/>
      <c r="AW11" s="69"/>
      <c r="AX11">
        <f t="shared" si="5"/>
        <v>0</v>
      </c>
    </row>
    <row r="12" spans="1:50" x14ac:dyDescent="0.15">
      <c r="A12" s="2" t="s">
        <v>33</v>
      </c>
      <c r="C12" s="21"/>
      <c r="D12" s="128"/>
      <c r="E12" s="54"/>
      <c r="F12" s="64"/>
      <c r="G12" s="69"/>
      <c r="I12" s="21"/>
      <c r="J12" s="128"/>
      <c r="K12" s="54"/>
      <c r="L12" s="64"/>
      <c r="M12" s="69"/>
      <c r="O12" s="21"/>
      <c r="P12" s="128"/>
      <c r="Q12" s="54"/>
      <c r="R12" s="64"/>
      <c r="S12" s="69"/>
      <c r="U12" s="21"/>
      <c r="V12" s="128"/>
      <c r="W12" s="54"/>
      <c r="X12" s="64"/>
      <c r="Y12" s="69"/>
      <c r="AA12" s="21"/>
      <c r="AB12" s="128"/>
      <c r="AC12" s="54"/>
      <c r="AD12" s="64"/>
      <c r="AE12" s="69"/>
      <c r="AG12" s="21"/>
      <c r="AH12" s="128"/>
      <c r="AI12" s="54"/>
      <c r="AJ12" s="64"/>
      <c r="AK12" s="69"/>
      <c r="AM12" s="21"/>
      <c r="AN12" s="128"/>
      <c r="AO12" s="54"/>
      <c r="AP12" s="64"/>
      <c r="AQ12" s="69"/>
      <c r="AS12" s="21"/>
      <c r="AT12" s="128"/>
      <c r="AU12" s="54"/>
      <c r="AV12" s="64"/>
      <c r="AW12" s="69"/>
      <c r="AX12">
        <f t="shared" si="5"/>
        <v>0</v>
      </c>
    </row>
    <row r="13" spans="1:50" x14ac:dyDescent="0.15">
      <c r="A13" s="2" t="s">
        <v>13</v>
      </c>
      <c r="C13" s="21"/>
      <c r="D13" s="128"/>
      <c r="E13" s="54"/>
      <c r="F13" s="64"/>
      <c r="G13" s="69"/>
      <c r="I13" s="21"/>
      <c r="J13" s="128"/>
      <c r="K13" s="54"/>
      <c r="L13" s="64"/>
      <c r="M13" s="69"/>
      <c r="O13" s="21"/>
      <c r="P13" s="128"/>
      <c r="Q13" s="54"/>
      <c r="R13" s="64"/>
      <c r="S13" s="69"/>
      <c r="U13" s="21"/>
      <c r="V13" s="128"/>
      <c r="W13" s="54"/>
      <c r="X13" s="64"/>
      <c r="Y13" s="69"/>
      <c r="AA13" s="21"/>
      <c r="AB13" s="128"/>
      <c r="AC13" s="54"/>
      <c r="AD13" s="64"/>
      <c r="AE13" s="69"/>
      <c r="AG13" s="21"/>
      <c r="AH13" s="128"/>
      <c r="AI13" s="54"/>
      <c r="AJ13" s="64"/>
      <c r="AK13" s="69"/>
      <c r="AM13" s="21"/>
      <c r="AN13" s="128"/>
      <c r="AO13" s="54"/>
      <c r="AP13" s="64"/>
      <c r="AQ13" s="69"/>
      <c r="AS13" s="21"/>
      <c r="AT13" s="128"/>
      <c r="AU13" s="54"/>
      <c r="AV13" s="64"/>
      <c r="AW13" s="69"/>
      <c r="AX13">
        <f t="shared" si="5"/>
        <v>0</v>
      </c>
    </row>
    <row r="14" spans="1:50" x14ac:dyDescent="0.15">
      <c r="A14" s="2" t="s">
        <v>190</v>
      </c>
      <c r="C14" s="21"/>
      <c r="D14" s="128"/>
      <c r="E14" s="54"/>
      <c r="F14" s="64"/>
      <c r="G14" s="69"/>
      <c r="I14" s="21"/>
      <c r="J14" s="128"/>
      <c r="K14" s="54"/>
      <c r="L14" s="64"/>
      <c r="M14" s="69"/>
      <c r="O14" s="21"/>
      <c r="P14" s="128"/>
      <c r="Q14" s="54"/>
      <c r="R14" s="64"/>
      <c r="S14" s="69"/>
      <c r="U14" s="21"/>
      <c r="V14" s="128"/>
      <c r="W14" s="54"/>
      <c r="X14" s="64"/>
      <c r="Y14" s="69"/>
      <c r="AA14" s="21"/>
      <c r="AB14" s="128"/>
      <c r="AC14" s="54"/>
      <c r="AD14" s="64"/>
      <c r="AE14" s="69"/>
      <c r="AG14" s="21"/>
      <c r="AH14" s="128"/>
      <c r="AI14" s="54"/>
      <c r="AJ14" s="64"/>
      <c r="AK14" s="69"/>
      <c r="AM14" s="21"/>
      <c r="AN14" s="128"/>
      <c r="AO14" s="54"/>
      <c r="AP14" s="64"/>
      <c r="AQ14" s="69"/>
      <c r="AS14" s="21"/>
      <c r="AT14" s="128"/>
      <c r="AU14" s="54"/>
      <c r="AV14" s="64"/>
      <c r="AW14" s="69"/>
      <c r="AX14">
        <f t="shared" si="5"/>
        <v>0</v>
      </c>
    </row>
    <row r="15" spans="1:50" x14ac:dyDescent="0.15">
      <c r="A15" s="2" t="s">
        <v>14</v>
      </c>
      <c r="C15" s="21"/>
      <c r="D15" s="128"/>
      <c r="E15" s="54"/>
      <c r="F15" s="64"/>
      <c r="G15" s="69"/>
      <c r="I15" s="21"/>
      <c r="J15" s="128"/>
      <c r="K15" s="54"/>
      <c r="L15" s="64"/>
      <c r="M15" s="69"/>
      <c r="O15" s="21"/>
      <c r="P15" s="128"/>
      <c r="Q15" s="54"/>
      <c r="R15" s="64"/>
      <c r="S15" s="69"/>
      <c r="U15" s="21"/>
      <c r="V15" s="128"/>
      <c r="W15" s="54"/>
      <c r="X15" s="64"/>
      <c r="Y15" s="69"/>
      <c r="AA15" s="21"/>
      <c r="AB15" s="128"/>
      <c r="AC15" s="54">
        <v>1</v>
      </c>
      <c r="AD15" s="64"/>
      <c r="AE15" s="69"/>
      <c r="AG15" s="21"/>
      <c r="AH15" s="128"/>
      <c r="AI15" s="54"/>
      <c r="AJ15" s="64"/>
      <c r="AK15" s="69"/>
      <c r="AL15">
        <v>1</v>
      </c>
      <c r="AM15" s="21"/>
      <c r="AN15" s="128"/>
      <c r="AO15" s="54"/>
      <c r="AP15" s="64"/>
      <c r="AQ15" s="69"/>
      <c r="AR15">
        <v>1</v>
      </c>
      <c r="AS15" s="21"/>
      <c r="AT15" s="128">
        <v>1</v>
      </c>
      <c r="AU15" s="54">
        <v>1</v>
      </c>
      <c r="AV15" s="64"/>
      <c r="AW15" s="69">
        <v>1</v>
      </c>
      <c r="AX15">
        <f t="shared" si="5"/>
        <v>6</v>
      </c>
    </row>
    <row r="16" spans="1:50" x14ac:dyDescent="0.15">
      <c r="A16" s="2" t="s">
        <v>26</v>
      </c>
      <c r="C16" s="21"/>
      <c r="D16" s="128"/>
      <c r="E16" s="54"/>
      <c r="F16" s="64"/>
      <c r="G16" s="69"/>
      <c r="I16" s="21"/>
      <c r="J16" s="128"/>
      <c r="K16" s="54"/>
      <c r="L16" s="64"/>
      <c r="M16" s="69"/>
      <c r="O16" s="21"/>
      <c r="P16" s="128"/>
      <c r="Q16" s="54"/>
      <c r="R16" s="64"/>
      <c r="S16" s="69"/>
      <c r="U16" s="21"/>
      <c r="V16" s="128"/>
      <c r="W16" s="54"/>
      <c r="X16" s="64"/>
      <c r="Y16" s="69"/>
      <c r="AA16" s="21"/>
      <c r="AB16" s="128"/>
      <c r="AC16" s="54"/>
      <c r="AD16" s="64"/>
      <c r="AE16" s="69"/>
      <c r="AF16">
        <v>1</v>
      </c>
      <c r="AG16" s="21"/>
      <c r="AH16" s="128"/>
      <c r="AI16" s="54"/>
      <c r="AJ16" s="64"/>
      <c r="AK16" s="69"/>
      <c r="AM16" s="21"/>
      <c r="AN16" s="128"/>
      <c r="AO16" s="54"/>
      <c r="AP16" s="64"/>
      <c r="AQ16" s="69"/>
      <c r="AS16" s="21"/>
      <c r="AT16" s="128"/>
      <c r="AU16" s="54"/>
      <c r="AV16" s="64"/>
      <c r="AW16" s="69"/>
      <c r="AX16">
        <f t="shared" si="5"/>
        <v>1</v>
      </c>
    </row>
    <row r="17" spans="1:50" x14ac:dyDescent="0.15">
      <c r="A17" s="2" t="s">
        <v>51</v>
      </c>
      <c r="C17" s="21"/>
      <c r="D17" s="128"/>
      <c r="E17" s="54"/>
      <c r="F17" s="64"/>
      <c r="G17" s="69"/>
      <c r="I17" s="21"/>
      <c r="J17" s="128"/>
      <c r="K17" s="54"/>
      <c r="L17" s="64"/>
      <c r="M17" s="69"/>
      <c r="O17" s="21"/>
      <c r="P17" s="128"/>
      <c r="Q17" s="54"/>
      <c r="R17" s="64"/>
      <c r="S17" s="69"/>
      <c r="U17" s="21"/>
      <c r="V17" s="128"/>
      <c r="W17" s="54"/>
      <c r="X17" s="64"/>
      <c r="Y17" s="69"/>
      <c r="AA17" s="21"/>
      <c r="AB17" s="128"/>
      <c r="AC17" s="54"/>
      <c r="AD17" s="64"/>
      <c r="AE17" s="69"/>
      <c r="AG17" s="21"/>
      <c r="AH17" s="128"/>
      <c r="AI17" s="54"/>
      <c r="AJ17" s="64"/>
      <c r="AK17" s="69"/>
      <c r="AM17" s="21"/>
      <c r="AN17" s="128"/>
      <c r="AO17" s="54"/>
      <c r="AP17" s="64"/>
      <c r="AQ17" s="69"/>
      <c r="AS17" s="21"/>
      <c r="AT17" s="128">
        <v>1</v>
      </c>
      <c r="AU17" s="54">
        <v>1</v>
      </c>
      <c r="AV17" s="64">
        <v>1</v>
      </c>
      <c r="AW17" s="69">
        <v>1</v>
      </c>
      <c r="AX17">
        <f t="shared" si="5"/>
        <v>4</v>
      </c>
    </row>
    <row r="18" spans="1:50" x14ac:dyDescent="0.15">
      <c r="A18" s="2" t="s">
        <v>44</v>
      </c>
      <c r="C18" s="21">
        <v>1</v>
      </c>
      <c r="D18" s="128"/>
      <c r="E18" s="54"/>
      <c r="F18" s="64">
        <v>1</v>
      </c>
      <c r="G18" s="69"/>
      <c r="I18" s="21">
        <v>1</v>
      </c>
      <c r="J18" s="128"/>
      <c r="K18" s="54"/>
      <c r="L18" s="64"/>
      <c r="M18" s="69"/>
      <c r="O18" s="21">
        <v>1</v>
      </c>
      <c r="P18" s="128"/>
      <c r="Q18" s="54"/>
      <c r="R18" s="64">
        <v>1</v>
      </c>
      <c r="S18" s="69"/>
      <c r="U18" s="21"/>
      <c r="V18" s="128"/>
      <c r="W18" s="54"/>
      <c r="X18" s="64"/>
      <c r="Y18" s="69"/>
      <c r="AA18" s="21"/>
      <c r="AB18" s="128"/>
      <c r="AC18" s="54">
        <v>2</v>
      </c>
      <c r="AD18" s="64">
        <v>2</v>
      </c>
      <c r="AE18" s="69">
        <v>2</v>
      </c>
      <c r="AF18">
        <v>2</v>
      </c>
      <c r="AG18" s="21">
        <v>2</v>
      </c>
      <c r="AH18" s="128">
        <v>2</v>
      </c>
      <c r="AI18" s="54">
        <v>2</v>
      </c>
      <c r="AJ18" s="64">
        <v>2</v>
      </c>
      <c r="AK18" s="69">
        <v>2</v>
      </c>
      <c r="AM18" s="21"/>
      <c r="AN18" s="128">
        <v>1</v>
      </c>
      <c r="AO18" s="54">
        <v>1</v>
      </c>
      <c r="AP18" s="64">
        <v>1</v>
      </c>
      <c r="AQ18" s="69">
        <v>1</v>
      </c>
      <c r="AS18" s="21"/>
      <c r="AT18" s="128"/>
      <c r="AU18" s="54"/>
      <c r="AV18" s="64"/>
      <c r="AW18" s="69"/>
      <c r="AX18">
        <f t="shared" si="5"/>
        <v>18</v>
      </c>
    </row>
    <row r="19" spans="1:50" x14ac:dyDescent="0.15">
      <c r="A19" s="2" t="s">
        <v>4</v>
      </c>
      <c r="C19" s="21"/>
      <c r="D19" s="128"/>
      <c r="E19" s="54"/>
      <c r="F19" s="64"/>
      <c r="G19" s="69"/>
      <c r="I19" s="21"/>
      <c r="J19" s="128"/>
      <c r="K19" s="54"/>
      <c r="L19" s="64"/>
      <c r="M19" s="69"/>
      <c r="N19">
        <v>1</v>
      </c>
      <c r="O19" s="21"/>
      <c r="P19" s="128"/>
      <c r="Q19" s="54"/>
      <c r="R19" s="64"/>
      <c r="S19" s="69"/>
      <c r="U19" s="21"/>
      <c r="V19" s="128"/>
      <c r="W19" s="54"/>
      <c r="X19" s="64"/>
      <c r="Y19" s="69"/>
      <c r="AA19" s="21"/>
      <c r="AB19" s="128"/>
      <c r="AC19" s="54"/>
      <c r="AD19" s="64"/>
      <c r="AE19" s="69"/>
      <c r="AF19">
        <v>1</v>
      </c>
      <c r="AG19" s="21"/>
      <c r="AH19" s="128"/>
      <c r="AI19" s="54">
        <v>1</v>
      </c>
      <c r="AJ19" s="64">
        <v>1</v>
      </c>
      <c r="AK19" s="69"/>
      <c r="AL19">
        <v>1</v>
      </c>
      <c r="AM19" s="21"/>
      <c r="AN19" s="128"/>
      <c r="AO19" s="54"/>
      <c r="AP19" s="64">
        <v>1</v>
      </c>
      <c r="AQ19" s="69">
        <v>1</v>
      </c>
      <c r="AS19" s="21"/>
      <c r="AT19" s="128"/>
      <c r="AU19" s="54"/>
      <c r="AV19" s="64"/>
      <c r="AW19" s="69"/>
      <c r="AX19">
        <f t="shared" si="5"/>
        <v>7</v>
      </c>
    </row>
    <row r="20" spans="1:50" x14ac:dyDescent="0.15">
      <c r="A20" s="2" t="s">
        <v>232</v>
      </c>
      <c r="C20" s="21"/>
      <c r="D20" s="128"/>
      <c r="E20" s="54"/>
      <c r="F20" s="64"/>
      <c r="G20" s="69"/>
      <c r="I20" s="21"/>
      <c r="J20" s="128"/>
      <c r="K20" s="54"/>
      <c r="L20" s="64"/>
      <c r="M20" s="69"/>
      <c r="O20" s="21"/>
      <c r="P20" s="128"/>
      <c r="Q20" s="54"/>
      <c r="R20" s="64"/>
      <c r="S20" s="69"/>
      <c r="U20" s="21"/>
      <c r="V20" s="128"/>
      <c r="W20" s="54"/>
      <c r="X20" s="64"/>
      <c r="Y20" s="69"/>
      <c r="AA20" s="21"/>
      <c r="AB20" s="128"/>
      <c r="AC20" s="54"/>
      <c r="AD20" s="64"/>
      <c r="AE20" s="69"/>
      <c r="AG20" s="21"/>
      <c r="AH20" s="128"/>
      <c r="AI20" s="54"/>
      <c r="AJ20" s="64"/>
      <c r="AK20" s="69"/>
      <c r="AM20" s="21"/>
      <c r="AN20" s="128"/>
      <c r="AO20" s="54"/>
      <c r="AP20" s="64"/>
      <c r="AQ20" s="69"/>
      <c r="AS20" s="21"/>
      <c r="AT20" s="128"/>
      <c r="AU20" s="54"/>
      <c r="AV20" s="64"/>
      <c r="AW20" s="69"/>
      <c r="AX20">
        <f t="shared" si="5"/>
        <v>0</v>
      </c>
    </row>
    <row r="21" spans="1:50" x14ac:dyDescent="0.15">
      <c r="A21" s="2" t="s">
        <v>15</v>
      </c>
      <c r="C21" s="21"/>
      <c r="D21" s="128"/>
      <c r="E21" s="54"/>
      <c r="F21" s="64"/>
      <c r="G21" s="69"/>
      <c r="I21" s="21"/>
      <c r="J21" s="128"/>
      <c r="K21" s="54"/>
      <c r="L21" s="64"/>
      <c r="M21" s="69"/>
      <c r="O21" s="21"/>
      <c r="P21" s="128"/>
      <c r="Q21" s="54"/>
      <c r="R21" s="64"/>
      <c r="S21" s="69"/>
      <c r="U21" s="21"/>
      <c r="V21" s="128"/>
      <c r="W21" s="54"/>
      <c r="X21" s="64"/>
      <c r="Y21" s="69"/>
      <c r="AA21" s="21"/>
      <c r="AB21" s="128"/>
      <c r="AC21" s="54"/>
      <c r="AD21" s="64"/>
      <c r="AE21" s="69"/>
      <c r="AG21" s="21"/>
      <c r="AH21" s="128"/>
      <c r="AI21" s="54"/>
      <c r="AJ21" s="64"/>
      <c r="AK21" s="69"/>
      <c r="AM21" s="21"/>
      <c r="AN21" s="128"/>
      <c r="AO21" s="54"/>
      <c r="AP21" s="64"/>
      <c r="AQ21" s="69"/>
      <c r="AS21" s="21"/>
      <c r="AT21" s="128"/>
      <c r="AU21" s="54"/>
      <c r="AV21" s="64"/>
      <c r="AW21" s="69"/>
      <c r="AX21">
        <f t="shared" si="5"/>
        <v>0</v>
      </c>
    </row>
    <row r="22" spans="1:50" x14ac:dyDescent="0.15">
      <c r="A22" s="2" t="s">
        <v>5</v>
      </c>
      <c r="C22" s="21"/>
      <c r="D22" s="128"/>
      <c r="E22" s="54"/>
      <c r="F22" s="64"/>
      <c r="G22" s="69"/>
      <c r="H22">
        <v>1</v>
      </c>
      <c r="I22" s="21"/>
      <c r="J22" s="128"/>
      <c r="K22" s="54">
        <v>1</v>
      </c>
      <c r="L22" s="64"/>
      <c r="M22" s="69"/>
      <c r="O22" s="21"/>
      <c r="P22" s="128"/>
      <c r="Q22" s="54"/>
      <c r="R22" s="64"/>
      <c r="S22" s="69"/>
      <c r="U22" s="21"/>
      <c r="V22" s="128"/>
      <c r="W22" s="54"/>
      <c r="X22" s="64"/>
      <c r="Y22" s="69"/>
      <c r="AA22" s="21"/>
      <c r="AB22" s="128"/>
      <c r="AC22" s="54"/>
      <c r="AD22" s="64"/>
      <c r="AE22" s="69"/>
      <c r="AF22">
        <v>3</v>
      </c>
      <c r="AG22" s="21">
        <v>3</v>
      </c>
      <c r="AH22" s="128">
        <v>3</v>
      </c>
      <c r="AI22" s="54">
        <v>2</v>
      </c>
      <c r="AJ22" s="64">
        <v>1</v>
      </c>
      <c r="AK22" s="69"/>
      <c r="AL22">
        <v>1</v>
      </c>
      <c r="AM22" s="21"/>
      <c r="AN22" s="128"/>
      <c r="AO22" s="54">
        <v>1</v>
      </c>
      <c r="AP22" s="64">
        <v>1</v>
      </c>
      <c r="AQ22" s="69">
        <v>1</v>
      </c>
      <c r="AR22">
        <v>1</v>
      </c>
      <c r="AS22" s="21">
        <v>1</v>
      </c>
      <c r="AT22" s="128">
        <v>1</v>
      </c>
      <c r="AU22" s="54">
        <v>1</v>
      </c>
      <c r="AV22" s="64">
        <v>1</v>
      </c>
      <c r="AW22" s="69">
        <v>1</v>
      </c>
      <c r="AX22">
        <f t="shared" si="5"/>
        <v>17</v>
      </c>
    </row>
    <row r="23" spans="1:50" x14ac:dyDescent="0.15">
      <c r="A23" s="2" t="s">
        <v>46</v>
      </c>
      <c r="C23" s="21"/>
      <c r="D23" s="128"/>
      <c r="E23" s="54"/>
      <c r="F23" s="64"/>
      <c r="G23" s="69"/>
      <c r="I23" s="21"/>
      <c r="J23" s="128"/>
      <c r="K23" s="54"/>
      <c r="L23" s="64"/>
      <c r="M23" s="69"/>
      <c r="O23" s="21"/>
      <c r="P23" s="128"/>
      <c r="Q23" s="54"/>
      <c r="R23" s="64">
        <v>1</v>
      </c>
      <c r="S23" s="69"/>
      <c r="U23" s="21"/>
      <c r="V23" s="128"/>
      <c r="W23" s="54"/>
      <c r="X23" s="64"/>
      <c r="Y23" s="69"/>
      <c r="Z23">
        <v>2</v>
      </c>
      <c r="AA23" s="21"/>
      <c r="AB23" s="128"/>
      <c r="AC23" s="54"/>
      <c r="AD23" s="64"/>
      <c r="AE23" s="69"/>
      <c r="AF23">
        <v>2</v>
      </c>
      <c r="AG23" s="21">
        <v>1</v>
      </c>
      <c r="AH23" s="128">
        <v>1</v>
      </c>
      <c r="AI23" s="54"/>
      <c r="AJ23" s="64"/>
      <c r="AK23" s="69"/>
      <c r="AM23" s="21">
        <v>1</v>
      </c>
      <c r="AN23" s="128">
        <v>1</v>
      </c>
      <c r="AO23" s="54">
        <v>1</v>
      </c>
      <c r="AP23" s="64">
        <v>1</v>
      </c>
      <c r="AQ23" s="69">
        <v>1</v>
      </c>
      <c r="AS23" s="21"/>
      <c r="AT23" s="128"/>
      <c r="AU23" s="54"/>
      <c r="AV23" s="64"/>
      <c r="AW23" s="69"/>
      <c r="AX23">
        <f t="shared" si="5"/>
        <v>10</v>
      </c>
    </row>
    <row r="24" spans="1:50" x14ac:dyDescent="0.15">
      <c r="A24" s="2" t="s">
        <v>228</v>
      </c>
      <c r="C24" s="21"/>
      <c r="D24" s="128"/>
      <c r="E24" s="54"/>
      <c r="F24" s="64"/>
      <c r="G24" s="69"/>
      <c r="I24" s="21"/>
      <c r="J24" s="128"/>
      <c r="K24" s="54"/>
      <c r="L24" s="64"/>
      <c r="M24" s="69"/>
      <c r="O24" s="21"/>
      <c r="P24" s="128"/>
      <c r="Q24" s="54"/>
      <c r="R24" s="64"/>
      <c r="S24" s="69"/>
      <c r="U24" s="21"/>
      <c r="V24" s="128"/>
      <c r="W24" s="54"/>
      <c r="X24" s="64"/>
      <c r="Y24" s="69"/>
      <c r="Z24">
        <v>1</v>
      </c>
      <c r="AA24" s="21">
        <v>1</v>
      </c>
      <c r="AB24" s="128">
        <v>1</v>
      </c>
      <c r="AC24" s="54">
        <v>1</v>
      </c>
      <c r="AD24" s="64"/>
      <c r="AE24" s="69"/>
      <c r="AG24" s="21"/>
      <c r="AH24" s="128"/>
      <c r="AI24" s="54"/>
      <c r="AJ24" s="64"/>
      <c r="AK24" s="69"/>
      <c r="AM24" s="21"/>
      <c r="AN24" s="128"/>
      <c r="AO24" s="54"/>
      <c r="AP24" s="64"/>
      <c r="AQ24" s="69"/>
      <c r="AS24" s="21"/>
      <c r="AT24" s="128"/>
      <c r="AU24" s="54"/>
      <c r="AV24" s="64"/>
      <c r="AW24" s="69"/>
      <c r="AX24">
        <f t="shared" si="5"/>
        <v>4</v>
      </c>
    </row>
    <row r="25" spans="1:50" x14ac:dyDescent="0.15">
      <c r="A25" s="5" t="s">
        <v>133</v>
      </c>
      <c r="C25" s="21"/>
      <c r="D25" s="128"/>
      <c r="E25" s="54"/>
      <c r="F25" s="64"/>
      <c r="G25" s="69"/>
      <c r="I25" s="21"/>
      <c r="J25" s="128"/>
      <c r="K25" s="54"/>
      <c r="L25" s="64"/>
      <c r="M25" s="69"/>
      <c r="O25" s="21"/>
      <c r="P25" s="128"/>
      <c r="Q25" s="54"/>
      <c r="R25" s="64"/>
      <c r="S25" s="69"/>
      <c r="U25" s="21"/>
      <c r="V25" s="128"/>
      <c r="W25" s="54"/>
      <c r="X25" s="64"/>
      <c r="Y25" s="69"/>
      <c r="AA25" s="21"/>
      <c r="AB25" s="128"/>
      <c r="AC25" s="54"/>
      <c r="AD25" s="64"/>
      <c r="AE25" s="69"/>
      <c r="AG25" s="21"/>
      <c r="AH25" s="128"/>
      <c r="AI25" s="54"/>
      <c r="AJ25" s="64"/>
      <c r="AK25" s="69"/>
      <c r="AM25" s="21"/>
      <c r="AN25" s="128"/>
      <c r="AO25" s="54"/>
      <c r="AP25" s="64"/>
      <c r="AQ25" s="69"/>
      <c r="AS25" s="21"/>
      <c r="AT25" s="128"/>
      <c r="AU25" s="54"/>
      <c r="AV25" s="64"/>
      <c r="AW25" s="69"/>
      <c r="AX25">
        <f t="shared" si="5"/>
        <v>0</v>
      </c>
    </row>
    <row r="26" spans="1:50" x14ac:dyDescent="0.15">
      <c r="A26" s="5" t="s">
        <v>212</v>
      </c>
      <c r="C26" s="21"/>
      <c r="D26" s="128"/>
      <c r="E26" s="54"/>
      <c r="F26" s="64"/>
      <c r="G26" s="69"/>
      <c r="I26" s="21"/>
      <c r="J26" s="128"/>
      <c r="K26" s="54"/>
      <c r="L26" s="64"/>
      <c r="M26" s="69"/>
      <c r="O26" s="21"/>
      <c r="P26" s="128"/>
      <c r="Q26" s="54"/>
      <c r="R26" s="64"/>
      <c r="S26" s="69"/>
      <c r="U26" s="21"/>
      <c r="V26" s="128"/>
      <c r="W26" s="54"/>
      <c r="X26" s="64"/>
      <c r="Y26" s="69"/>
      <c r="AA26" s="21"/>
      <c r="AB26" s="128"/>
      <c r="AC26" s="54"/>
      <c r="AD26" s="64"/>
      <c r="AE26" s="69"/>
      <c r="AG26" s="21"/>
      <c r="AH26" s="128"/>
      <c r="AI26" s="54"/>
      <c r="AJ26" s="64"/>
      <c r="AK26" s="69"/>
      <c r="AM26" s="21"/>
      <c r="AN26" s="128"/>
      <c r="AO26" s="54"/>
      <c r="AP26" s="64"/>
      <c r="AQ26" s="69"/>
      <c r="AS26" s="21"/>
      <c r="AT26" s="128"/>
      <c r="AU26" s="54"/>
      <c r="AV26" s="64"/>
      <c r="AW26" s="69">
        <v>1</v>
      </c>
      <c r="AX26">
        <f t="shared" si="5"/>
        <v>1</v>
      </c>
    </row>
    <row r="27" spans="1:50" x14ac:dyDescent="0.15">
      <c r="A27" s="2" t="s">
        <v>45</v>
      </c>
      <c r="C27" s="21"/>
      <c r="D27" s="128"/>
      <c r="E27" s="54"/>
      <c r="F27" s="64"/>
      <c r="G27" s="69"/>
      <c r="I27" s="21"/>
      <c r="J27" s="128"/>
      <c r="K27" s="54"/>
      <c r="L27" s="64"/>
      <c r="M27" s="69"/>
      <c r="O27" s="21"/>
      <c r="P27" s="128"/>
      <c r="Q27" s="54"/>
      <c r="R27" s="64"/>
      <c r="S27" s="69"/>
      <c r="U27" s="21"/>
      <c r="V27" s="128"/>
      <c r="W27" s="54"/>
      <c r="X27" s="64"/>
      <c r="Y27" s="69"/>
      <c r="AA27" s="21"/>
      <c r="AB27" s="128"/>
      <c r="AC27" s="54"/>
      <c r="AD27" s="64"/>
      <c r="AE27" s="69"/>
      <c r="AG27" s="21"/>
      <c r="AH27" s="128"/>
      <c r="AI27" s="54"/>
      <c r="AJ27" s="64"/>
      <c r="AK27" s="69"/>
      <c r="AM27" s="21"/>
      <c r="AN27" s="128"/>
      <c r="AO27" s="54"/>
      <c r="AP27" s="64"/>
      <c r="AQ27" s="69"/>
      <c r="AS27" s="21"/>
      <c r="AT27" s="128"/>
      <c r="AU27" s="54"/>
      <c r="AV27" s="64"/>
      <c r="AW27" s="69"/>
      <c r="AX27">
        <f t="shared" si="5"/>
        <v>0</v>
      </c>
    </row>
    <row r="28" spans="1:50" x14ac:dyDescent="0.15">
      <c r="A28" s="2" t="s">
        <v>16</v>
      </c>
      <c r="C28" s="21"/>
      <c r="D28" s="128"/>
      <c r="E28" s="54"/>
      <c r="F28" s="64"/>
      <c r="G28" s="69"/>
      <c r="I28" s="21"/>
      <c r="J28" s="128"/>
      <c r="K28" s="54"/>
      <c r="L28" s="64"/>
      <c r="M28" s="69"/>
      <c r="O28" s="21"/>
      <c r="P28" s="128"/>
      <c r="Q28" s="54"/>
      <c r="R28" s="64"/>
      <c r="S28" s="69"/>
      <c r="U28" s="21"/>
      <c r="V28" s="128"/>
      <c r="W28" s="54"/>
      <c r="X28" s="64"/>
      <c r="Y28" s="69"/>
      <c r="AA28" s="21"/>
      <c r="AB28" s="128"/>
      <c r="AC28" s="54"/>
      <c r="AD28" s="64"/>
      <c r="AE28" s="69"/>
      <c r="AG28" s="21"/>
      <c r="AH28" s="128"/>
      <c r="AI28" s="54"/>
      <c r="AJ28" s="64"/>
      <c r="AK28" s="69"/>
      <c r="AM28" s="21"/>
      <c r="AN28" s="128">
        <v>1</v>
      </c>
      <c r="AO28" s="54"/>
      <c r="AP28" s="64"/>
      <c r="AQ28" s="69"/>
      <c r="AS28" s="21"/>
      <c r="AT28" s="128"/>
      <c r="AU28" s="54"/>
      <c r="AV28" s="64"/>
      <c r="AW28" s="69"/>
      <c r="AX28">
        <f t="shared" si="5"/>
        <v>1</v>
      </c>
    </row>
    <row r="29" spans="1:50" x14ac:dyDescent="0.15">
      <c r="A29" s="2" t="s">
        <v>219</v>
      </c>
      <c r="C29" s="21"/>
      <c r="D29" s="128"/>
      <c r="E29" s="54"/>
      <c r="F29" s="64"/>
      <c r="G29" s="69"/>
      <c r="I29" s="21"/>
      <c r="J29" s="128"/>
      <c r="K29" s="54"/>
      <c r="L29" s="64"/>
      <c r="M29" s="69"/>
      <c r="O29" s="21"/>
      <c r="P29" s="128"/>
      <c r="Q29" s="54"/>
      <c r="R29" s="64"/>
      <c r="S29" s="69"/>
      <c r="U29" s="21"/>
      <c r="V29" s="128"/>
      <c r="W29" s="54"/>
      <c r="X29" s="64"/>
      <c r="Y29" s="69"/>
      <c r="AA29" s="21"/>
      <c r="AB29" s="128"/>
      <c r="AC29" s="54"/>
      <c r="AD29" s="64"/>
      <c r="AE29" s="69"/>
      <c r="AG29" s="21"/>
      <c r="AH29" s="128"/>
      <c r="AI29" s="54"/>
      <c r="AJ29" s="64"/>
      <c r="AK29" s="69"/>
      <c r="AM29" s="21"/>
      <c r="AN29" s="128"/>
      <c r="AO29" s="54"/>
      <c r="AP29" s="64"/>
      <c r="AQ29" s="69"/>
      <c r="AS29" s="21"/>
      <c r="AT29" s="128"/>
      <c r="AU29" s="54"/>
      <c r="AV29" s="64"/>
      <c r="AW29" s="69"/>
      <c r="AX29">
        <f t="shared" si="5"/>
        <v>0</v>
      </c>
    </row>
    <row r="30" spans="1:50" x14ac:dyDescent="0.15">
      <c r="A30" s="5" t="s">
        <v>70</v>
      </c>
      <c r="C30" s="21"/>
      <c r="D30" s="128"/>
      <c r="E30" s="54"/>
      <c r="F30" s="64"/>
      <c r="G30" s="69"/>
      <c r="I30" s="21"/>
      <c r="J30" s="128"/>
      <c r="K30" s="54"/>
      <c r="L30" s="64"/>
      <c r="M30" s="69"/>
      <c r="O30" s="21"/>
      <c r="P30" s="128"/>
      <c r="Q30" s="54"/>
      <c r="R30" s="64"/>
      <c r="S30" s="69"/>
      <c r="U30" s="21"/>
      <c r="V30" s="128"/>
      <c r="W30" s="54"/>
      <c r="X30" s="64"/>
      <c r="Y30" s="69"/>
      <c r="AA30" s="21"/>
      <c r="AB30" s="128"/>
      <c r="AC30" s="54"/>
      <c r="AD30" s="64"/>
      <c r="AE30" s="69"/>
      <c r="AG30" s="21"/>
      <c r="AH30" s="128"/>
      <c r="AI30" s="54"/>
      <c r="AJ30" s="64"/>
      <c r="AK30" s="69"/>
      <c r="AM30" s="21"/>
      <c r="AN30" s="128"/>
      <c r="AO30" s="54"/>
      <c r="AP30" s="64"/>
      <c r="AQ30" s="69"/>
      <c r="AS30" s="21"/>
      <c r="AT30" s="128"/>
      <c r="AU30" s="54"/>
      <c r="AV30" s="64"/>
      <c r="AW30" s="69"/>
      <c r="AX30">
        <f t="shared" si="5"/>
        <v>0</v>
      </c>
    </row>
    <row r="31" spans="1:50" x14ac:dyDescent="0.15">
      <c r="A31" s="5" t="s">
        <v>221</v>
      </c>
      <c r="C31" s="21"/>
      <c r="D31" s="128"/>
      <c r="E31" s="54"/>
      <c r="F31" s="64"/>
      <c r="G31" s="69"/>
      <c r="I31" s="21"/>
      <c r="J31" s="128"/>
      <c r="K31" s="54"/>
      <c r="L31" s="64"/>
      <c r="M31" s="69"/>
      <c r="O31" s="21"/>
      <c r="P31" s="128"/>
      <c r="Q31" s="54"/>
      <c r="R31" s="64"/>
      <c r="S31" s="69"/>
      <c r="U31" s="21"/>
      <c r="V31" s="128"/>
      <c r="W31" s="54"/>
      <c r="X31" s="64"/>
      <c r="Y31" s="69"/>
      <c r="AA31" s="21"/>
      <c r="AB31" s="128"/>
      <c r="AC31" s="54"/>
      <c r="AD31" s="64"/>
      <c r="AE31" s="69"/>
      <c r="AG31" s="21"/>
      <c r="AH31" s="128"/>
      <c r="AI31" s="54"/>
      <c r="AJ31" s="64"/>
      <c r="AK31" s="69"/>
      <c r="AM31" s="21"/>
      <c r="AN31" s="128"/>
      <c r="AO31" s="54"/>
      <c r="AP31" s="64"/>
      <c r="AQ31" s="69"/>
      <c r="AS31" s="21"/>
      <c r="AT31" s="128"/>
      <c r="AU31" s="54"/>
      <c r="AV31" s="64"/>
      <c r="AW31" s="69"/>
      <c r="AX31">
        <f t="shared" si="5"/>
        <v>0</v>
      </c>
    </row>
    <row r="32" spans="1:50" x14ac:dyDescent="0.15">
      <c r="A32" s="5" t="s">
        <v>199</v>
      </c>
      <c r="C32" s="21"/>
      <c r="D32" s="128"/>
      <c r="E32" s="54"/>
      <c r="F32" s="64"/>
      <c r="G32" s="69"/>
      <c r="I32" s="21"/>
      <c r="J32" s="128"/>
      <c r="K32" s="54"/>
      <c r="L32" s="64"/>
      <c r="M32" s="69"/>
      <c r="O32" s="21"/>
      <c r="P32" s="128"/>
      <c r="Q32" s="54"/>
      <c r="R32" s="64"/>
      <c r="S32" s="69"/>
      <c r="U32" s="21"/>
      <c r="V32" s="128"/>
      <c r="W32" s="54"/>
      <c r="X32" s="64"/>
      <c r="Y32" s="69"/>
      <c r="AA32" s="21"/>
      <c r="AB32" s="128"/>
      <c r="AC32" s="54"/>
      <c r="AD32" s="64"/>
      <c r="AE32" s="69"/>
      <c r="AG32" s="21"/>
      <c r="AH32" s="128"/>
      <c r="AI32" s="54"/>
      <c r="AJ32" s="64"/>
      <c r="AK32" s="69"/>
      <c r="AM32" s="21"/>
      <c r="AN32" s="128"/>
      <c r="AO32" s="54"/>
      <c r="AP32" s="64"/>
      <c r="AQ32" s="69"/>
      <c r="AS32" s="21"/>
      <c r="AT32" s="128"/>
      <c r="AU32" s="54"/>
      <c r="AV32" s="64"/>
      <c r="AW32" s="69"/>
      <c r="AX32">
        <f t="shared" si="5"/>
        <v>0</v>
      </c>
    </row>
    <row r="33" spans="1:50" x14ac:dyDescent="0.15">
      <c r="A33" s="5" t="s">
        <v>222</v>
      </c>
      <c r="C33" s="21"/>
      <c r="D33" s="128"/>
      <c r="E33" s="54"/>
      <c r="F33" s="64"/>
      <c r="G33" s="69"/>
      <c r="I33" s="21"/>
      <c r="J33" s="128"/>
      <c r="K33" s="54"/>
      <c r="L33" s="64"/>
      <c r="M33" s="69"/>
      <c r="O33" s="21"/>
      <c r="P33" s="128"/>
      <c r="Q33" s="54"/>
      <c r="R33" s="64"/>
      <c r="S33" s="69"/>
      <c r="U33" s="21"/>
      <c r="V33" s="128"/>
      <c r="W33" s="54"/>
      <c r="X33" s="64"/>
      <c r="Y33" s="69"/>
      <c r="AA33" s="21"/>
      <c r="AB33" s="128"/>
      <c r="AC33" s="54"/>
      <c r="AD33" s="64"/>
      <c r="AE33" s="69"/>
      <c r="AG33" s="21"/>
      <c r="AH33" s="128"/>
      <c r="AI33" s="54"/>
      <c r="AJ33" s="64"/>
      <c r="AK33" s="69"/>
      <c r="AM33" s="21"/>
      <c r="AN33" s="128"/>
      <c r="AO33" s="54"/>
      <c r="AP33" s="64"/>
      <c r="AQ33" s="69"/>
      <c r="AS33" s="21"/>
      <c r="AT33" s="128"/>
      <c r="AU33" s="54"/>
      <c r="AV33" s="64"/>
      <c r="AW33" s="69"/>
      <c r="AX33">
        <f t="shared" si="5"/>
        <v>0</v>
      </c>
    </row>
    <row r="34" spans="1:50" x14ac:dyDescent="0.15">
      <c r="A34" s="2" t="s">
        <v>62</v>
      </c>
      <c r="C34" s="21"/>
      <c r="D34" s="128"/>
      <c r="E34" s="54"/>
      <c r="F34" s="64"/>
      <c r="G34" s="69"/>
      <c r="I34" s="21"/>
      <c r="J34" s="128"/>
      <c r="K34" s="54"/>
      <c r="L34" s="64"/>
      <c r="M34" s="69"/>
      <c r="O34" s="21"/>
      <c r="P34" s="128"/>
      <c r="Q34" s="54"/>
      <c r="R34" s="64"/>
      <c r="S34" s="69"/>
      <c r="U34" s="21"/>
      <c r="V34" s="128"/>
      <c r="W34" s="54"/>
      <c r="X34" s="64"/>
      <c r="Y34" s="69"/>
      <c r="AA34" s="21"/>
      <c r="AB34" s="128"/>
      <c r="AC34" s="54"/>
      <c r="AD34" s="64"/>
      <c r="AE34" s="69"/>
      <c r="AG34" s="21"/>
      <c r="AH34" s="128"/>
      <c r="AI34" s="54"/>
      <c r="AJ34" s="64"/>
      <c r="AK34" s="69"/>
      <c r="AM34" s="21"/>
      <c r="AN34" s="128"/>
      <c r="AO34" s="54"/>
      <c r="AP34" s="64"/>
      <c r="AQ34" s="69"/>
      <c r="AS34" s="21"/>
      <c r="AT34" s="128"/>
      <c r="AU34" s="54"/>
      <c r="AV34" s="64"/>
      <c r="AW34" s="69"/>
      <c r="AX34">
        <f t="shared" si="5"/>
        <v>0</v>
      </c>
    </row>
    <row r="35" spans="1:50" x14ac:dyDescent="0.15">
      <c r="A35" s="2" t="s">
        <v>17</v>
      </c>
      <c r="C35" s="21"/>
      <c r="D35" s="128"/>
      <c r="E35" s="54"/>
      <c r="F35" s="64"/>
      <c r="G35" s="69"/>
      <c r="I35" s="21"/>
      <c r="J35" s="128"/>
      <c r="K35" s="54"/>
      <c r="L35" s="64"/>
      <c r="M35" s="69"/>
      <c r="O35" s="21"/>
      <c r="P35" s="128"/>
      <c r="Q35" s="54"/>
      <c r="R35" s="64"/>
      <c r="S35" s="69"/>
      <c r="U35" s="21"/>
      <c r="V35" s="128"/>
      <c r="W35" s="54"/>
      <c r="X35" s="64"/>
      <c r="Y35" s="69"/>
      <c r="AA35" s="21"/>
      <c r="AB35" s="128"/>
      <c r="AC35" s="54"/>
      <c r="AD35" s="64"/>
      <c r="AE35" s="69"/>
      <c r="AG35" s="21"/>
      <c r="AH35" s="128"/>
      <c r="AI35" s="54"/>
      <c r="AJ35" s="64"/>
      <c r="AK35" s="69"/>
      <c r="AM35" s="21"/>
      <c r="AN35" s="128"/>
      <c r="AO35" s="54"/>
      <c r="AP35" s="64"/>
      <c r="AQ35" s="69"/>
      <c r="AS35" s="21"/>
      <c r="AT35" s="128"/>
      <c r="AU35" s="54"/>
      <c r="AV35" s="64"/>
      <c r="AW35" s="69"/>
      <c r="AX35">
        <f t="shared" si="5"/>
        <v>0</v>
      </c>
    </row>
    <row r="36" spans="1:50" x14ac:dyDescent="0.15">
      <c r="A36" s="2" t="s">
        <v>49</v>
      </c>
      <c r="C36" s="21">
        <v>1</v>
      </c>
      <c r="D36" s="128">
        <v>1</v>
      </c>
      <c r="E36" s="54">
        <v>1</v>
      </c>
      <c r="F36" s="64">
        <v>1</v>
      </c>
      <c r="G36" s="69">
        <v>1</v>
      </c>
      <c r="I36" s="21"/>
      <c r="J36" s="128"/>
      <c r="K36" s="54"/>
      <c r="L36" s="64">
        <v>1</v>
      </c>
      <c r="M36" s="69">
        <v>1</v>
      </c>
      <c r="O36" s="21"/>
      <c r="P36" s="128">
        <v>1</v>
      </c>
      <c r="Q36" s="54">
        <v>1</v>
      </c>
      <c r="R36" s="64"/>
      <c r="S36" s="69"/>
      <c r="U36" s="21"/>
      <c r="V36" s="128"/>
      <c r="W36" s="54"/>
      <c r="X36" s="64"/>
      <c r="Y36" s="69"/>
      <c r="AA36" s="21"/>
      <c r="AB36" s="128">
        <v>1</v>
      </c>
      <c r="AC36" s="54"/>
      <c r="AD36" s="64">
        <v>1</v>
      </c>
      <c r="AE36" s="69">
        <v>1</v>
      </c>
      <c r="AG36" s="21"/>
      <c r="AH36" s="128">
        <v>1</v>
      </c>
      <c r="AI36" s="54"/>
      <c r="AJ36" s="64">
        <v>1</v>
      </c>
      <c r="AK36" s="69">
        <v>1</v>
      </c>
      <c r="AM36" s="21"/>
      <c r="AN36" s="128">
        <v>1</v>
      </c>
      <c r="AO36" s="54">
        <v>1</v>
      </c>
      <c r="AP36" s="64">
        <v>1</v>
      </c>
      <c r="AQ36" s="69">
        <v>1</v>
      </c>
      <c r="AS36" s="21">
        <v>1</v>
      </c>
      <c r="AT36" s="128">
        <v>1</v>
      </c>
      <c r="AU36" s="54">
        <v>1</v>
      </c>
      <c r="AV36" s="64">
        <v>1</v>
      </c>
      <c r="AW36" s="69">
        <v>1</v>
      </c>
      <c r="AX36">
        <f t="shared" si="5"/>
        <v>24</v>
      </c>
    </row>
    <row r="37" spans="1:50" x14ac:dyDescent="0.15">
      <c r="A37" s="2" t="s">
        <v>6</v>
      </c>
      <c r="C37" s="21"/>
      <c r="D37" s="128"/>
      <c r="E37" s="54"/>
      <c r="F37" s="64"/>
      <c r="G37" s="69"/>
      <c r="I37" s="21"/>
      <c r="J37" s="128"/>
      <c r="K37" s="54"/>
      <c r="L37" s="64"/>
      <c r="M37" s="69"/>
      <c r="O37" s="21"/>
      <c r="P37" s="128"/>
      <c r="Q37" s="54"/>
      <c r="R37" s="64"/>
      <c r="S37" s="69"/>
      <c r="U37" s="21"/>
      <c r="V37" s="128"/>
      <c r="W37" s="54"/>
      <c r="X37" s="64"/>
      <c r="Y37" s="69"/>
      <c r="AA37" s="21"/>
      <c r="AB37" s="128"/>
      <c r="AC37" s="54"/>
      <c r="AD37" s="64"/>
      <c r="AE37" s="69"/>
      <c r="AG37" s="21"/>
      <c r="AH37" s="128"/>
      <c r="AI37" s="54"/>
      <c r="AJ37" s="64"/>
      <c r="AK37" s="69"/>
      <c r="AM37" s="21"/>
      <c r="AN37" s="128"/>
      <c r="AO37" s="54"/>
      <c r="AP37" s="64"/>
      <c r="AQ37" s="69"/>
      <c r="AS37" s="21"/>
      <c r="AT37" s="128"/>
      <c r="AU37" s="54"/>
      <c r="AV37" s="64"/>
      <c r="AW37" s="69"/>
      <c r="AX37">
        <f t="shared" si="5"/>
        <v>0</v>
      </c>
    </row>
    <row r="38" spans="1:50" x14ac:dyDescent="0.15">
      <c r="A38" s="2" t="s">
        <v>19</v>
      </c>
      <c r="C38" s="21"/>
      <c r="D38" s="128"/>
      <c r="E38" s="54"/>
      <c r="F38" s="64"/>
      <c r="G38" s="69"/>
      <c r="I38" s="21"/>
      <c r="J38" s="128"/>
      <c r="K38" s="54"/>
      <c r="L38" s="64"/>
      <c r="M38" s="69"/>
      <c r="O38" s="21"/>
      <c r="P38" s="128"/>
      <c r="Q38" s="54"/>
      <c r="R38" s="64"/>
      <c r="S38" s="69"/>
      <c r="U38" s="21"/>
      <c r="V38" s="128"/>
      <c r="W38" s="54"/>
      <c r="X38" s="64"/>
      <c r="Y38" s="69"/>
      <c r="AA38" s="21"/>
      <c r="AB38" s="128"/>
      <c r="AC38" s="54"/>
      <c r="AD38" s="64"/>
      <c r="AE38" s="69"/>
      <c r="AG38" s="21"/>
      <c r="AH38" s="128"/>
      <c r="AI38" s="54"/>
      <c r="AJ38" s="64"/>
      <c r="AK38" s="69"/>
      <c r="AM38" s="21"/>
      <c r="AN38" s="128"/>
      <c r="AO38" s="54"/>
      <c r="AP38" s="64"/>
      <c r="AQ38" s="69"/>
      <c r="AS38" s="21"/>
      <c r="AT38" s="128"/>
      <c r="AU38" s="54"/>
      <c r="AV38" s="64"/>
      <c r="AW38" s="69"/>
      <c r="AX38">
        <f t="shared" si="5"/>
        <v>0</v>
      </c>
    </row>
    <row r="39" spans="1:50" x14ac:dyDescent="0.15">
      <c r="A39" s="2" t="s">
        <v>68</v>
      </c>
      <c r="B39">
        <v>2</v>
      </c>
      <c r="C39" s="21"/>
      <c r="D39" s="128"/>
      <c r="E39" s="54"/>
      <c r="F39" s="64"/>
      <c r="G39" s="69"/>
      <c r="H39">
        <v>2</v>
      </c>
      <c r="I39" s="21"/>
      <c r="J39" s="128"/>
      <c r="K39" s="54"/>
      <c r="L39" s="64"/>
      <c r="M39" s="69"/>
      <c r="N39">
        <v>1</v>
      </c>
      <c r="O39" s="21"/>
      <c r="P39" s="128"/>
      <c r="Q39" s="54"/>
      <c r="R39" s="64"/>
      <c r="S39" s="69"/>
      <c r="U39" s="21"/>
      <c r="V39" s="128"/>
      <c r="W39" s="54"/>
      <c r="X39" s="64"/>
      <c r="Y39" s="69"/>
      <c r="AA39" s="21"/>
      <c r="AB39" s="128"/>
      <c r="AC39" s="54"/>
      <c r="AD39" s="64"/>
      <c r="AE39" s="69"/>
      <c r="AG39" s="21"/>
      <c r="AH39" s="128"/>
      <c r="AI39" s="54"/>
      <c r="AJ39" s="64"/>
      <c r="AK39" s="69"/>
      <c r="AL39">
        <v>1</v>
      </c>
      <c r="AM39" s="21"/>
      <c r="AN39" s="128"/>
      <c r="AO39" s="54"/>
      <c r="AP39" s="64"/>
      <c r="AQ39" s="69"/>
      <c r="AS39" s="21"/>
      <c r="AT39" s="128"/>
      <c r="AU39" s="54"/>
      <c r="AV39" s="64"/>
      <c r="AW39" s="69"/>
      <c r="AX39">
        <f t="shared" si="5"/>
        <v>4</v>
      </c>
    </row>
    <row r="40" spans="1:50" x14ac:dyDescent="0.15">
      <c r="A40" s="2" t="s">
        <v>37</v>
      </c>
      <c r="C40" s="21"/>
      <c r="D40" s="128"/>
      <c r="E40" s="54"/>
      <c r="F40" s="64"/>
      <c r="G40" s="69"/>
      <c r="I40" s="21"/>
      <c r="J40" s="128"/>
      <c r="K40" s="54"/>
      <c r="L40" s="64"/>
      <c r="M40" s="69"/>
      <c r="O40" s="21"/>
      <c r="P40" s="128"/>
      <c r="Q40" s="54"/>
      <c r="R40" s="64"/>
      <c r="S40" s="69"/>
      <c r="U40" s="21"/>
      <c r="V40" s="128"/>
      <c r="W40" s="54"/>
      <c r="X40" s="64"/>
      <c r="Y40" s="69"/>
      <c r="AA40" s="21"/>
      <c r="AB40" s="128"/>
      <c r="AC40" s="54"/>
      <c r="AD40" s="64"/>
      <c r="AE40" s="69"/>
      <c r="AG40" s="21"/>
      <c r="AH40" s="128"/>
      <c r="AI40" s="54"/>
      <c r="AJ40" s="64"/>
      <c r="AK40" s="69"/>
      <c r="AM40" s="21"/>
      <c r="AN40" s="128"/>
      <c r="AO40" s="54"/>
      <c r="AP40" s="64"/>
      <c r="AQ40" s="69"/>
      <c r="AS40" s="21"/>
      <c r="AT40" s="128"/>
      <c r="AU40" s="54"/>
      <c r="AV40" s="64"/>
      <c r="AW40" s="69"/>
      <c r="AX40">
        <f t="shared" si="5"/>
        <v>0</v>
      </c>
    </row>
    <row r="41" spans="1:50" x14ac:dyDescent="0.15">
      <c r="A41" s="2" t="s">
        <v>20</v>
      </c>
      <c r="C41" s="21"/>
      <c r="D41" s="128"/>
      <c r="E41" s="54"/>
      <c r="F41" s="64"/>
      <c r="G41" s="69"/>
      <c r="H41">
        <v>1</v>
      </c>
      <c r="I41" s="21">
        <v>1</v>
      </c>
      <c r="J41" s="128">
        <v>1</v>
      </c>
      <c r="K41" s="54"/>
      <c r="L41" s="64"/>
      <c r="M41" s="69">
        <v>1</v>
      </c>
      <c r="O41" s="21"/>
      <c r="P41" s="128"/>
      <c r="Q41" s="54"/>
      <c r="R41" s="64"/>
      <c r="S41" s="69"/>
      <c r="T41">
        <v>2</v>
      </c>
      <c r="U41" s="21"/>
      <c r="V41" s="128"/>
      <c r="W41" s="54"/>
      <c r="X41" s="64"/>
      <c r="Y41" s="69"/>
      <c r="AA41" s="21"/>
      <c r="AB41" s="128"/>
      <c r="AC41" s="54"/>
      <c r="AD41" s="64"/>
      <c r="AE41" s="69"/>
      <c r="AG41" s="21"/>
      <c r="AH41" s="128"/>
      <c r="AI41" s="54"/>
      <c r="AJ41" s="64"/>
      <c r="AK41" s="69"/>
      <c r="AM41" s="21"/>
      <c r="AN41" s="128"/>
      <c r="AO41" s="54"/>
      <c r="AP41" s="64"/>
      <c r="AQ41" s="69"/>
      <c r="AS41" s="21"/>
      <c r="AT41" s="128"/>
      <c r="AU41" s="54"/>
      <c r="AV41" s="64"/>
      <c r="AW41" s="69"/>
      <c r="AX41">
        <f t="shared" si="5"/>
        <v>5</v>
      </c>
    </row>
    <row r="42" spans="1:50" x14ac:dyDescent="0.15">
      <c r="A42" s="2" t="s">
        <v>11</v>
      </c>
      <c r="C42" s="21"/>
      <c r="D42" s="128"/>
      <c r="E42" s="54"/>
      <c r="F42" s="64"/>
      <c r="G42" s="69"/>
      <c r="I42" s="21"/>
      <c r="J42" s="128"/>
      <c r="K42" s="54"/>
      <c r="L42" s="64"/>
      <c r="M42" s="69"/>
      <c r="O42" s="21"/>
      <c r="P42" s="128"/>
      <c r="Q42" s="54"/>
      <c r="R42" s="64"/>
      <c r="S42" s="69"/>
      <c r="U42" s="21"/>
      <c r="V42" s="128"/>
      <c r="W42" s="54"/>
      <c r="X42" s="64"/>
      <c r="Y42" s="69"/>
      <c r="AA42" s="21"/>
      <c r="AB42" s="128"/>
      <c r="AC42" s="54"/>
      <c r="AD42" s="64"/>
      <c r="AE42" s="69"/>
      <c r="AG42" s="21"/>
      <c r="AH42" s="128"/>
      <c r="AI42" s="54"/>
      <c r="AJ42" s="64"/>
      <c r="AK42" s="69"/>
      <c r="AM42" s="21"/>
      <c r="AN42" s="128"/>
      <c r="AO42" s="54"/>
      <c r="AP42" s="64"/>
      <c r="AQ42" s="69"/>
      <c r="AS42" s="21"/>
      <c r="AT42" s="128"/>
      <c r="AU42" s="54"/>
      <c r="AV42" s="64"/>
      <c r="AW42" s="69"/>
      <c r="AX42">
        <f t="shared" si="5"/>
        <v>0</v>
      </c>
    </row>
    <row r="43" spans="1:50" x14ac:dyDescent="0.15">
      <c r="A43" s="2" t="s">
        <v>21</v>
      </c>
      <c r="B43">
        <v>2</v>
      </c>
      <c r="C43" s="21">
        <v>2</v>
      </c>
      <c r="D43" s="128">
        <v>2</v>
      </c>
      <c r="E43" s="54">
        <v>1</v>
      </c>
      <c r="F43" s="64">
        <v>1</v>
      </c>
      <c r="G43" s="69">
        <v>1</v>
      </c>
      <c r="H43">
        <v>3</v>
      </c>
      <c r="I43" s="21">
        <v>1</v>
      </c>
      <c r="J43" s="128">
        <v>1</v>
      </c>
      <c r="K43" s="54">
        <v>1</v>
      </c>
      <c r="L43" s="64">
        <v>1</v>
      </c>
      <c r="M43" s="69">
        <v>1</v>
      </c>
      <c r="N43">
        <v>3</v>
      </c>
      <c r="O43" s="21">
        <v>3</v>
      </c>
      <c r="P43" s="128">
        <v>3</v>
      </c>
      <c r="Q43" s="54">
        <v>3</v>
      </c>
      <c r="R43" s="64">
        <v>3</v>
      </c>
      <c r="S43" s="69">
        <v>3</v>
      </c>
      <c r="U43" s="21">
        <v>1</v>
      </c>
      <c r="V43" s="128">
        <v>1</v>
      </c>
      <c r="W43" s="54"/>
      <c r="X43" s="64">
        <v>1</v>
      </c>
      <c r="Y43" s="69"/>
      <c r="Z43">
        <v>3</v>
      </c>
      <c r="AA43" s="21">
        <v>3</v>
      </c>
      <c r="AB43" s="128">
        <v>1</v>
      </c>
      <c r="AC43" s="54">
        <v>1</v>
      </c>
      <c r="AD43" s="64">
        <v>2</v>
      </c>
      <c r="AE43" s="69">
        <v>2</v>
      </c>
      <c r="AF43">
        <v>2</v>
      </c>
      <c r="AG43" s="21">
        <v>2</v>
      </c>
      <c r="AH43" s="128">
        <v>1</v>
      </c>
      <c r="AI43" s="54">
        <v>1</v>
      </c>
      <c r="AJ43" s="64">
        <v>2</v>
      </c>
      <c r="AK43" s="69">
        <v>2</v>
      </c>
      <c r="AL43">
        <v>2</v>
      </c>
      <c r="AM43" s="21">
        <v>2</v>
      </c>
      <c r="AN43" s="128">
        <v>2</v>
      </c>
      <c r="AO43" s="54">
        <v>2</v>
      </c>
      <c r="AP43" s="64">
        <v>2</v>
      </c>
      <c r="AQ43" s="69">
        <v>2</v>
      </c>
      <c r="AR43">
        <v>2</v>
      </c>
      <c r="AS43" s="21">
        <v>2</v>
      </c>
      <c r="AT43" s="128">
        <v>2</v>
      </c>
      <c r="AU43" s="54">
        <v>1</v>
      </c>
      <c r="AV43" s="64">
        <v>1</v>
      </c>
      <c r="AW43" s="69">
        <v>1</v>
      </c>
      <c r="AX43">
        <f t="shared" si="5"/>
        <v>45</v>
      </c>
    </row>
    <row r="44" spans="1:50" x14ac:dyDescent="0.15">
      <c r="A44" s="2" t="s">
        <v>197</v>
      </c>
      <c r="C44" s="21"/>
      <c r="D44" s="128"/>
      <c r="E44" s="54"/>
      <c r="F44" s="64"/>
      <c r="G44" s="69"/>
      <c r="I44" s="21"/>
      <c r="J44" s="128"/>
      <c r="K44" s="54"/>
      <c r="L44" s="64"/>
      <c r="M44" s="69"/>
      <c r="O44" s="21"/>
      <c r="P44" s="128"/>
      <c r="Q44" s="54"/>
      <c r="R44" s="64"/>
      <c r="S44" s="69"/>
      <c r="U44" s="21"/>
      <c r="V44" s="128"/>
      <c r="W44" s="54"/>
      <c r="X44" s="64"/>
      <c r="Y44" s="69"/>
      <c r="AA44" s="21"/>
      <c r="AB44" s="128"/>
      <c r="AC44" s="54"/>
      <c r="AD44" s="64"/>
      <c r="AE44" s="69"/>
      <c r="AG44" s="21"/>
      <c r="AH44" s="128"/>
      <c r="AI44" s="54"/>
      <c r="AJ44" s="64"/>
      <c r="AK44" s="69"/>
      <c r="AM44" s="21"/>
      <c r="AN44" s="128"/>
      <c r="AO44" s="54"/>
      <c r="AP44" s="64"/>
      <c r="AQ44" s="69"/>
      <c r="AS44" s="21"/>
      <c r="AT44" s="128"/>
      <c r="AU44" s="54"/>
      <c r="AV44" s="64"/>
      <c r="AW44" s="69"/>
      <c r="AX44">
        <f t="shared" si="5"/>
        <v>0</v>
      </c>
    </row>
    <row r="45" spans="1:50" x14ac:dyDescent="0.15">
      <c r="A45" s="2" t="s">
        <v>196</v>
      </c>
      <c r="C45" s="21"/>
      <c r="D45" s="128"/>
      <c r="E45" s="54"/>
      <c r="F45" s="64"/>
      <c r="G45" s="69"/>
      <c r="I45" s="21"/>
      <c r="J45" s="128"/>
      <c r="K45" s="54"/>
      <c r="L45" s="64"/>
      <c r="M45" s="69"/>
      <c r="O45" s="21"/>
      <c r="P45" s="128"/>
      <c r="Q45" s="54"/>
      <c r="R45" s="64"/>
      <c r="S45" s="69"/>
      <c r="U45" s="21"/>
      <c r="V45" s="128"/>
      <c r="W45" s="54"/>
      <c r="X45" s="64"/>
      <c r="Y45" s="69"/>
      <c r="AA45" s="21"/>
      <c r="AB45" s="128"/>
      <c r="AC45" s="54"/>
      <c r="AD45" s="64"/>
      <c r="AE45" s="69"/>
      <c r="AG45" s="21"/>
      <c r="AH45" s="128"/>
      <c r="AI45" s="54"/>
      <c r="AJ45" s="64"/>
      <c r="AK45" s="69"/>
      <c r="AM45" s="21"/>
      <c r="AN45" s="128"/>
      <c r="AO45" s="54"/>
      <c r="AP45" s="64"/>
      <c r="AQ45" s="69"/>
      <c r="AS45" s="21"/>
      <c r="AT45" s="128"/>
      <c r="AU45" s="54"/>
      <c r="AV45" s="64"/>
      <c r="AW45" s="69"/>
      <c r="AX45">
        <f t="shared" si="5"/>
        <v>0</v>
      </c>
    </row>
    <row r="46" spans="1:50" x14ac:dyDescent="0.15">
      <c r="A46" s="5" t="s">
        <v>198</v>
      </c>
      <c r="C46" s="21"/>
      <c r="D46" s="128"/>
      <c r="E46" s="54"/>
      <c r="F46" s="64"/>
      <c r="G46" s="69"/>
      <c r="I46" s="21"/>
      <c r="J46" s="128"/>
      <c r="K46" s="54"/>
      <c r="L46" s="64"/>
      <c r="M46" s="69"/>
      <c r="O46" s="21"/>
      <c r="P46" s="128"/>
      <c r="Q46" s="54"/>
      <c r="R46" s="64"/>
      <c r="S46" s="69"/>
      <c r="U46" s="21"/>
      <c r="V46" s="128"/>
      <c r="W46" s="54"/>
      <c r="X46" s="64"/>
      <c r="Y46" s="69"/>
      <c r="AA46" s="21"/>
      <c r="AB46" s="128"/>
      <c r="AC46" s="54"/>
      <c r="AD46" s="64"/>
      <c r="AE46" s="69"/>
      <c r="AG46" s="21"/>
      <c r="AH46" s="128"/>
      <c r="AI46" s="54"/>
      <c r="AJ46" s="64"/>
      <c r="AK46" s="69"/>
      <c r="AM46" s="21"/>
      <c r="AN46" s="128"/>
      <c r="AO46" s="54"/>
      <c r="AP46" s="64"/>
      <c r="AQ46" s="69"/>
      <c r="AS46" s="21"/>
      <c r="AT46" s="128"/>
      <c r="AU46" s="54"/>
      <c r="AV46" s="64"/>
      <c r="AW46" s="69"/>
      <c r="AX46">
        <f t="shared" si="5"/>
        <v>0</v>
      </c>
    </row>
    <row r="47" spans="1:50" x14ac:dyDescent="0.15">
      <c r="A47" s="2" t="s">
        <v>35</v>
      </c>
      <c r="B47">
        <v>1</v>
      </c>
      <c r="C47" s="21">
        <v>1</v>
      </c>
      <c r="D47" s="128">
        <v>1</v>
      </c>
      <c r="E47" s="54">
        <v>1</v>
      </c>
      <c r="F47" s="64">
        <v>1</v>
      </c>
      <c r="G47" s="69">
        <v>1</v>
      </c>
      <c r="I47" s="21">
        <v>1</v>
      </c>
      <c r="J47" s="128"/>
      <c r="K47" s="54"/>
      <c r="L47" s="64"/>
      <c r="M47" s="69">
        <v>1</v>
      </c>
      <c r="O47" s="21"/>
      <c r="P47" s="128"/>
      <c r="Q47" s="54"/>
      <c r="R47" s="64">
        <v>1</v>
      </c>
      <c r="S47" s="69"/>
      <c r="T47">
        <v>3</v>
      </c>
      <c r="U47" s="21"/>
      <c r="V47" s="128"/>
      <c r="W47" s="54"/>
      <c r="X47" s="64">
        <v>1</v>
      </c>
      <c r="Y47" s="69">
        <v>1</v>
      </c>
      <c r="Z47">
        <v>1</v>
      </c>
      <c r="AA47" s="21"/>
      <c r="AB47" s="128"/>
      <c r="AC47" s="54"/>
      <c r="AD47" s="64">
        <v>1</v>
      </c>
      <c r="AE47" s="69"/>
      <c r="AG47" s="21"/>
      <c r="AH47" s="128"/>
      <c r="AI47" s="54"/>
      <c r="AJ47" s="64"/>
      <c r="AK47" s="69"/>
      <c r="AL47">
        <v>1</v>
      </c>
      <c r="AM47" s="21"/>
      <c r="AN47" s="128"/>
      <c r="AO47" s="54">
        <v>1</v>
      </c>
      <c r="AP47" s="64">
        <v>1</v>
      </c>
      <c r="AQ47" s="69">
        <v>1</v>
      </c>
      <c r="AS47" s="21"/>
      <c r="AT47" s="128"/>
      <c r="AU47" s="54"/>
      <c r="AV47" s="64"/>
      <c r="AW47" s="69"/>
      <c r="AX47">
        <f t="shared" si="5"/>
        <v>18</v>
      </c>
    </row>
    <row r="48" spans="1:50" x14ac:dyDescent="0.15">
      <c r="A48" s="2" t="s">
        <v>110</v>
      </c>
      <c r="C48" s="21"/>
      <c r="D48" s="128"/>
      <c r="E48" s="54"/>
      <c r="F48" s="64"/>
      <c r="G48" s="69"/>
      <c r="I48" s="21"/>
      <c r="J48" s="128"/>
      <c r="K48" s="54"/>
      <c r="L48" s="64"/>
      <c r="M48" s="69"/>
      <c r="O48" s="21"/>
      <c r="P48" s="128"/>
      <c r="Q48" s="54"/>
      <c r="R48" s="64"/>
      <c r="S48" s="69"/>
      <c r="U48" s="21"/>
      <c r="V48" s="128"/>
      <c r="W48" s="54"/>
      <c r="X48" s="64"/>
      <c r="Y48" s="69"/>
      <c r="AA48" s="21"/>
      <c r="AB48" s="128"/>
      <c r="AC48" s="54"/>
      <c r="AD48" s="64"/>
      <c r="AE48" s="69"/>
      <c r="AG48" s="21"/>
      <c r="AH48" s="128"/>
      <c r="AI48" s="54"/>
      <c r="AJ48" s="64"/>
      <c r="AK48" s="69"/>
      <c r="AM48" s="21"/>
      <c r="AN48" s="128"/>
      <c r="AO48" s="54"/>
      <c r="AP48" s="64"/>
      <c r="AQ48" s="69"/>
      <c r="AS48" s="21"/>
      <c r="AT48" s="128"/>
      <c r="AU48" s="54"/>
      <c r="AV48" s="64"/>
      <c r="AW48" s="69"/>
      <c r="AX48">
        <f t="shared" si="5"/>
        <v>0</v>
      </c>
    </row>
    <row r="49" spans="1:50" x14ac:dyDescent="0.15">
      <c r="A49" s="2" t="s">
        <v>25</v>
      </c>
      <c r="C49" s="21"/>
      <c r="D49" s="128"/>
      <c r="E49" s="54"/>
      <c r="F49" s="64"/>
      <c r="G49" s="69"/>
      <c r="I49" s="21"/>
      <c r="J49" s="128"/>
      <c r="K49" s="54"/>
      <c r="L49" s="64"/>
      <c r="M49" s="69"/>
      <c r="O49" s="21"/>
      <c r="P49" s="128"/>
      <c r="Q49" s="54"/>
      <c r="R49" s="64"/>
      <c r="S49" s="69"/>
      <c r="U49" s="21"/>
      <c r="V49" s="128"/>
      <c r="W49" s="54"/>
      <c r="X49" s="64"/>
      <c r="Y49" s="69"/>
      <c r="AA49" s="21"/>
      <c r="AB49" s="128"/>
      <c r="AC49" s="54"/>
      <c r="AD49" s="64"/>
      <c r="AE49" s="69"/>
      <c r="AG49" s="21"/>
      <c r="AH49" s="128"/>
      <c r="AI49" s="54"/>
      <c r="AJ49" s="64"/>
      <c r="AK49" s="69"/>
      <c r="AM49" s="21"/>
      <c r="AN49" s="128"/>
      <c r="AO49" s="54"/>
      <c r="AP49" s="64"/>
      <c r="AQ49" s="69"/>
      <c r="AS49" s="21"/>
      <c r="AT49" s="128"/>
      <c r="AU49" s="54"/>
      <c r="AV49" s="64"/>
      <c r="AW49" s="69"/>
      <c r="AX49">
        <f t="shared" si="5"/>
        <v>0</v>
      </c>
    </row>
    <row r="50" spans="1:50" x14ac:dyDescent="0.15">
      <c r="A50" s="2" t="s">
        <v>38</v>
      </c>
      <c r="C50" s="21"/>
      <c r="D50" s="128"/>
      <c r="E50" s="54"/>
      <c r="F50" s="64"/>
      <c r="G50" s="69"/>
      <c r="I50" s="21"/>
      <c r="J50" s="128"/>
      <c r="K50" s="54"/>
      <c r="L50" s="64"/>
      <c r="M50" s="69"/>
      <c r="O50" s="21"/>
      <c r="P50" s="128"/>
      <c r="Q50" s="54"/>
      <c r="R50" s="64"/>
      <c r="S50" s="69"/>
      <c r="U50" s="21"/>
      <c r="V50" s="128"/>
      <c r="W50" s="54"/>
      <c r="X50" s="64"/>
      <c r="Y50" s="69"/>
      <c r="AA50" s="21"/>
      <c r="AB50" s="128"/>
      <c r="AC50" s="54"/>
      <c r="AD50" s="64"/>
      <c r="AE50" s="69"/>
      <c r="AG50" s="21"/>
      <c r="AH50" s="128"/>
      <c r="AI50" s="54"/>
      <c r="AJ50" s="64"/>
      <c r="AK50" s="69"/>
      <c r="AM50" s="21"/>
      <c r="AN50" s="128"/>
      <c r="AO50" s="54"/>
      <c r="AP50" s="64"/>
      <c r="AQ50" s="69"/>
      <c r="AS50" s="21"/>
      <c r="AT50" s="128"/>
      <c r="AU50" s="54"/>
      <c r="AV50" s="64"/>
      <c r="AW50" s="69"/>
      <c r="AX50">
        <f t="shared" si="5"/>
        <v>0</v>
      </c>
    </row>
    <row r="51" spans="1:50" x14ac:dyDescent="0.15">
      <c r="A51" s="2" t="s">
        <v>27</v>
      </c>
      <c r="C51" s="21"/>
      <c r="D51" s="128"/>
      <c r="E51" s="54"/>
      <c r="F51" s="64"/>
      <c r="G51" s="69"/>
      <c r="I51" s="21"/>
      <c r="J51" s="128"/>
      <c r="K51" s="54"/>
      <c r="L51" s="64"/>
      <c r="M51" s="69"/>
      <c r="O51" s="21"/>
      <c r="P51" s="128"/>
      <c r="Q51" s="54"/>
      <c r="R51" s="64"/>
      <c r="S51" s="69"/>
      <c r="U51" s="21"/>
      <c r="V51" s="128"/>
      <c r="W51" s="54"/>
      <c r="X51" s="64"/>
      <c r="Y51" s="69"/>
      <c r="AA51" s="21"/>
      <c r="AB51" s="128"/>
      <c r="AC51" s="54"/>
      <c r="AD51" s="64"/>
      <c r="AE51" s="69"/>
      <c r="AG51" s="21"/>
      <c r="AH51" s="128"/>
      <c r="AI51" s="54"/>
      <c r="AJ51" s="64"/>
      <c r="AK51" s="69"/>
      <c r="AM51" s="21"/>
      <c r="AN51" s="128"/>
      <c r="AO51" s="54"/>
      <c r="AP51" s="64"/>
      <c r="AQ51" s="69"/>
      <c r="AS51" s="21"/>
      <c r="AT51" s="128"/>
      <c r="AU51" s="54"/>
      <c r="AV51" s="64"/>
      <c r="AW51" s="69"/>
      <c r="AX51">
        <f t="shared" si="5"/>
        <v>0</v>
      </c>
    </row>
    <row r="52" spans="1:50" x14ac:dyDescent="0.15">
      <c r="A52" s="2" t="s">
        <v>229</v>
      </c>
      <c r="C52" s="21"/>
      <c r="D52" s="128"/>
      <c r="E52" s="54"/>
      <c r="F52" s="64"/>
      <c r="G52" s="69"/>
      <c r="I52" s="21"/>
      <c r="J52" s="128"/>
      <c r="K52" s="54"/>
      <c r="L52" s="64"/>
      <c r="M52" s="69"/>
      <c r="O52" s="21"/>
      <c r="P52" s="128"/>
      <c r="Q52" s="54"/>
      <c r="R52" s="64"/>
      <c r="S52" s="69"/>
      <c r="U52" s="21"/>
      <c r="V52" s="128"/>
      <c r="W52" s="54"/>
      <c r="X52" s="64"/>
      <c r="Y52" s="69"/>
      <c r="AA52" s="21"/>
      <c r="AB52" s="128"/>
      <c r="AC52" s="54"/>
      <c r="AD52" s="64"/>
      <c r="AE52" s="69"/>
      <c r="AG52" s="21"/>
      <c r="AH52" s="128"/>
      <c r="AI52" s="54"/>
      <c r="AJ52" s="64"/>
      <c r="AK52" s="69"/>
      <c r="AM52" s="21"/>
      <c r="AN52" s="128"/>
      <c r="AO52" s="54"/>
      <c r="AP52" s="64"/>
      <c r="AQ52" s="69"/>
      <c r="AS52" s="21"/>
      <c r="AT52" s="128"/>
      <c r="AU52" s="54"/>
      <c r="AV52" s="64"/>
      <c r="AW52" s="69"/>
      <c r="AX52">
        <f t="shared" si="5"/>
        <v>0</v>
      </c>
    </row>
    <row r="53" spans="1:50" x14ac:dyDescent="0.15">
      <c r="A53" s="2" t="s">
        <v>36</v>
      </c>
      <c r="C53" s="21"/>
      <c r="D53" s="128"/>
      <c r="E53" s="54"/>
      <c r="F53" s="64"/>
      <c r="G53" s="69"/>
      <c r="I53" s="21"/>
      <c r="J53" s="128"/>
      <c r="K53" s="54"/>
      <c r="L53" s="64"/>
      <c r="M53" s="69"/>
      <c r="O53" s="21"/>
      <c r="P53" s="128"/>
      <c r="Q53" s="54"/>
      <c r="R53" s="64"/>
      <c r="S53" s="69"/>
      <c r="U53" s="21"/>
      <c r="V53" s="128"/>
      <c r="W53" s="54"/>
      <c r="X53" s="64"/>
      <c r="Y53" s="69"/>
      <c r="AA53" s="21"/>
      <c r="AB53" s="128"/>
      <c r="AC53" s="54"/>
      <c r="AD53" s="64"/>
      <c r="AE53" s="69"/>
      <c r="AG53" s="21"/>
      <c r="AH53" s="128"/>
      <c r="AI53" s="54"/>
      <c r="AJ53" s="64"/>
      <c r="AK53" s="69"/>
      <c r="AM53" s="21"/>
      <c r="AN53" s="128"/>
      <c r="AO53" s="54"/>
      <c r="AP53" s="64"/>
      <c r="AQ53" s="69"/>
      <c r="AS53" s="21"/>
      <c r="AT53" s="128"/>
      <c r="AU53" s="54"/>
      <c r="AV53" s="64"/>
      <c r="AW53" s="69"/>
      <c r="AX53">
        <f t="shared" si="5"/>
        <v>0</v>
      </c>
    </row>
    <row r="54" spans="1:50" x14ac:dyDescent="0.15">
      <c r="A54" s="2" t="s">
        <v>50</v>
      </c>
      <c r="C54" s="21"/>
      <c r="D54" s="128"/>
      <c r="E54" s="54"/>
      <c r="F54" s="64"/>
      <c r="G54" s="69"/>
      <c r="I54" s="21"/>
      <c r="J54" s="128"/>
      <c r="K54" s="54"/>
      <c r="L54" s="64"/>
      <c r="M54" s="69"/>
      <c r="O54" s="21"/>
      <c r="P54" s="128"/>
      <c r="Q54" s="54"/>
      <c r="R54" s="64"/>
      <c r="S54" s="69"/>
      <c r="U54" s="21"/>
      <c r="V54" s="128"/>
      <c r="W54" s="54"/>
      <c r="X54" s="64"/>
      <c r="Y54" s="69"/>
      <c r="AA54" s="21"/>
      <c r="AB54" s="128"/>
      <c r="AC54" s="54"/>
      <c r="AD54" s="64"/>
      <c r="AE54" s="69"/>
      <c r="AG54" s="21"/>
      <c r="AH54" s="128"/>
      <c r="AI54" s="54"/>
      <c r="AJ54" s="64"/>
      <c r="AK54" s="69"/>
      <c r="AM54" s="21"/>
      <c r="AN54" s="128"/>
      <c r="AO54" s="54"/>
      <c r="AP54" s="64"/>
      <c r="AQ54" s="69"/>
      <c r="AS54" s="21"/>
      <c r="AT54" s="128"/>
      <c r="AU54" s="54"/>
      <c r="AV54" s="64"/>
      <c r="AW54" s="69"/>
      <c r="AX54">
        <f t="shared" si="5"/>
        <v>0</v>
      </c>
    </row>
    <row r="55" spans="1:50" x14ac:dyDescent="0.15">
      <c r="A55" s="2" t="s">
        <v>231</v>
      </c>
      <c r="C55" s="21"/>
      <c r="D55" s="128"/>
      <c r="E55" s="54"/>
      <c r="F55" s="64"/>
      <c r="G55" s="69"/>
      <c r="I55" s="21"/>
      <c r="J55" s="128"/>
      <c r="K55" s="54"/>
      <c r="L55" s="64"/>
      <c r="M55" s="69"/>
      <c r="O55" s="21"/>
      <c r="P55" s="128"/>
      <c r="Q55" s="54"/>
      <c r="R55" s="64"/>
      <c r="S55" s="69"/>
      <c r="U55" s="21"/>
      <c r="V55" s="128"/>
      <c r="W55" s="54"/>
      <c r="X55" s="64"/>
      <c r="Y55" s="69"/>
      <c r="AA55" s="21"/>
      <c r="AB55" s="128"/>
      <c r="AC55" s="54"/>
      <c r="AD55" s="64"/>
      <c r="AE55" s="69"/>
      <c r="AG55" s="21"/>
      <c r="AH55" s="128"/>
      <c r="AI55" s="54"/>
      <c r="AJ55" s="64"/>
      <c r="AK55" s="69"/>
      <c r="AM55" s="21"/>
      <c r="AN55" s="128"/>
      <c r="AO55" s="54"/>
      <c r="AP55" s="64"/>
      <c r="AQ55" s="69"/>
      <c r="AS55" s="21"/>
      <c r="AT55" s="128"/>
      <c r="AU55" s="54"/>
      <c r="AV55" s="64"/>
      <c r="AW55" s="69"/>
      <c r="AX55">
        <f t="shared" si="5"/>
        <v>0</v>
      </c>
    </row>
    <row r="56" spans="1:50" x14ac:dyDescent="0.15">
      <c r="A56" s="2" t="s">
        <v>190</v>
      </c>
      <c r="C56" s="21"/>
      <c r="D56" s="128"/>
      <c r="E56" s="54"/>
      <c r="F56" s="64"/>
      <c r="G56" s="69"/>
      <c r="I56" s="21"/>
      <c r="J56" s="128"/>
      <c r="K56" s="54"/>
      <c r="L56" s="64"/>
      <c r="M56" s="69"/>
      <c r="O56" s="21"/>
      <c r="P56" s="128"/>
      <c r="Q56" s="54"/>
      <c r="R56" s="64"/>
      <c r="S56" s="69"/>
      <c r="U56" s="21"/>
      <c r="V56" s="128"/>
      <c r="W56" s="54"/>
      <c r="X56" s="64"/>
      <c r="Y56" s="69"/>
      <c r="AA56" s="21"/>
      <c r="AB56" s="128"/>
      <c r="AC56" s="54"/>
      <c r="AD56" s="64"/>
      <c r="AE56" s="69"/>
      <c r="AG56" s="21"/>
      <c r="AH56" s="128"/>
      <c r="AI56" s="54"/>
      <c r="AJ56" s="64"/>
      <c r="AK56" s="69"/>
      <c r="AM56" s="21"/>
      <c r="AN56" s="128"/>
      <c r="AO56" s="54"/>
      <c r="AP56" s="64"/>
      <c r="AQ56" s="69"/>
      <c r="AS56" s="21"/>
      <c r="AT56" s="128"/>
      <c r="AU56" s="54"/>
      <c r="AV56" s="64"/>
      <c r="AW56" s="69"/>
      <c r="AX56">
        <f t="shared" si="5"/>
        <v>0</v>
      </c>
    </row>
    <row r="57" spans="1:50" x14ac:dyDescent="0.15">
      <c r="A57" s="2" t="s">
        <v>58</v>
      </c>
      <c r="C57" s="21"/>
      <c r="D57" s="128"/>
      <c r="E57" s="54"/>
      <c r="F57" s="64"/>
      <c r="G57" s="69"/>
      <c r="I57" s="21"/>
      <c r="J57" s="128"/>
      <c r="K57" s="54"/>
      <c r="L57" s="64"/>
      <c r="M57" s="69"/>
      <c r="O57" s="21"/>
      <c r="P57" s="128"/>
      <c r="Q57" s="54"/>
      <c r="R57" s="64"/>
      <c r="S57" s="69"/>
      <c r="U57" s="21"/>
      <c r="V57" s="128"/>
      <c r="W57" s="54"/>
      <c r="X57" s="64"/>
      <c r="Y57" s="69"/>
      <c r="AA57" s="21"/>
      <c r="AB57" s="128"/>
      <c r="AC57" s="54"/>
      <c r="AD57" s="64"/>
      <c r="AE57" s="69"/>
      <c r="AG57" s="21"/>
      <c r="AH57" s="128"/>
      <c r="AI57" s="54"/>
      <c r="AJ57" s="64"/>
      <c r="AK57" s="69"/>
      <c r="AM57" s="21"/>
      <c r="AN57" s="128"/>
      <c r="AO57" s="54"/>
      <c r="AP57" s="64"/>
      <c r="AQ57" s="69"/>
      <c r="AS57" s="21"/>
      <c r="AT57" s="128"/>
      <c r="AU57" s="54"/>
      <c r="AV57" s="64"/>
      <c r="AW57" s="69"/>
      <c r="AX57">
        <f t="shared" si="5"/>
        <v>0</v>
      </c>
    </row>
    <row r="58" spans="1:50" x14ac:dyDescent="0.15">
      <c r="A58" s="2" t="s">
        <v>57</v>
      </c>
      <c r="C58" s="21"/>
      <c r="D58" s="128"/>
      <c r="E58" s="54"/>
      <c r="F58" s="64"/>
      <c r="G58" s="69"/>
      <c r="I58" s="21"/>
      <c r="J58" s="128"/>
      <c r="K58" s="54"/>
      <c r="L58" s="64"/>
      <c r="M58" s="69"/>
      <c r="O58" s="21"/>
      <c r="P58" s="128"/>
      <c r="Q58" s="54"/>
      <c r="R58" s="64"/>
      <c r="S58" s="69"/>
      <c r="U58" s="21"/>
      <c r="V58" s="128"/>
      <c r="W58" s="54"/>
      <c r="X58" s="64"/>
      <c r="Y58" s="69"/>
      <c r="AA58" s="21"/>
      <c r="AB58" s="128"/>
      <c r="AC58" s="54"/>
      <c r="AD58" s="64"/>
      <c r="AE58" s="69"/>
      <c r="AG58" s="21"/>
      <c r="AH58" s="128"/>
      <c r="AI58" s="54"/>
      <c r="AJ58" s="64"/>
      <c r="AK58" s="69"/>
      <c r="AM58" s="21"/>
      <c r="AN58" s="128"/>
      <c r="AO58" s="54"/>
      <c r="AP58" s="64"/>
      <c r="AQ58" s="69"/>
      <c r="AS58" s="21"/>
      <c r="AT58" s="128"/>
      <c r="AU58" s="54"/>
      <c r="AV58" s="64"/>
      <c r="AW58" s="69"/>
      <c r="AX58">
        <f t="shared" si="5"/>
        <v>0</v>
      </c>
    </row>
    <row r="59" spans="1:50" x14ac:dyDescent="0.15">
      <c r="A59" s="2" t="s">
        <v>28</v>
      </c>
      <c r="C59" s="21"/>
      <c r="D59" s="128"/>
      <c r="E59" s="54"/>
      <c r="F59" s="64"/>
      <c r="G59" s="69"/>
      <c r="I59" s="21"/>
      <c r="J59" s="128"/>
      <c r="K59" s="54"/>
      <c r="L59" s="64"/>
      <c r="M59" s="69"/>
      <c r="O59" s="21"/>
      <c r="P59" s="128"/>
      <c r="Q59" s="54"/>
      <c r="R59" s="64"/>
      <c r="S59" s="69"/>
      <c r="U59" s="21"/>
      <c r="V59" s="128"/>
      <c r="W59" s="54"/>
      <c r="X59" s="64"/>
      <c r="Y59" s="69"/>
      <c r="AA59" s="21"/>
      <c r="AB59" s="128"/>
      <c r="AC59" s="54"/>
      <c r="AD59" s="64"/>
      <c r="AE59" s="69"/>
      <c r="AG59" s="21"/>
      <c r="AH59" s="128"/>
      <c r="AI59" s="54"/>
      <c r="AJ59" s="64"/>
      <c r="AK59" s="69"/>
      <c r="AM59" s="21"/>
      <c r="AN59" s="128"/>
      <c r="AO59" s="54"/>
      <c r="AP59" s="64"/>
      <c r="AQ59" s="69"/>
      <c r="AS59" s="21"/>
      <c r="AT59" s="128"/>
      <c r="AU59" s="54"/>
      <c r="AV59" s="64"/>
      <c r="AW59" s="69"/>
      <c r="AX59">
        <f t="shared" si="5"/>
        <v>0</v>
      </c>
    </row>
    <row r="60" spans="1:50" x14ac:dyDescent="0.15">
      <c r="A60" s="2" t="s">
        <v>194</v>
      </c>
      <c r="C60" s="21"/>
      <c r="D60" s="128"/>
      <c r="E60" s="54"/>
      <c r="F60" s="64"/>
      <c r="G60" s="69"/>
      <c r="I60" s="21"/>
      <c r="J60" s="128"/>
      <c r="K60" s="54"/>
      <c r="L60" s="64"/>
      <c r="M60" s="69"/>
      <c r="O60" s="21"/>
      <c r="P60" s="128"/>
      <c r="Q60" s="54"/>
      <c r="R60" s="64"/>
      <c r="S60" s="69"/>
      <c r="U60" s="21"/>
      <c r="V60" s="128"/>
      <c r="W60" s="54"/>
      <c r="X60" s="64"/>
      <c r="Y60" s="69"/>
      <c r="AA60" s="21"/>
      <c r="AB60" s="128"/>
      <c r="AC60" s="54"/>
      <c r="AD60" s="64"/>
      <c r="AE60" s="69"/>
      <c r="AG60" s="21"/>
      <c r="AH60" s="128"/>
      <c r="AI60" s="54"/>
      <c r="AJ60" s="64"/>
      <c r="AK60" s="69"/>
      <c r="AM60" s="21"/>
      <c r="AN60" s="128"/>
      <c r="AO60" s="54"/>
      <c r="AP60" s="64"/>
      <c r="AQ60" s="69"/>
      <c r="AS60" s="21"/>
      <c r="AT60" s="128"/>
      <c r="AU60" s="54"/>
      <c r="AV60" s="64"/>
      <c r="AW60" s="69"/>
      <c r="AX60">
        <f t="shared" si="5"/>
        <v>0</v>
      </c>
    </row>
    <row r="61" spans="1:50" x14ac:dyDescent="0.15">
      <c r="A61" s="2" t="s">
        <v>10</v>
      </c>
      <c r="C61" s="21"/>
      <c r="D61" s="128"/>
      <c r="E61" s="54"/>
      <c r="F61" s="64"/>
      <c r="G61" s="69"/>
      <c r="I61" s="21"/>
      <c r="J61" s="128"/>
      <c r="K61" s="54"/>
      <c r="L61" s="64"/>
      <c r="M61" s="69"/>
      <c r="O61" s="21"/>
      <c r="P61" s="128"/>
      <c r="Q61" s="54"/>
      <c r="R61" s="64"/>
      <c r="S61" s="69"/>
      <c r="U61" s="21"/>
      <c r="V61" s="128"/>
      <c r="W61" s="54"/>
      <c r="X61" s="64"/>
      <c r="Y61" s="69"/>
      <c r="AA61" s="21"/>
      <c r="AB61" s="128"/>
      <c r="AC61" s="54"/>
      <c r="AD61" s="64"/>
      <c r="AE61" s="69"/>
      <c r="AG61" s="21"/>
      <c r="AH61" s="128"/>
      <c r="AI61" s="54"/>
      <c r="AJ61" s="64"/>
      <c r="AK61" s="69"/>
      <c r="AM61" s="21"/>
      <c r="AN61" s="128"/>
      <c r="AO61" s="54"/>
      <c r="AP61" s="64"/>
      <c r="AQ61" s="69"/>
      <c r="AS61" s="21"/>
      <c r="AT61" s="128"/>
      <c r="AU61" s="54"/>
      <c r="AV61" s="64"/>
      <c r="AW61" s="69"/>
      <c r="AX61">
        <f t="shared" si="5"/>
        <v>0</v>
      </c>
    </row>
    <row r="62" spans="1:50" x14ac:dyDescent="0.15">
      <c r="A62" s="5" t="s">
        <v>174</v>
      </c>
      <c r="B62" s="114"/>
      <c r="C62" s="115"/>
      <c r="D62" s="111"/>
      <c r="E62" s="112"/>
      <c r="F62" s="113"/>
      <c r="G62" s="145"/>
      <c r="H62" s="114"/>
      <c r="I62" s="115"/>
      <c r="J62" s="111"/>
      <c r="K62" s="112"/>
      <c r="L62" s="113"/>
      <c r="M62" s="145"/>
      <c r="N62" s="114"/>
      <c r="O62" s="115"/>
      <c r="P62" s="111"/>
      <c r="Q62" s="112"/>
      <c r="R62" s="113"/>
      <c r="S62" s="145"/>
      <c r="T62" s="114"/>
      <c r="U62" s="115"/>
      <c r="V62" s="111"/>
      <c r="W62" s="112"/>
      <c r="X62" s="113"/>
      <c r="Y62" s="145"/>
      <c r="Z62" s="4">
        <v>3</v>
      </c>
      <c r="AA62" s="138">
        <v>1</v>
      </c>
      <c r="AB62" s="128">
        <v>1</v>
      </c>
      <c r="AC62" s="112"/>
      <c r="AD62" s="113"/>
      <c r="AE62" s="145">
        <v>1</v>
      </c>
      <c r="AF62" s="4">
        <v>3</v>
      </c>
      <c r="AG62" s="138">
        <v>1</v>
      </c>
      <c r="AH62" s="111"/>
      <c r="AI62" s="112"/>
      <c r="AJ62" s="113"/>
      <c r="AK62" s="145"/>
      <c r="AL62" s="4">
        <v>1</v>
      </c>
      <c r="AM62" s="138">
        <v>1</v>
      </c>
      <c r="AN62" s="128">
        <v>1</v>
      </c>
      <c r="AO62" s="112"/>
      <c r="AP62" s="113"/>
      <c r="AQ62" s="145"/>
      <c r="AR62" s="4">
        <v>1</v>
      </c>
      <c r="AS62" s="115"/>
      <c r="AT62" s="111"/>
      <c r="AU62" s="112"/>
      <c r="AV62" s="113"/>
      <c r="AW62" s="145"/>
      <c r="AX62">
        <f t="shared" si="5"/>
        <v>10</v>
      </c>
    </row>
    <row r="63" spans="1:50" x14ac:dyDescent="0.15">
      <c r="A63" s="2" t="s">
        <v>22</v>
      </c>
      <c r="C63" s="21"/>
      <c r="D63" s="128"/>
      <c r="E63" s="54"/>
      <c r="F63" s="64"/>
      <c r="G63" s="69"/>
      <c r="I63" s="21"/>
      <c r="J63" s="128"/>
      <c r="K63" s="54"/>
      <c r="L63" s="64"/>
      <c r="M63" s="69"/>
      <c r="O63" s="21"/>
      <c r="P63" s="128"/>
      <c r="Q63" s="54"/>
      <c r="R63" s="64"/>
      <c r="S63" s="69"/>
      <c r="U63" s="21"/>
      <c r="V63" s="128"/>
      <c r="W63" s="54"/>
      <c r="X63" s="64"/>
      <c r="Y63" s="69"/>
      <c r="AA63" s="21"/>
      <c r="AB63" s="128"/>
      <c r="AC63" s="54"/>
      <c r="AD63" s="64"/>
      <c r="AE63" s="69"/>
      <c r="AG63" s="21"/>
      <c r="AH63" s="128"/>
      <c r="AI63" s="54"/>
      <c r="AJ63" s="64"/>
      <c r="AK63" s="69"/>
      <c r="AM63" s="21"/>
      <c r="AN63" s="128"/>
      <c r="AO63" s="54"/>
      <c r="AP63" s="64"/>
      <c r="AQ63" s="69"/>
      <c r="AS63" s="21"/>
      <c r="AT63" s="128"/>
      <c r="AU63" s="54"/>
      <c r="AV63" s="64"/>
      <c r="AW63" s="69"/>
      <c r="AX63">
        <f t="shared" si="5"/>
        <v>0</v>
      </c>
    </row>
    <row r="64" spans="1:50" x14ac:dyDescent="0.15">
      <c r="A64" s="5" t="s">
        <v>132</v>
      </c>
      <c r="C64" s="21"/>
      <c r="D64" s="128"/>
      <c r="E64" s="54"/>
      <c r="F64" s="64"/>
      <c r="G64" s="69"/>
      <c r="I64" s="21"/>
      <c r="J64" s="128"/>
      <c r="K64" s="54"/>
      <c r="L64" s="64"/>
      <c r="M64" s="69"/>
      <c r="O64" s="21"/>
      <c r="P64" s="128"/>
      <c r="Q64" s="54"/>
      <c r="R64" s="64"/>
      <c r="S64" s="69"/>
      <c r="U64" s="21"/>
      <c r="V64" s="128"/>
      <c r="W64" s="54"/>
      <c r="X64" s="64"/>
      <c r="Y64" s="69"/>
      <c r="AA64" s="21"/>
      <c r="AB64" s="128"/>
      <c r="AC64" s="54"/>
      <c r="AD64" s="64"/>
      <c r="AE64" s="69"/>
      <c r="AG64" s="21"/>
      <c r="AH64" s="128"/>
      <c r="AI64" s="54"/>
      <c r="AJ64" s="64"/>
      <c r="AK64" s="69"/>
      <c r="AM64" s="21"/>
      <c r="AN64" s="128"/>
      <c r="AO64" s="54"/>
      <c r="AP64" s="64"/>
      <c r="AQ64" s="69"/>
      <c r="AS64" s="21"/>
      <c r="AT64" s="128"/>
      <c r="AU64" s="54"/>
      <c r="AV64" s="64"/>
      <c r="AW64" s="69"/>
      <c r="AX64">
        <f t="shared" si="5"/>
        <v>0</v>
      </c>
    </row>
    <row r="65" spans="1:50" x14ac:dyDescent="0.15">
      <c r="A65" s="5" t="s">
        <v>191</v>
      </c>
      <c r="C65" s="21"/>
      <c r="D65" s="128"/>
      <c r="E65" s="54"/>
      <c r="F65" s="64"/>
      <c r="G65" s="69"/>
      <c r="I65" s="21"/>
      <c r="J65" s="128"/>
      <c r="K65" s="54"/>
      <c r="L65" s="64"/>
      <c r="M65" s="69"/>
      <c r="O65" s="21"/>
      <c r="P65" s="128"/>
      <c r="Q65" s="54"/>
      <c r="R65" s="64"/>
      <c r="S65" s="69"/>
      <c r="U65" s="21"/>
      <c r="V65" s="128"/>
      <c r="W65" s="54"/>
      <c r="X65" s="64"/>
      <c r="Y65" s="69"/>
      <c r="AA65" s="21"/>
      <c r="AB65" s="128"/>
      <c r="AC65" s="54"/>
      <c r="AD65" s="64"/>
      <c r="AE65" s="69"/>
      <c r="AG65" s="21"/>
      <c r="AH65" s="128"/>
      <c r="AI65" s="54"/>
      <c r="AJ65" s="64"/>
      <c r="AK65" s="69"/>
      <c r="AM65" s="21"/>
      <c r="AN65" s="128"/>
      <c r="AO65" s="54"/>
      <c r="AP65" s="64"/>
      <c r="AQ65" s="69"/>
      <c r="AS65" s="21"/>
      <c r="AT65" s="128"/>
      <c r="AU65" s="54"/>
      <c r="AV65" s="64"/>
      <c r="AW65" s="69"/>
      <c r="AX65">
        <f t="shared" si="5"/>
        <v>0</v>
      </c>
    </row>
    <row r="66" spans="1:50" x14ac:dyDescent="0.15">
      <c r="A66" s="5" t="s">
        <v>218</v>
      </c>
      <c r="C66" s="21"/>
      <c r="D66" s="128"/>
      <c r="E66" s="54"/>
      <c r="F66" s="64"/>
      <c r="G66" s="69"/>
      <c r="I66" s="21"/>
      <c r="J66" s="128"/>
      <c r="K66" s="54"/>
      <c r="L66" s="64"/>
      <c r="M66" s="69"/>
      <c r="O66" s="21"/>
      <c r="P66" s="128"/>
      <c r="Q66" s="54"/>
      <c r="R66" s="64"/>
      <c r="S66" s="69"/>
      <c r="U66" s="21"/>
      <c r="V66" s="128"/>
      <c r="W66" s="54"/>
      <c r="X66" s="64"/>
      <c r="Y66" s="69"/>
      <c r="AA66" s="21"/>
      <c r="AB66" s="128"/>
      <c r="AC66" s="54"/>
      <c r="AD66" s="64"/>
      <c r="AE66" s="69"/>
      <c r="AG66" s="21"/>
      <c r="AH66" s="128"/>
      <c r="AI66" s="54"/>
      <c r="AJ66" s="64"/>
      <c r="AK66" s="69"/>
      <c r="AM66" s="21"/>
      <c r="AN66" s="128"/>
      <c r="AO66" s="54"/>
      <c r="AP66" s="64"/>
      <c r="AQ66" s="69"/>
      <c r="AS66" s="21"/>
      <c r="AT66" s="128"/>
      <c r="AU66" s="54"/>
      <c r="AV66" s="64"/>
      <c r="AW66" s="69"/>
      <c r="AX66">
        <f t="shared" si="5"/>
        <v>0</v>
      </c>
    </row>
    <row r="67" spans="1:50" x14ac:dyDescent="0.15">
      <c r="A67" s="5" t="s">
        <v>203</v>
      </c>
      <c r="C67" s="21"/>
      <c r="D67" s="128"/>
      <c r="E67" s="54"/>
      <c r="F67" s="64"/>
      <c r="G67" s="69"/>
      <c r="I67" s="21"/>
      <c r="J67" s="128"/>
      <c r="K67" s="54"/>
      <c r="L67" s="64"/>
      <c r="M67" s="69"/>
      <c r="O67" s="21"/>
      <c r="P67" s="128"/>
      <c r="Q67" s="54"/>
      <c r="R67" s="64"/>
      <c r="S67" s="69"/>
      <c r="U67" s="21"/>
      <c r="V67" s="128"/>
      <c r="W67" s="54"/>
      <c r="X67" s="64"/>
      <c r="Y67" s="69"/>
      <c r="AA67" s="21"/>
      <c r="AB67" s="128"/>
      <c r="AC67" s="54">
        <v>1</v>
      </c>
      <c r="AD67" s="64">
        <v>1</v>
      </c>
      <c r="AE67" s="69"/>
      <c r="AG67" s="21"/>
      <c r="AH67" s="128">
        <v>1</v>
      </c>
      <c r="AI67" s="54">
        <v>1</v>
      </c>
      <c r="AJ67" s="64">
        <v>1</v>
      </c>
      <c r="AK67" s="69"/>
      <c r="AM67" s="21"/>
      <c r="AN67" s="128"/>
      <c r="AO67" s="54">
        <v>1</v>
      </c>
      <c r="AP67" s="64">
        <v>1</v>
      </c>
      <c r="AQ67" s="69">
        <v>1</v>
      </c>
      <c r="AS67" s="21"/>
      <c r="AT67" s="128"/>
      <c r="AU67" s="54"/>
      <c r="AV67" s="64"/>
      <c r="AW67" s="69"/>
      <c r="AX67">
        <f t="shared" si="5"/>
        <v>8</v>
      </c>
    </row>
    <row r="68" spans="1:50" x14ac:dyDescent="0.15">
      <c r="A68" s="2" t="s">
        <v>23</v>
      </c>
      <c r="C68" s="21"/>
      <c r="D68" s="128"/>
      <c r="E68" s="54"/>
      <c r="F68" s="64"/>
      <c r="G68" s="69"/>
      <c r="I68" s="21"/>
      <c r="J68" s="128"/>
      <c r="K68" s="54"/>
      <c r="L68" s="64"/>
      <c r="M68" s="69"/>
      <c r="O68" s="21"/>
      <c r="P68" s="128"/>
      <c r="Q68" s="54"/>
      <c r="R68" s="64"/>
      <c r="S68" s="69"/>
      <c r="U68" s="21"/>
      <c r="V68" s="128"/>
      <c r="W68" s="54"/>
      <c r="X68" s="64"/>
      <c r="Y68" s="69"/>
      <c r="AA68" s="21"/>
      <c r="AB68" s="128"/>
      <c r="AC68" s="54"/>
      <c r="AD68" s="64"/>
      <c r="AE68" s="69"/>
      <c r="AG68" s="21"/>
      <c r="AH68" s="128"/>
      <c r="AI68" s="54"/>
      <c r="AJ68" s="64"/>
      <c r="AK68" s="69"/>
      <c r="AM68" s="21"/>
      <c r="AN68" s="128"/>
      <c r="AO68" s="54"/>
      <c r="AP68" s="64"/>
      <c r="AQ68" s="69"/>
      <c r="AS68" s="21"/>
      <c r="AT68" s="128"/>
      <c r="AU68" s="54"/>
      <c r="AV68" s="64"/>
      <c r="AW68" s="69"/>
      <c r="AX68">
        <f t="shared" si="5"/>
        <v>0</v>
      </c>
    </row>
    <row r="69" spans="1:50" x14ac:dyDescent="0.15">
      <c r="A69" s="2" t="s">
        <v>208</v>
      </c>
      <c r="C69" s="21">
        <v>1</v>
      </c>
      <c r="D69" s="128">
        <v>1</v>
      </c>
      <c r="E69" s="54">
        <v>1</v>
      </c>
      <c r="F69" s="64">
        <v>1</v>
      </c>
      <c r="G69" s="69">
        <v>1</v>
      </c>
      <c r="I69" s="21"/>
      <c r="J69" s="128"/>
      <c r="K69" s="54"/>
      <c r="L69" s="64"/>
      <c r="M69" s="69"/>
      <c r="O69" s="21"/>
      <c r="P69" s="128"/>
      <c r="Q69" s="54"/>
      <c r="R69" s="64"/>
      <c r="S69" s="69"/>
      <c r="U69" s="21"/>
      <c r="V69" s="128"/>
      <c r="W69" s="54"/>
      <c r="X69" s="64"/>
      <c r="Y69" s="69"/>
      <c r="AA69" s="21"/>
      <c r="AB69" s="128"/>
      <c r="AC69" s="54"/>
      <c r="AD69" s="64"/>
      <c r="AE69" s="69"/>
      <c r="AG69" s="21"/>
      <c r="AH69" s="128"/>
      <c r="AI69" s="54"/>
      <c r="AJ69" s="64"/>
      <c r="AK69" s="69"/>
      <c r="AM69" s="21"/>
      <c r="AN69" s="128"/>
      <c r="AO69" s="54"/>
      <c r="AP69" s="64"/>
      <c r="AQ69" s="69"/>
      <c r="AS69" s="21"/>
      <c r="AT69" s="128"/>
      <c r="AU69" s="54"/>
      <c r="AV69" s="64"/>
      <c r="AW69" s="69"/>
      <c r="AX69">
        <f t="shared" si="5"/>
        <v>5</v>
      </c>
    </row>
    <row r="70" spans="1:50" x14ac:dyDescent="0.15">
      <c r="A70" s="2" t="s">
        <v>41</v>
      </c>
      <c r="C70" s="21"/>
      <c r="D70" s="128"/>
      <c r="E70" s="54"/>
      <c r="F70" s="64"/>
      <c r="G70" s="69"/>
      <c r="I70" s="21"/>
      <c r="J70" s="128"/>
      <c r="K70" s="54"/>
      <c r="L70" s="64"/>
      <c r="M70" s="69"/>
      <c r="O70" s="21"/>
      <c r="P70" s="128"/>
      <c r="Q70" s="54"/>
      <c r="R70" s="64"/>
      <c r="S70" s="69"/>
      <c r="U70" s="21"/>
      <c r="V70" s="128"/>
      <c r="W70" s="54"/>
      <c r="X70" s="64"/>
      <c r="Y70" s="69"/>
      <c r="AA70" s="21"/>
      <c r="AB70" s="128"/>
      <c r="AC70" s="54"/>
      <c r="AD70" s="64"/>
      <c r="AE70" s="69"/>
      <c r="AG70" s="21"/>
      <c r="AH70" s="128"/>
      <c r="AI70" s="54"/>
      <c r="AJ70" s="64"/>
      <c r="AK70" s="69"/>
      <c r="AM70" s="21"/>
      <c r="AN70" s="128"/>
      <c r="AO70" s="54"/>
      <c r="AP70" s="64"/>
      <c r="AQ70" s="69"/>
      <c r="AS70" s="21"/>
      <c r="AT70" s="128"/>
      <c r="AU70" s="54"/>
      <c r="AV70" s="64"/>
      <c r="AW70" s="69"/>
      <c r="AX70">
        <f t="shared" si="5"/>
        <v>0</v>
      </c>
    </row>
    <row r="71" spans="1:50" x14ac:dyDescent="0.15">
      <c r="A71" s="5" t="s">
        <v>95</v>
      </c>
      <c r="C71" s="21"/>
      <c r="D71" s="128"/>
      <c r="E71" s="54"/>
      <c r="F71" s="64"/>
      <c r="G71" s="69"/>
      <c r="I71" s="21"/>
      <c r="J71" s="128"/>
      <c r="K71" s="54"/>
      <c r="L71" s="64"/>
      <c r="M71" s="69"/>
      <c r="O71" s="21"/>
      <c r="P71" s="128"/>
      <c r="Q71" s="54"/>
      <c r="R71" s="64"/>
      <c r="S71" s="69"/>
      <c r="U71" s="21"/>
      <c r="V71" s="128"/>
      <c r="W71" s="54"/>
      <c r="X71" s="64"/>
      <c r="Y71" s="69"/>
      <c r="AA71" s="21"/>
      <c r="AB71" s="128"/>
      <c r="AC71" s="54"/>
      <c r="AD71" s="64"/>
      <c r="AE71" s="69"/>
      <c r="AG71" s="21"/>
      <c r="AH71" s="128"/>
      <c r="AI71" s="54"/>
      <c r="AJ71" s="64"/>
      <c r="AK71" s="69"/>
      <c r="AM71" s="21"/>
      <c r="AN71" s="128"/>
      <c r="AO71" s="54"/>
      <c r="AP71" s="64"/>
      <c r="AQ71" s="69"/>
      <c r="AS71" s="21"/>
      <c r="AT71" s="128"/>
      <c r="AU71" s="54"/>
      <c r="AV71" s="64"/>
      <c r="AW71" s="69"/>
      <c r="AX71">
        <f t="shared" ref="AX71:AX84" si="6">COUNTA(B71:AW71)</f>
        <v>0</v>
      </c>
    </row>
    <row r="72" spans="1:50" x14ac:dyDescent="0.15">
      <c r="A72" s="5" t="s">
        <v>111</v>
      </c>
      <c r="C72" s="21"/>
      <c r="D72" s="128"/>
      <c r="E72" s="54"/>
      <c r="F72" s="64"/>
      <c r="G72" s="69"/>
      <c r="I72" s="21"/>
      <c r="J72" s="128"/>
      <c r="K72" s="54"/>
      <c r="L72" s="64"/>
      <c r="M72" s="69"/>
      <c r="O72" s="21"/>
      <c r="P72" s="128"/>
      <c r="Q72" s="54"/>
      <c r="R72" s="64"/>
      <c r="S72" s="69"/>
      <c r="U72" s="21"/>
      <c r="V72" s="128"/>
      <c r="W72" s="54"/>
      <c r="X72" s="64"/>
      <c r="Y72" s="69"/>
      <c r="AA72" s="21"/>
      <c r="AB72" s="128"/>
      <c r="AC72" s="54"/>
      <c r="AD72" s="64"/>
      <c r="AE72" s="69"/>
      <c r="AG72" s="21"/>
      <c r="AH72" s="128"/>
      <c r="AI72" s="54"/>
      <c r="AJ72" s="64"/>
      <c r="AK72" s="69"/>
      <c r="AM72" s="21"/>
      <c r="AN72" s="128"/>
      <c r="AO72" s="54"/>
      <c r="AP72" s="64"/>
      <c r="AQ72" s="69"/>
      <c r="AS72" s="21"/>
      <c r="AT72" s="128"/>
      <c r="AU72" s="54"/>
      <c r="AV72" s="64"/>
      <c r="AW72" s="69"/>
      <c r="AX72">
        <f t="shared" si="6"/>
        <v>0</v>
      </c>
    </row>
    <row r="73" spans="1:50" x14ac:dyDescent="0.15">
      <c r="A73" s="2" t="s">
        <v>7</v>
      </c>
      <c r="C73" s="21"/>
      <c r="D73" s="128"/>
      <c r="E73" s="54"/>
      <c r="F73" s="64"/>
      <c r="G73" s="69"/>
      <c r="I73" s="21"/>
      <c r="J73" s="128"/>
      <c r="K73" s="54"/>
      <c r="L73" s="64"/>
      <c r="M73" s="69"/>
      <c r="O73" s="21"/>
      <c r="P73" s="128"/>
      <c r="Q73" s="54"/>
      <c r="R73" s="64"/>
      <c r="S73" s="69"/>
      <c r="U73" s="21"/>
      <c r="V73" s="128"/>
      <c r="W73" s="54"/>
      <c r="X73" s="64"/>
      <c r="Y73" s="69"/>
      <c r="AA73" s="21"/>
      <c r="AB73" s="128"/>
      <c r="AC73" s="54"/>
      <c r="AD73" s="64"/>
      <c r="AE73" s="69"/>
      <c r="AF73">
        <v>1</v>
      </c>
      <c r="AG73" s="21">
        <v>1</v>
      </c>
      <c r="AH73" s="128">
        <v>1</v>
      </c>
      <c r="AI73" s="54">
        <v>1</v>
      </c>
      <c r="AJ73" s="64">
        <v>1</v>
      </c>
      <c r="AK73" s="69">
        <v>1</v>
      </c>
      <c r="AL73">
        <v>2</v>
      </c>
      <c r="AM73" s="21">
        <v>1</v>
      </c>
      <c r="AN73" s="128">
        <v>1</v>
      </c>
      <c r="AO73" s="54">
        <v>1</v>
      </c>
      <c r="AP73" s="64">
        <v>1</v>
      </c>
      <c r="AQ73" s="69">
        <v>1</v>
      </c>
      <c r="AS73" s="21"/>
      <c r="AT73" s="128"/>
      <c r="AU73" s="54"/>
      <c r="AV73" s="64"/>
      <c r="AW73" s="69"/>
      <c r="AX73">
        <f t="shared" si="6"/>
        <v>12</v>
      </c>
    </row>
    <row r="74" spans="1:50" x14ac:dyDescent="0.15">
      <c r="A74" s="2" t="s">
        <v>32</v>
      </c>
      <c r="C74" s="21"/>
      <c r="D74" s="128"/>
      <c r="E74" s="54"/>
      <c r="F74" s="64"/>
      <c r="G74" s="69"/>
      <c r="I74" s="21"/>
      <c r="J74" s="128"/>
      <c r="K74" s="54"/>
      <c r="L74" s="64"/>
      <c r="M74" s="69"/>
      <c r="O74" s="21"/>
      <c r="P74" s="128"/>
      <c r="Q74" s="54"/>
      <c r="R74" s="64"/>
      <c r="S74" s="69"/>
      <c r="U74" s="21"/>
      <c r="V74" s="128"/>
      <c r="W74" s="54"/>
      <c r="X74" s="64"/>
      <c r="Y74" s="69"/>
      <c r="AA74" s="21"/>
      <c r="AB74" s="128"/>
      <c r="AC74" s="54"/>
      <c r="AD74" s="64"/>
      <c r="AE74" s="69"/>
      <c r="AG74" s="21"/>
      <c r="AH74" s="128"/>
      <c r="AI74" s="54"/>
      <c r="AJ74" s="64"/>
      <c r="AK74" s="69"/>
      <c r="AM74" s="21"/>
      <c r="AN74" s="128"/>
      <c r="AO74" s="54"/>
      <c r="AP74" s="64"/>
      <c r="AQ74" s="69"/>
      <c r="AS74" s="21"/>
      <c r="AT74" s="128"/>
      <c r="AU74" s="54"/>
      <c r="AV74" s="64"/>
      <c r="AW74" s="69"/>
      <c r="AX74">
        <f t="shared" si="6"/>
        <v>0</v>
      </c>
    </row>
    <row r="75" spans="1:50" x14ac:dyDescent="0.15">
      <c r="A75" s="5" t="s">
        <v>72</v>
      </c>
      <c r="C75" s="21"/>
      <c r="D75" s="128"/>
      <c r="E75" s="54"/>
      <c r="F75" s="64"/>
      <c r="G75" s="69"/>
      <c r="I75" s="21"/>
      <c r="J75" s="128"/>
      <c r="K75" s="54"/>
      <c r="L75" s="64"/>
      <c r="M75" s="69"/>
      <c r="O75" s="21"/>
      <c r="P75" s="128"/>
      <c r="Q75" s="54"/>
      <c r="R75" s="64"/>
      <c r="S75" s="69"/>
      <c r="U75" s="21"/>
      <c r="V75" s="128"/>
      <c r="W75" s="54"/>
      <c r="X75" s="64"/>
      <c r="Y75" s="69"/>
      <c r="AA75" s="21"/>
      <c r="AB75" s="128"/>
      <c r="AC75" s="54"/>
      <c r="AD75" s="64"/>
      <c r="AE75" s="69"/>
      <c r="AG75" s="21"/>
      <c r="AH75" s="128"/>
      <c r="AI75" s="54"/>
      <c r="AJ75" s="64"/>
      <c r="AK75" s="69"/>
      <c r="AM75" s="21"/>
      <c r="AN75" s="128"/>
      <c r="AO75" s="54"/>
      <c r="AP75" s="64"/>
      <c r="AQ75" s="69"/>
      <c r="AS75" s="21"/>
      <c r="AT75" s="128"/>
      <c r="AU75" s="54"/>
      <c r="AV75" s="64"/>
      <c r="AW75" s="69"/>
      <c r="AX75">
        <f t="shared" si="6"/>
        <v>0</v>
      </c>
    </row>
    <row r="76" spans="1:50" x14ac:dyDescent="0.15">
      <c r="A76" s="5" t="s">
        <v>61</v>
      </c>
      <c r="C76" s="21"/>
      <c r="D76" s="128"/>
      <c r="E76" s="54"/>
      <c r="F76" s="64"/>
      <c r="G76" s="69"/>
      <c r="I76" s="21"/>
      <c r="J76" s="128"/>
      <c r="K76" s="54"/>
      <c r="L76" s="64"/>
      <c r="M76" s="69"/>
      <c r="O76" s="21"/>
      <c r="P76" s="128"/>
      <c r="Q76" s="54"/>
      <c r="R76" s="64"/>
      <c r="S76" s="69"/>
      <c r="U76" s="21"/>
      <c r="V76" s="128"/>
      <c r="W76" s="54"/>
      <c r="X76" s="64"/>
      <c r="Y76" s="69"/>
      <c r="AA76" s="21"/>
      <c r="AB76" s="128"/>
      <c r="AC76" s="54"/>
      <c r="AD76" s="64"/>
      <c r="AE76" s="69"/>
      <c r="AG76" s="21"/>
      <c r="AH76" s="128"/>
      <c r="AI76" s="54"/>
      <c r="AJ76" s="64"/>
      <c r="AK76" s="69"/>
      <c r="AM76" s="21"/>
      <c r="AN76" s="128"/>
      <c r="AO76" s="54"/>
      <c r="AP76" s="64"/>
      <c r="AQ76" s="69"/>
      <c r="AS76" s="21"/>
      <c r="AT76" s="128"/>
      <c r="AU76" s="54"/>
      <c r="AV76" s="64"/>
      <c r="AW76" s="69"/>
      <c r="AX76">
        <f t="shared" si="6"/>
        <v>0</v>
      </c>
    </row>
    <row r="77" spans="1:50" x14ac:dyDescent="0.15">
      <c r="A77" s="5" t="s">
        <v>42</v>
      </c>
      <c r="C77" s="21"/>
      <c r="D77" s="128"/>
      <c r="E77" s="54"/>
      <c r="F77" s="64"/>
      <c r="G77" s="69"/>
      <c r="I77" s="21"/>
      <c r="J77" s="128"/>
      <c r="K77" s="54"/>
      <c r="L77" s="64"/>
      <c r="M77" s="69">
        <v>1</v>
      </c>
      <c r="O77" s="21"/>
      <c r="P77" s="128"/>
      <c r="Q77" s="54"/>
      <c r="R77" s="64"/>
      <c r="S77" s="69"/>
      <c r="U77" s="21"/>
      <c r="V77" s="128"/>
      <c r="W77" s="54"/>
      <c r="X77" s="64"/>
      <c r="Y77" s="69"/>
      <c r="AA77" s="21"/>
      <c r="AB77" s="128"/>
      <c r="AC77" s="54"/>
      <c r="AD77" s="64"/>
      <c r="AE77" s="69"/>
      <c r="AG77" s="21"/>
      <c r="AH77" s="128"/>
      <c r="AI77" s="54"/>
      <c r="AJ77" s="64"/>
      <c r="AK77" s="69"/>
      <c r="AM77" s="21"/>
      <c r="AN77" s="128"/>
      <c r="AO77" s="54"/>
      <c r="AP77" s="64"/>
      <c r="AQ77" s="69"/>
      <c r="AS77" s="21"/>
      <c r="AT77" s="128"/>
      <c r="AU77" s="54"/>
      <c r="AV77" s="64"/>
      <c r="AW77" s="69"/>
      <c r="AX77">
        <f t="shared" si="6"/>
        <v>1</v>
      </c>
    </row>
    <row r="78" spans="1:50" x14ac:dyDescent="0.15">
      <c r="A78" s="5" t="s">
        <v>205</v>
      </c>
      <c r="C78" s="21"/>
      <c r="D78" s="128"/>
      <c r="E78" s="54"/>
      <c r="F78" s="64"/>
      <c r="G78" s="69"/>
      <c r="I78" s="21"/>
      <c r="J78" s="128"/>
      <c r="K78" s="54"/>
      <c r="L78" s="64"/>
      <c r="M78" s="69"/>
      <c r="O78" s="21"/>
      <c r="P78" s="128"/>
      <c r="Q78" s="54"/>
      <c r="R78" s="64"/>
      <c r="S78" s="69"/>
      <c r="U78" s="21"/>
      <c r="V78" s="128"/>
      <c r="W78" s="54"/>
      <c r="X78" s="64"/>
      <c r="Y78" s="69"/>
      <c r="AA78" s="21"/>
      <c r="AB78" s="128"/>
      <c r="AC78" s="54"/>
      <c r="AD78" s="64"/>
      <c r="AE78" s="69"/>
      <c r="AG78" s="21"/>
      <c r="AH78" s="128"/>
      <c r="AI78" s="54"/>
      <c r="AJ78" s="64"/>
      <c r="AK78" s="69"/>
      <c r="AM78" s="21"/>
      <c r="AN78" s="128"/>
      <c r="AO78" s="54"/>
      <c r="AP78" s="64"/>
      <c r="AQ78" s="69"/>
      <c r="AS78" s="21"/>
      <c r="AT78" s="128"/>
      <c r="AU78" s="54"/>
      <c r="AV78" s="64"/>
      <c r="AW78" s="69"/>
      <c r="AX78">
        <f t="shared" si="6"/>
        <v>0</v>
      </c>
    </row>
    <row r="79" spans="1:50" x14ac:dyDescent="0.15">
      <c r="A79" s="2" t="s">
        <v>213</v>
      </c>
      <c r="C79" s="21"/>
      <c r="D79" s="128"/>
      <c r="E79" s="54"/>
      <c r="F79" s="64"/>
      <c r="G79" s="69"/>
      <c r="I79" s="21"/>
      <c r="J79" s="128"/>
      <c r="K79" s="54"/>
      <c r="L79" s="64"/>
      <c r="M79" s="69"/>
      <c r="O79" s="21"/>
      <c r="P79" s="128"/>
      <c r="Q79" s="54"/>
      <c r="R79" s="64"/>
      <c r="S79" s="69"/>
      <c r="U79" s="21"/>
      <c r="V79" s="128"/>
      <c r="W79" s="54"/>
      <c r="X79" s="64"/>
      <c r="Y79" s="69"/>
      <c r="AA79" s="21"/>
      <c r="AB79" s="128"/>
      <c r="AC79" s="54"/>
      <c r="AD79" s="64"/>
      <c r="AE79" s="69"/>
      <c r="AG79" s="21"/>
      <c r="AH79" s="128"/>
      <c r="AI79" s="54"/>
      <c r="AJ79" s="64"/>
      <c r="AK79" s="69"/>
      <c r="AM79" s="21"/>
      <c r="AN79" s="128"/>
      <c r="AO79" s="54"/>
      <c r="AP79" s="64"/>
      <c r="AQ79" s="69"/>
      <c r="AS79" s="21"/>
      <c r="AT79" s="128">
        <v>1</v>
      </c>
      <c r="AU79" s="54">
        <v>2</v>
      </c>
      <c r="AV79" s="64">
        <v>1</v>
      </c>
      <c r="AW79" s="69">
        <v>2</v>
      </c>
      <c r="AX79">
        <f t="shared" si="6"/>
        <v>4</v>
      </c>
    </row>
    <row r="80" spans="1:50" x14ac:dyDescent="0.15">
      <c r="A80" s="5" t="s">
        <v>96</v>
      </c>
      <c r="C80" s="21"/>
      <c r="D80" s="128"/>
      <c r="E80" s="54"/>
      <c r="F80" s="64"/>
      <c r="G80" s="69"/>
      <c r="I80" s="21"/>
      <c r="J80" s="128"/>
      <c r="K80" s="54"/>
      <c r="L80" s="64"/>
      <c r="M80" s="69"/>
      <c r="O80" s="21"/>
      <c r="P80" s="128"/>
      <c r="Q80" s="54"/>
      <c r="R80" s="64"/>
      <c r="S80" s="69"/>
      <c r="U80" s="21"/>
      <c r="V80" s="128"/>
      <c r="W80" s="54"/>
      <c r="X80" s="64"/>
      <c r="Y80" s="69"/>
      <c r="AA80" s="21"/>
      <c r="AB80" s="128"/>
      <c r="AC80" s="54"/>
      <c r="AD80" s="64"/>
      <c r="AE80" s="69"/>
      <c r="AG80" s="21"/>
      <c r="AH80" s="128"/>
      <c r="AI80" s="54"/>
      <c r="AJ80" s="64"/>
      <c r="AK80" s="69"/>
      <c r="AM80" s="21"/>
      <c r="AN80" s="128"/>
      <c r="AO80" s="54"/>
      <c r="AP80" s="64"/>
      <c r="AQ80" s="69"/>
      <c r="AS80" s="21"/>
      <c r="AT80" s="128"/>
      <c r="AU80" s="54"/>
      <c r="AV80" s="64"/>
      <c r="AW80" s="69"/>
      <c r="AX80">
        <f t="shared" si="6"/>
        <v>0</v>
      </c>
    </row>
    <row r="81" spans="1:50" x14ac:dyDescent="0.15">
      <c r="A81" s="2" t="s">
        <v>175</v>
      </c>
      <c r="C81" s="21"/>
      <c r="D81" s="128"/>
      <c r="E81" s="54"/>
      <c r="F81" s="64"/>
      <c r="G81" s="69"/>
      <c r="I81" s="21"/>
      <c r="J81" s="128"/>
      <c r="K81" s="54"/>
      <c r="L81" s="64"/>
      <c r="M81" s="69"/>
      <c r="O81" s="21"/>
      <c r="P81" s="128"/>
      <c r="Q81" s="54"/>
      <c r="R81" s="64"/>
      <c r="S81" s="69"/>
      <c r="U81" s="21"/>
      <c r="V81" s="128"/>
      <c r="W81" s="54"/>
      <c r="X81" s="64"/>
      <c r="Y81" s="69"/>
      <c r="AA81" s="21"/>
      <c r="AB81" s="128"/>
      <c r="AC81" s="54"/>
      <c r="AD81" s="64"/>
      <c r="AE81" s="69"/>
      <c r="AG81" s="21"/>
      <c r="AH81" s="128"/>
      <c r="AI81" s="54"/>
      <c r="AJ81" s="64"/>
      <c r="AK81" s="69"/>
      <c r="AM81" s="21"/>
      <c r="AN81" s="128"/>
      <c r="AO81" s="54"/>
      <c r="AP81" s="64"/>
      <c r="AQ81" s="69"/>
      <c r="AS81" s="21"/>
      <c r="AT81" s="128"/>
      <c r="AU81" s="54"/>
      <c r="AV81" s="64"/>
      <c r="AW81" s="69"/>
      <c r="AX81">
        <f t="shared" si="6"/>
        <v>0</v>
      </c>
    </row>
    <row r="82" spans="1:50" x14ac:dyDescent="0.15">
      <c r="A82" s="2" t="s">
        <v>24</v>
      </c>
      <c r="C82" s="21">
        <v>1</v>
      </c>
      <c r="D82" s="128"/>
      <c r="E82" s="54"/>
      <c r="F82" s="64"/>
      <c r="G82" s="69"/>
      <c r="I82" s="21">
        <v>1</v>
      </c>
      <c r="J82" s="128"/>
      <c r="K82" s="54"/>
      <c r="L82" s="64"/>
      <c r="M82" s="69"/>
      <c r="O82" s="21">
        <v>1</v>
      </c>
      <c r="P82" s="128"/>
      <c r="Q82" s="54"/>
      <c r="R82" s="64"/>
      <c r="S82" s="69"/>
      <c r="U82" s="21"/>
      <c r="V82" s="128"/>
      <c r="W82" s="54"/>
      <c r="X82" s="64"/>
      <c r="Y82" s="69"/>
      <c r="AA82" s="21">
        <v>1</v>
      </c>
      <c r="AB82" s="128"/>
      <c r="AC82" s="54"/>
      <c r="AD82" s="64"/>
      <c r="AE82" s="69"/>
      <c r="AG82" s="21">
        <v>3</v>
      </c>
      <c r="AH82" s="128"/>
      <c r="AI82" s="54"/>
      <c r="AJ82" s="64"/>
      <c r="AK82" s="69"/>
      <c r="AM82" s="21"/>
      <c r="AN82" s="128"/>
      <c r="AO82" s="54"/>
      <c r="AP82" s="64"/>
      <c r="AQ82" s="69"/>
      <c r="AS82" s="21">
        <v>1</v>
      </c>
      <c r="AT82" s="128"/>
      <c r="AU82" s="54"/>
      <c r="AV82" s="64"/>
      <c r="AW82" s="69"/>
      <c r="AX82">
        <f t="shared" si="6"/>
        <v>6</v>
      </c>
    </row>
    <row r="83" spans="1:50" x14ac:dyDescent="0.15">
      <c r="A83" s="2" t="s">
        <v>189</v>
      </c>
      <c r="C83" s="21"/>
      <c r="D83" s="128">
        <v>1</v>
      </c>
      <c r="E83" s="54"/>
      <c r="F83" s="64"/>
      <c r="G83" s="69"/>
      <c r="I83" s="21"/>
      <c r="J83" s="128"/>
      <c r="K83" s="54"/>
      <c r="L83" s="64"/>
      <c r="M83" s="69"/>
      <c r="O83" s="21"/>
      <c r="P83" s="128"/>
      <c r="Q83" s="54"/>
      <c r="R83" s="64"/>
      <c r="S83" s="69">
        <v>1</v>
      </c>
      <c r="U83" s="21"/>
      <c r="V83" s="128"/>
      <c r="W83" s="54"/>
      <c r="X83" s="64"/>
      <c r="Y83" s="69"/>
      <c r="AA83" s="21"/>
      <c r="AB83" s="128"/>
      <c r="AC83" s="54"/>
      <c r="AD83" s="64"/>
      <c r="AE83" s="69">
        <v>1</v>
      </c>
      <c r="AG83" s="21"/>
      <c r="AH83" s="128">
        <v>1</v>
      </c>
      <c r="AI83" s="54">
        <v>2</v>
      </c>
      <c r="AJ83" s="64">
        <v>1</v>
      </c>
      <c r="AK83" s="69">
        <v>1</v>
      </c>
      <c r="AM83" s="21"/>
      <c r="AN83" s="128">
        <v>1</v>
      </c>
      <c r="AO83" s="54"/>
      <c r="AP83" s="64"/>
      <c r="AQ83" s="69"/>
      <c r="AS83" s="21"/>
      <c r="AT83" s="128">
        <v>1</v>
      </c>
      <c r="AU83" s="54">
        <v>1</v>
      </c>
      <c r="AV83" s="64"/>
      <c r="AW83" s="69"/>
      <c r="AX83">
        <f t="shared" si="6"/>
        <v>10</v>
      </c>
    </row>
    <row r="84" spans="1:50" x14ac:dyDescent="0.15">
      <c r="A84" s="5" t="s">
        <v>202</v>
      </c>
      <c r="B84" s="124"/>
      <c r="C84" s="21"/>
      <c r="D84" s="128"/>
      <c r="E84" s="54"/>
      <c r="F84" s="64"/>
      <c r="G84" s="69"/>
      <c r="I84" s="21"/>
      <c r="J84" s="128"/>
      <c r="K84" s="54"/>
      <c r="L84" s="64">
        <v>1</v>
      </c>
      <c r="M84" s="69"/>
      <c r="O84" s="21"/>
      <c r="P84" s="128"/>
      <c r="Q84" s="54"/>
      <c r="R84" s="64"/>
      <c r="S84" s="69"/>
      <c r="U84" s="21"/>
      <c r="V84" s="128"/>
      <c r="W84" s="54"/>
      <c r="X84" s="64"/>
      <c r="Y84" s="69"/>
      <c r="AA84" s="21"/>
      <c r="AB84" s="128"/>
      <c r="AC84" s="54"/>
      <c r="AD84" s="64"/>
      <c r="AE84" s="69"/>
      <c r="AF84" s="124"/>
      <c r="AG84" s="21"/>
      <c r="AH84" s="128"/>
      <c r="AI84" s="54"/>
      <c r="AJ84" s="64"/>
      <c r="AK84" s="69"/>
      <c r="AM84" s="21"/>
      <c r="AN84" s="128"/>
      <c r="AO84" s="54"/>
      <c r="AP84" s="64"/>
      <c r="AQ84" s="69"/>
      <c r="AS84" s="21"/>
      <c r="AT84" s="128"/>
      <c r="AU84" s="54"/>
      <c r="AV84" s="64"/>
      <c r="AW84" s="69"/>
      <c r="AX84">
        <f t="shared" si="6"/>
        <v>1</v>
      </c>
    </row>
    <row r="85" spans="1:50" ht="67.5" x14ac:dyDescent="0.15">
      <c r="A85" t="s">
        <v>8</v>
      </c>
      <c r="C85" s="4"/>
      <c r="AA85" s="124" t="s">
        <v>181</v>
      </c>
      <c r="AB85" s="124"/>
      <c r="AC85" s="124"/>
      <c r="AD85" s="124"/>
      <c r="AE85" s="124"/>
    </row>
    <row r="87" spans="1:50" x14ac:dyDescent="0.15">
      <c r="A87">
        <f>COUNTA(A6:A83)</f>
        <v>78</v>
      </c>
    </row>
    <row r="96" spans="1:50" x14ac:dyDescent="0.15">
      <c r="A96" s="3" t="s">
        <v>56</v>
      </c>
      <c r="C96" s="21"/>
      <c r="D96" s="38"/>
      <c r="E96" s="54"/>
      <c r="F96" s="64"/>
      <c r="G96" s="64"/>
      <c r="I96" s="21"/>
      <c r="J96" s="38"/>
      <c r="K96" s="54"/>
      <c r="L96" s="64"/>
      <c r="M96" s="64"/>
      <c r="O96" s="21"/>
      <c r="P96" s="38"/>
      <c r="Q96" s="54"/>
      <c r="R96" s="64"/>
      <c r="S96" s="64"/>
      <c r="U96" s="21"/>
      <c r="V96" s="38"/>
      <c r="W96" s="54"/>
      <c r="X96" s="64"/>
      <c r="Y96" s="64"/>
      <c r="AA96" s="21"/>
      <c r="AB96" s="38"/>
      <c r="AC96" s="54"/>
      <c r="AD96" s="64"/>
      <c r="AE96" s="64"/>
      <c r="AG96" s="21"/>
      <c r="AH96" s="38"/>
      <c r="AI96" s="54"/>
      <c r="AJ96" s="64"/>
      <c r="AK96" s="64"/>
      <c r="AM96" s="21"/>
      <c r="AN96" s="38"/>
      <c r="AO96" s="54"/>
      <c r="AP96" s="64"/>
      <c r="AQ96" s="64"/>
      <c r="AS96" s="21"/>
      <c r="AT96" s="38"/>
      <c r="AU96" s="54"/>
      <c r="AV96" s="64"/>
      <c r="AW96" s="64"/>
    </row>
    <row r="97" spans="1:49" x14ac:dyDescent="0.15">
      <c r="A97" s="5" t="s">
        <v>185</v>
      </c>
      <c r="C97" s="21"/>
      <c r="D97" s="38"/>
      <c r="E97" s="54"/>
      <c r="F97" s="64"/>
      <c r="G97" s="64"/>
      <c r="I97" s="21"/>
      <c r="J97" s="38"/>
      <c r="K97" s="54"/>
      <c r="L97" s="64"/>
      <c r="M97" s="64"/>
      <c r="O97" s="21"/>
      <c r="P97" s="38"/>
      <c r="Q97" s="54"/>
      <c r="R97" s="64"/>
      <c r="S97" s="64"/>
      <c r="U97" s="21"/>
      <c r="V97" s="38"/>
      <c r="W97" s="54"/>
      <c r="X97" s="64"/>
      <c r="Y97" s="64"/>
      <c r="AA97" s="21"/>
      <c r="AB97" s="38"/>
      <c r="AC97" s="54"/>
      <c r="AD97" s="64"/>
      <c r="AE97" s="64"/>
      <c r="AG97" s="21"/>
      <c r="AH97" s="38"/>
      <c r="AI97" s="54"/>
      <c r="AJ97" s="64"/>
      <c r="AK97" s="64"/>
      <c r="AM97" s="21"/>
      <c r="AN97" s="38"/>
      <c r="AO97" s="54"/>
      <c r="AP97" s="64"/>
      <c r="AQ97" s="64"/>
      <c r="AS97" s="21"/>
      <c r="AT97" s="38"/>
      <c r="AU97" s="54"/>
      <c r="AV97" s="64"/>
      <c r="AW97" s="64"/>
    </row>
    <row r="98" spans="1:49" x14ac:dyDescent="0.15">
      <c r="A98" s="7" t="s">
        <v>47</v>
      </c>
      <c r="C98" s="21"/>
      <c r="D98" s="38"/>
      <c r="E98" s="54"/>
      <c r="F98" s="64"/>
      <c r="G98" s="64"/>
      <c r="I98" s="21"/>
      <c r="J98" s="38"/>
      <c r="K98" s="54"/>
      <c r="L98" s="64"/>
      <c r="M98" s="64"/>
      <c r="O98" s="21"/>
      <c r="P98" s="38"/>
      <c r="Q98" s="54"/>
      <c r="R98" s="64"/>
      <c r="S98" s="64"/>
      <c r="U98" s="21"/>
      <c r="V98" s="38"/>
      <c r="W98" s="54"/>
      <c r="X98" s="64"/>
      <c r="Y98" s="64"/>
      <c r="AA98" s="21"/>
      <c r="AB98" s="38"/>
      <c r="AC98" s="54"/>
      <c r="AD98" s="64"/>
      <c r="AE98" s="64"/>
      <c r="AG98" s="21"/>
      <c r="AH98" s="38"/>
      <c r="AI98" s="54"/>
      <c r="AJ98" s="64"/>
      <c r="AK98" s="64"/>
      <c r="AM98" s="21"/>
      <c r="AN98" s="38"/>
      <c r="AO98" s="54"/>
      <c r="AP98" s="64"/>
      <c r="AQ98" s="64"/>
      <c r="AS98" s="21"/>
      <c r="AT98" s="38"/>
      <c r="AU98" s="54"/>
      <c r="AV98" s="64"/>
      <c r="AW98" s="64"/>
    </row>
    <row r="99" spans="1:49" x14ac:dyDescent="0.15">
      <c r="A99" s="39" t="s">
        <v>29</v>
      </c>
      <c r="C99" s="21"/>
      <c r="D99" s="38"/>
      <c r="E99" s="54"/>
      <c r="F99" s="64"/>
      <c r="G99" s="64"/>
      <c r="I99" s="21"/>
      <c r="J99" s="38"/>
      <c r="K99" s="54"/>
      <c r="L99" s="64"/>
      <c r="M99" s="64"/>
      <c r="O99" s="21"/>
      <c r="P99" s="38"/>
      <c r="Q99" s="54"/>
      <c r="R99" s="64"/>
      <c r="S99" s="64"/>
      <c r="U99" s="21"/>
      <c r="V99" s="38"/>
      <c r="W99" s="54"/>
      <c r="X99" s="64"/>
      <c r="Y99" s="64"/>
      <c r="AA99" s="21"/>
      <c r="AB99" s="38"/>
      <c r="AC99" s="54"/>
      <c r="AD99" s="64"/>
      <c r="AE99" s="64"/>
      <c r="AG99" s="21"/>
      <c r="AH99" s="38"/>
      <c r="AI99" s="54"/>
      <c r="AJ99" s="64"/>
      <c r="AK99" s="64"/>
      <c r="AM99" s="21"/>
      <c r="AN99" s="38"/>
      <c r="AO99" s="54"/>
      <c r="AP99" s="64"/>
      <c r="AQ99" s="64"/>
      <c r="AS99" s="21"/>
      <c r="AT99" s="38"/>
      <c r="AU99" s="54"/>
      <c r="AV99" s="64"/>
      <c r="AW99" s="64"/>
    </row>
    <row r="100" spans="1:49" x14ac:dyDescent="0.15">
      <c r="A100" s="5" t="s">
        <v>48</v>
      </c>
      <c r="C100" s="21"/>
      <c r="D100" s="38"/>
      <c r="E100" s="54"/>
      <c r="F100" s="64"/>
      <c r="G100" s="64"/>
      <c r="I100" s="21"/>
      <c r="J100" s="38"/>
      <c r="K100" s="54"/>
      <c r="L100" s="64"/>
      <c r="M100" s="64"/>
      <c r="O100" s="21"/>
      <c r="P100" s="38"/>
      <c r="Q100" s="54"/>
      <c r="R100" s="64"/>
      <c r="S100" s="64"/>
      <c r="U100" s="21"/>
      <c r="V100" s="38"/>
      <c r="W100" s="54"/>
      <c r="X100" s="64"/>
      <c r="Y100" s="64"/>
      <c r="Z100">
        <v>3</v>
      </c>
      <c r="AA100" s="21">
        <v>1</v>
      </c>
      <c r="AB100" s="38">
        <v>1</v>
      </c>
      <c r="AC100" s="54"/>
      <c r="AD100" s="64"/>
      <c r="AE100" s="64"/>
      <c r="AF100">
        <v>3</v>
      </c>
      <c r="AG100" s="21">
        <v>1</v>
      </c>
      <c r="AH100" s="38"/>
      <c r="AI100" s="54"/>
      <c r="AJ100" s="64"/>
      <c r="AK100" s="64"/>
      <c r="AL100">
        <v>1</v>
      </c>
      <c r="AM100" s="21">
        <v>1</v>
      </c>
      <c r="AN100" s="38">
        <v>1</v>
      </c>
      <c r="AO100" s="54"/>
      <c r="AP100" s="64"/>
      <c r="AQ100" s="64"/>
      <c r="AR100">
        <v>1</v>
      </c>
      <c r="AS100" s="21"/>
      <c r="AT100" s="38"/>
      <c r="AU100" s="54"/>
      <c r="AV100" s="64"/>
      <c r="AW100" s="64"/>
    </row>
    <row r="101" spans="1:49" x14ac:dyDescent="0.15">
      <c r="A101" s="5" t="s">
        <v>106</v>
      </c>
      <c r="B101" s="114"/>
      <c r="C101" s="115"/>
      <c r="D101" s="143"/>
      <c r="E101" s="112"/>
      <c r="F101" s="113"/>
      <c r="G101" s="113"/>
      <c r="H101" s="114"/>
      <c r="I101" s="115"/>
      <c r="J101" s="143"/>
      <c r="K101" s="112"/>
      <c r="L101" s="113"/>
      <c r="M101" s="113"/>
      <c r="N101" s="114"/>
      <c r="O101" s="115"/>
      <c r="P101" s="143"/>
      <c r="Q101" s="112"/>
      <c r="R101" s="113"/>
      <c r="S101" s="113"/>
      <c r="T101" s="114"/>
      <c r="U101" s="115"/>
      <c r="V101" s="143"/>
      <c r="W101" s="112"/>
      <c r="X101" s="113"/>
      <c r="Y101" s="113"/>
      <c r="Z101" s="114"/>
      <c r="AA101" s="115"/>
      <c r="AB101" s="143"/>
      <c r="AC101" s="112"/>
      <c r="AD101" s="113"/>
      <c r="AE101" s="113"/>
      <c r="AF101" s="114"/>
      <c r="AG101" s="115"/>
      <c r="AH101" s="143"/>
      <c r="AI101" s="112"/>
      <c r="AJ101" s="113"/>
      <c r="AK101" s="113"/>
      <c r="AL101" s="114"/>
      <c r="AM101" s="115"/>
      <c r="AN101" s="143"/>
      <c r="AO101" s="112"/>
      <c r="AP101" s="113"/>
      <c r="AQ101" s="113"/>
      <c r="AR101" s="114"/>
      <c r="AS101" s="115"/>
      <c r="AT101" s="143"/>
      <c r="AU101" s="112"/>
      <c r="AV101" s="113"/>
      <c r="AW101" s="113"/>
    </row>
    <row r="102" spans="1:49" x14ac:dyDescent="0.15">
      <c r="A102" s="7" t="s">
        <v>186</v>
      </c>
      <c r="C102" s="21"/>
      <c r="D102" s="38"/>
      <c r="E102" s="54"/>
      <c r="F102" s="64"/>
      <c r="G102" s="64"/>
      <c r="I102" s="21"/>
      <c r="J102" s="38"/>
      <c r="K102" s="54"/>
      <c r="L102" s="64"/>
      <c r="M102" s="64"/>
      <c r="O102" s="21"/>
      <c r="P102" s="38"/>
      <c r="Q102" s="54"/>
      <c r="R102" s="64"/>
      <c r="S102" s="64"/>
      <c r="U102" s="21"/>
      <c r="V102" s="38"/>
      <c r="W102" s="54"/>
      <c r="X102" s="64"/>
      <c r="Y102" s="64"/>
      <c r="AA102" s="21"/>
      <c r="AB102" s="38"/>
      <c r="AC102" s="54"/>
      <c r="AD102" s="64"/>
      <c r="AE102" s="64"/>
      <c r="AG102" s="21"/>
      <c r="AH102" s="38"/>
      <c r="AI102" s="54"/>
      <c r="AJ102" s="64"/>
      <c r="AK102" s="64"/>
      <c r="AM102" s="21"/>
      <c r="AN102" s="38"/>
      <c r="AO102" s="54"/>
      <c r="AP102" s="64"/>
      <c r="AQ102" s="64"/>
      <c r="AS102" s="21"/>
      <c r="AT102" s="38"/>
      <c r="AU102" s="54"/>
      <c r="AV102" s="64"/>
      <c r="AW102" s="64"/>
    </row>
    <row r="103" spans="1:49" x14ac:dyDescent="0.15">
      <c r="A103" s="36" t="s">
        <v>94</v>
      </c>
      <c r="C103" s="21"/>
      <c r="D103" s="38"/>
      <c r="E103" s="54"/>
      <c r="F103" s="64"/>
      <c r="G103" s="64"/>
      <c r="I103" s="21"/>
      <c r="J103" s="38"/>
      <c r="K103" s="54"/>
      <c r="L103" s="64"/>
      <c r="M103" s="64"/>
      <c r="O103" s="21"/>
      <c r="P103" s="38">
        <v>1</v>
      </c>
      <c r="Q103" s="54"/>
      <c r="R103" s="64"/>
      <c r="S103" s="64"/>
      <c r="U103" s="21"/>
      <c r="V103" s="38"/>
      <c r="W103" s="54"/>
      <c r="X103" s="64"/>
      <c r="Y103" s="64"/>
      <c r="AA103" s="21"/>
      <c r="AB103" s="38"/>
      <c r="AC103" s="54"/>
      <c r="AD103" s="64"/>
      <c r="AE103" s="64"/>
      <c r="AG103" s="21"/>
      <c r="AH103" s="38"/>
      <c r="AI103" s="54"/>
      <c r="AJ103" s="64"/>
      <c r="AK103" s="64"/>
      <c r="AM103" s="21"/>
      <c r="AN103" s="38"/>
      <c r="AO103" s="54"/>
      <c r="AP103" s="64"/>
      <c r="AQ103" s="64"/>
      <c r="AS103" s="21"/>
      <c r="AT103" s="38"/>
      <c r="AU103" s="54"/>
      <c r="AV103" s="64"/>
      <c r="AW103" s="64"/>
    </row>
    <row r="104" spans="1:49" x14ac:dyDescent="0.15">
      <c r="A104" s="40" t="s">
        <v>91</v>
      </c>
      <c r="C104" s="21"/>
      <c r="D104" s="38">
        <v>1</v>
      </c>
      <c r="E104" s="54"/>
      <c r="F104" s="64"/>
      <c r="G104" s="64"/>
      <c r="I104" s="21"/>
      <c r="J104" s="38"/>
      <c r="K104" s="54"/>
      <c r="L104" s="64"/>
      <c r="M104" s="64"/>
      <c r="O104" s="21"/>
      <c r="P104" s="38"/>
      <c r="Q104" s="54"/>
      <c r="R104" s="64"/>
      <c r="S104" s="64"/>
      <c r="U104" s="21"/>
      <c r="V104" s="38"/>
      <c r="W104" s="54"/>
      <c r="X104" s="64"/>
      <c r="Y104" s="64"/>
      <c r="AA104" s="21"/>
      <c r="AB104" s="38"/>
      <c r="AC104" s="54"/>
      <c r="AD104" s="64"/>
      <c r="AE104" s="64"/>
      <c r="AG104" s="21"/>
      <c r="AH104" s="38"/>
      <c r="AI104" s="54"/>
      <c r="AJ104" s="64"/>
      <c r="AK104" s="64"/>
      <c r="AM104" s="21"/>
      <c r="AN104" s="38"/>
      <c r="AO104" s="54"/>
      <c r="AP104" s="64"/>
      <c r="AQ104" s="64"/>
      <c r="AS104" s="21"/>
      <c r="AT104" s="38"/>
      <c r="AU104" s="54"/>
      <c r="AV104" s="64"/>
      <c r="AW104" s="64"/>
    </row>
    <row r="105" spans="1:49" x14ac:dyDescent="0.15">
      <c r="A105" s="39" t="s">
        <v>69</v>
      </c>
      <c r="C105" s="21"/>
      <c r="D105" s="38"/>
      <c r="E105" s="54"/>
      <c r="F105" s="64"/>
      <c r="G105" s="64"/>
      <c r="H105">
        <v>1</v>
      </c>
      <c r="I105" s="21"/>
      <c r="J105" s="38"/>
      <c r="K105" s="54"/>
      <c r="L105" s="64"/>
      <c r="M105" s="64"/>
      <c r="O105" s="21"/>
      <c r="P105" s="38"/>
      <c r="Q105" s="54"/>
      <c r="R105" s="64"/>
      <c r="S105" s="64"/>
      <c r="U105" s="21"/>
      <c r="V105" s="38"/>
      <c r="W105" s="54"/>
      <c r="X105" s="64"/>
      <c r="Y105" s="64"/>
      <c r="AA105" s="21"/>
      <c r="AB105" s="38"/>
      <c r="AC105" s="54"/>
      <c r="AD105" s="64"/>
      <c r="AE105" s="64"/>
      <c r="AG105" s="21"/>
      <c r="AH105" s="38"/>
      <c r="AI105" s="54"/>
      <c r="AJ105" s="64"/>
      <c r="AK105" s="64"/>
      <c r="AL105">
        <v>1</v>
      </c>
      <c r="AM105" s="21"/>
      <c r="AN105" s="38"/>
      <c r="AO105" s="54"/>
      <c r="AP105" s="64"/>
      <c r="AQ105" s="64"/>
      <c r="AS105" s="21"/>
      <c r="AT105" s="38"/>
      <c r="AU105" s="54"/>
      <c r="AV105" s="64"/>
      <c r="AW105" s="64"/>
    </row>
    <row r="106" spans="1:49" x14ac:dyDescent="0.15">
      <c r="A106" s="39" t="s">
        <v>67</v>
      </c>
      <c r="C106" s="21"/>
      <c r="D106" s="38"/>
      <c r="E106" s="54"/>
      <c r="F106" s="64"/>
      <c r="G106" s="64"/>
      <c r="I106" s="21"/>
      <c r="J106" s="38"/>
      <c r="K106" s="54"/>
      <c r="L106" s="64"/>
      <c r="M106" s="64"/>
      <c r="O106" s="21"/>
      <c r="P106" s="38"/>
      <c r="Q106" s="54"/>
      <c r="R106" s="64"/>
      <c r="S106" s="64"/>
      <c r="U106" s="21"/>
      <c r="V106" s="38"/>
      <c r="W106" s="54"/>
      <c r="X106" s="64"/>
      <c r="Y106" s="64"/>
      <c r="AA106" s="21"/>
      <c r="AB106" s="38"/>
      <c r="AC106" s="54"/>
      <c r="AD106" s="64"/>
      <c r="AE106" s="64"/>
      <c r="AG106" s="21"/>
      <c r="AH106" s="38"/>
      <c r="AI106" s="54"/>
      <c r="AJ106" s="64"/>
      <c r="AK106" s="64"/>
      <c r="AM106" s="21"/>
      <c r="AN106" s="38"/>
      <c r="AO106" s="54"/>
      <c r="AP106" s="64"/>
      <c r="AQ106" s="64"/>
      <c r="AS106" s="21"/>
      <c r="AT106" s="38"/>
      <c r="AU106" s="54"/>
      <c r="AV106" s="64"/>
      <c r="AW106" s="64"/>
    </row>
    <row r="107" spans="1:49" x14ac:dyDescent="0.15">
      <c r="A107" s="41" t="s">
        <v>66</v>
      </c>
      <c r="C107" s="21"/>
      <c r="D107" s="38"/>
      <c r="E107" s="54"/>
      <c r="F107" s="64"/>
      <c r="G107" s="64"/>
      <c r="I107" s="21"/>
      <c r="J107" s="38"/>
      <c r="K107" s="54"/>
      <c r="L107" s="64"/>
      <c r="M107" s="64"/>
      <c r="O107" s="21"/>
      <c r="P107" s="38"/>
      <c r="Q107" s="54"/>
      <c r="R107" s="64"/>
      <c r="S107" s="64"/>
      <c r="U107" s="21"/>
      <c r="V107" s="38"/>
      <c r="W107" s="54"/>
      <c r="X107" s="64"/>
      <c r="Y107" s="64"/>
      <c r="AA107" s="21"/>
      <c r="AB107" s="38"/>
      <c r="AC107" s="54"/>
      <c r="AD107" s="64"/>
      <c r="AE107" s="64"/>
      <c r="AG107" s="21"/>
      <c r="AH107" s="38"/>
      <c r="AI107" s="54"/>
      <c r="AJ107" s="64"/>
      <c r="AK107" s="64"/>
      <c r="AM107" s="21"/>
      <c r="AN107" s="38"/>
      <c r="AO107" s="54"/>
      <c r="AP107" s="64"/>
      <c r="AQ107" s="64"/>
      <c r="AS107" s="21"/>
      <c r="AT107" s="38"/>
      <c r="AU107" s="54"/>
      <c r="AV107" s="64"/>
      <c r="AW107" s="64"/>
    </row>
    <row r="108" spans="1:49" x14ac:dyDescent="0.15">
      <c r="A108" s="58" t="s">
        <v>104</v>
      </c>
      <c r="C108" s="21"/>
      <c r="D108" s="38"/>
      <c r="E108" s="54"/>
      <c r="F108" s="64"/>
      <c r="G108" s="64"/>
      <c r="I108" s="21"/>
      <c r="J108" s="38"/>
      <c r="K108" s="54"/>
      <c r="L108" s="64"/>
      <c r="M108" s="64"/>
      <c r="O108" s="21"/>
      <c r="P108" s="38"/>
      <c r="Q108" s="54"/>
      <c r="R108" s="64"/>
      <c r="S108" s="64"/>
      <c r="U108" s="21"/>
      <c r="V108" s="38"/>
      <c r="W108" s="54"/>
      <c r="X108" s="64"/>
      <c r="Y108" s="64"/>
      <c r="AA108" s="21"/>
      <c r="AB108" s="38"/>
      <c r="AC108" s="54"/>
      <c r="AD108" s="64"/>
      <c r="AE108" s="64"/>
      <c r="AG108" s="21"/>
      <c r="AH108" s="38"/>
      <c r="AI108" s="54"/>
      <c r="AJ108" s="64"/>
      <c r="AK108" s="64"/>
      <c r="AM108" s="21"/>
      <c r="AN108" s="38"/>
      <c r="AO108" s="54"/>
      <c r="AP108" s="64"/>
      <c r="AQ108" s="64"/>
      <c r="AS108" s="21"/>
      <c r="AT108" s="38"/>
      <c r="AU108" s="54"/>
      <c r="AV108" s="64"/>
      <c r="AW108" s="64"/>
    </row>
  </sheetData>
  <mergeCells count="16">
    <mergeCell ref="AL2:AQ2"/>
    <mergeCell ref="AR2:AW2"/>
    <mergeCell ref="B3:G3"/>
    <mergeCell ref="H3:M3"/>
    <mergeCell ref="N3:S3"/>
    <mergeCell ref="T3:Y3"/>
    <mergeCell ref="Z3:AE3"/>
    <mergeCell ref="AF3:AK3"/>
    <mergeCell ref="AL3:AQ3"/>
    <mergeCell ref="AR3:AW3"/>
    <mergeCell ref="B2:G2"/>
    <mergeCell ref="H2:M2"/>
    <mergeCell ref="N2:S2"/>
    <mergeCell ref="T2:Y2"/>
    <mergeCell ref="Z2:AE2"/>
    <mergeCell ref="AF2:AK2"/>
  </mergeCells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0BFF-E530-45DC-A17F-B4268CB0DB34}">
  <dimension ref="A1:BO108"/>
  <sheetViews>
    <sheetView zoomScale="60" zoomScaleNormal="60" workbookViewId="0">
      <selection activeCell="N15" sqref="N15"/>
    </sheetView>
  </sheetViews>
  <sheetFormatPr defaultRowHeight="13.5" x14ac:dyDescent="0.15"/>
  <cols>
    <col min="1" max="1" width="26.375" customWidth="1"/>
    <col min="2" max="2" width="3.375" customWidth="1"/>
    <col min="3" max="14" width="3.375" style="4" customWidth="1"/>
    <col min="15" max="15" width="3.375" customWidth="1"/>
    <col min="16" max="27" width="3.375" style="4" customWidth="1"/>
    <col min="28" max="28" width="3.375" customWidth="1"/>
    <col min="29" max="40" width="3.375" style="4" customWidth="1"/>
    <col min="41" max="41" width="3.375" customWidth="1"/>
    <col min="42" max="53" width="3.375" style="4" customWidth="1"/>
    <col min="54" max="54" width="3.375" customWidth="1"/>
    <col min="55" max="66" width="3.375" style="4" customWidth="1"/>
  </cols>
  <sheetData>
    <row r="1" spans="1:67" x14ac:dyDescent="0.15">
      <c r="A1" s="6"/>
      <c r="B1" s="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</row>
    <row r="2" spans="1:67" x14ac:dyDescent="0.15">
      <c r="A2" s="194" t="s">
        <v>0</v>
      </c>
      <c r="B2" s="246">
        <v>51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>
        <v>52</v>
      </c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>
        <v>53</v>
      </c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6">
        <v>54</v>
      </c>
      <c r="AP2" s="246"/>
      <c r="AQ2" s="246"/>
      <c r="AR2" s="246"/>
      <c r="AS2" s="246"/>
      <c r="AT2" s="246"/>
      <c r="AU2" s="246"/>
      <c r="AV2" s="246"/>
      <c r="AW2" s="246"/>
      <c r="AX2" s="246"/>
      <c r="AY2" s="246"/>
      <c r="AZ2" s="246"/>
      <c r="BA2" s="246"/>
      <c r="BB2" s="246">
        <v>55</v>
      </c>
      <c r="BC2" s="246"/>
      <c r="BD2" s="246"/>
      <c r="BE2" s="246"/>
      <c r="BF2" s="246"/>
      <c r="BG2" s="246"/>
      <c r="BH2" s="246"/>
      <c r="BI2" s="246"/>
      <c r="BJ2" s="246"/>
      <c r="BK2" s="246"/>
      <c r="BL2" s="246"/>
      <c r="BM2" s="246"/>
      <c r="BN2" s="246"/>
    </row>
    <row r="3" spans="1:67" x14ac:dyDescent="0.15">
      <c r="A3" s="6" t="s">
        <v>1</v>
      </c>
      <c r="B3" s="244" t="s">
        <v>165</v>
      </c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 t="s">
        <v>214</v>
      </c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 t="s">
        <v>215</v>
      </c>
      <c r="AC3" s="244"/>
      <c r="AD3" s="244"/>
      <c r="AE3" s="244"/>
      <c r="AF3" s="244"/>
      <c r="AG3" s="244"/>
      <c r="AH3" s="244"/>
      <c r="AI3" s="244"/>
      <c r="AJ3" s="244"/>
      <c r="AK3" s="244"/>
      <c r="AL3" s="244"/>
      <c r="AM3" s="244"/>
      <c r="AN3" s="244"/>
      <c r="AO3" s="244" t="s">
        <v>166</v>
      </c>
      <c r="AP3" s="244"/>
      <c r="AQ3" s="244"/>
      <c r="AR3" s="244"/>
      <c r="AS3" s="244"/>
      <c r="AT3" s="244"/>
      <c r="AU3" s="244"/>
      <c r="AV3" s="244"/>
      <c r="AW3" s="244"/>
      <c r="AX3" s="244"/>
      <c r="AY3" s="244"/>
      <c r="AZ3" s="244"/>
      <c r="BA3" s="244"/>
      <c r="BB3" s="244" t="s">
        <v>167</v>
      </c>
      <c r="BC3" s="244"/>
      <c r="BD3" s="244"/>
      <c r="BE3" s="244"/>
      <c r="BF3" s="244"/>
      <c r="BG3" s="244"/>
      <c r="BH3" s="244"/>
      <c r="BI3" s="244"/>
      <c r="BJ3" s="244"/>
      <c r="BK3" s="244"/>
      <c r="BL3" s="244"/>
      <c r="BM3" s="244"/>
      <c r="BN3" s="244"/>
    </row>
    <row r="4" spans="1:67" x14ac:dyDescent="0.15">
      <c r="A4" s="8"/>
      <c r="B4" s="37" t="s">
        <v>64</v>
      </c>
      <c r="C4" s="34" t="s">
        <v>92</v>
      </c>
      <c r="D4" s="25" t="s">
        <v>101</v>
      </c>
      <c r="E4" s="51" t="s">
        <v>100</v>
      </c>
      <c r="F4" s="61" t="s">
        <v>121</v>
      </c>
      <c r="G4" s="67" t="s">
        <v>122</v>
      </c>
      <c r="H4" s="100" t="s">
        <v>114</v>
      </c>
      <c r="I4" s="101" t="s">
        <v>171</v>
      </c>
      <c r="J4" s="25" t="s">
        <v>173</v>
      </c>
      <c r="K4" s="37" t="s">
        <v>187</v>
      </c>
      <c r="L4" s="151" t="s">
        <v>204</v>
      </c>
      <c r="M4" s="156" t="s">
        <v>210</v>
      </c>
      <c r="N4" s="172" t="s">
        <v>220</v>
      </c>
      <c r="O4" s="37" t="s">
        <v>64</v>
      </c>
      <c r="P4" s="34" t="s">
        <v>92</v>
      </c>
      <c r="Q4" s="25" t="s">
        <v>101</v>
      </c>
      <c r="R4" s="51" t="s">
        <v>100</v>
      </c>
      <c r="S4" s="61" t="s">
        <v>121</v>
      </c>
      <c r="T4" s="67" t="s">
        <v>122</v>
      </c>
      <c r="U4" s="100" t="s">
        <v>114</v>
      </c>
      <c r="V4" s="101" t="s">
        <v>171</v>
      </c>
      <c r="W4" s="25" t="s">
        <v>173</v>
      </c>
      <c r="X4" s="37" t="s">
        <v>187</v>
      </c>
      <c r="Y4" s="151" t="s">
        <v>204</v>
      </c>
      <c r="Z4" s="156" t="s">
        <v>210</v>
      </c>
      <c r="AA4" s="172" t="s">
        <v>220</v>
      </c>
      <c r="AB4" s="37" t="s">
        <v>64</v>
      </c>
      <c r="AC4" s="34" t="s">
        <v>92</v>
      </c>
      <c r="AD4" s="25" t="s">
        <v>101</v>
      </c>
      <c r="AE4" s="51" t="s">
        <v>100</v>
      </c>
      <c r="AF4" s="61" t="s">
        <v>121</v>
      </c>
      <c r="AG4" s="67" t="s">
        <v>122</v>
      </c>
      <c r="AH4" s="100" t="s">
        <v>114</v>
      </c>
      <c r="AI4" s="101" t="s">
        <v>171</v>
      </c>
      <c r="AJ4" s="25" t="s">
        <v>173</v>
      </c>
      <c r="AK4" s="37" t="s">
        <v>187</v>
      </c>
      <c r="AL4" s="151" t="s">
        <v>204</v>
      </c>
      <c r="AM4" s="156" t="s">
        <v>210</v>
      </c>
      <c r="AN4" s="172" t="s">
        <v>220</v>
      </c>
      <c r="AO4" s="37" t="s">
        <v>64</v>
      </c>
      <c r="AP4" s="34" t="s">
        <v>92</v>
      </c>
      <c r="AQ4" s="25" t="s">
        <v>101</v>
      </c>
      <c r="AR4" s="51" t="s">
        <v>100</v>
      </c>
      <c r="AS4" s="61" t="s">
        <v>121</v>
      </c>
      <c r="AT4" s="67" t="s">
        <v>122</v>
      </c>
      <c r="AU4" s="100" t="s">
        <v>114</v>
      </c>
      <c r="AV4" s="101" t="s">
        <v>171</v>
      </c>
      <c r="AW4" s="25" t="s">
        <v>173</v>
      </c>
      <c r="AX4" s="37" t="s">
        <v>187</v>
      </c>
      <c r="AY4" s="151" t="s">
        <v>204</v>
      </c>
      <c r="AZ4" s="156" t="s">
        <v>210</v>
      </c>
      <c r="BA4" s="172" t="s">
        <v>220</v>
      </c>
      <c r="BB4" s="37" t="s">
        <v>64</v>
      </c>
      <c r="BC4" s="34" t="s">
        <v>92</v>
      </c>
      <c r="BD4" s="25" t="s">
        <v>101</v>
      </c>
      <c r="BE4" s="51" t="s">
        <v>100</v>
      </c>
      <c r="BF4" s="61" t="s">
        <v>121</v>
      </c>
      <c r="BG4" s="67" t="s">
        <v>122</v>
      </c>
      <c r="BH4" s="100" t="s">
        <v>114</v>
      </c>
      <c r="BI4" s="101" t="s">
        <v>171</v>
      </c>
      <c r="BJ4" s="25" t="s">
        <v>173</v>
      </c>
      <c r="BK4" s="37" t="s">
        <v>187</v>
      </c>
      <c r="BL4" s="151" t="s">
        <v>204</v>
      </c>
      <c r="BM4" s="156" t="s">
        <v>210</v>
      </c>
      <c r="BN4" s="172" t="s">
        <v>220</v>
      </c>
    </row>
    <row r="5" spans="1:67" ht="14.25" x14ac:dyDescent="0.15">
      <c r="A5" s="26" t="s">
        <v>59</v>
      </c>
      <c r="B5" s="47">
        <f>COUNT(B6:B84)</f>
        <v>1</v>
      </c>
      <c r="C5" s="48">
        <f>COUNT(C6:C84)</f>
        <v>1</v>
      </c>
      <c r="D5" s="45">
        <f>COUNT(D6:D84)</f>
        <v>2</v>
      </c>
      <c r="E5" s="52">
        <f>COUNT(E9:E84)</f>
        <v>2</v>
      </c>
      <c r="F5" s="62">
        <f>COUNT(F6:F83)</f>
        <v>2</v>
      </c>
      <c r="G5" s="68">
        <f>COUNT(G6:G83)</f>
        <v>2</v>
      </c>
      <c r="H5" s="109">
        <f>COUNT(H6:H83)</f>
        <v>2</v>
      </c>
      <c r="I5" s="110">
        <f>COUNT(I6:I83)</f>
        <v>2</v>
      </c>
      <c r="J5" s="45">
        <f t="shared" ref="J5:Q5" si="0">COUNT(J6:J84)</f>
        <v>3</v>
      </c>
      <c r="K5" s="47">
        <f t="shared" si="0"/>
        <v>2</v>
      </c>
      <c r="L5" s="152">
        <f t="shared" si="0"/>
        <v>3</v>
      </c>
      <c r="M5" s="157">
        <f>COUNT(M6:M84)</f>
        <v>2</v>
      </c>
      <c r="N5" s="173">
        <f>COUNT(N6:N84)</f>
        <v>2</v>
      </c>
      <c r="O5" s="47">
        <f t="shared" si="0"/>
        <v>2</v>
      </c>
      <c r="P5" s="48">
        <f t="shared" si="0"/>
        <v>10</v>
      </c>
      <c r="Q5" s="45">
        <f t="shared" si="0"/>
        <v>10</v>
      </c>
      <c r="R5" s="52">
        <f>COUNT(R9:R84)</f>
        <v>10</v>
      </c>
      <c r="S5" s="62">
        <f>COUNT(S6:S83)</f>
        <v>9</v>
      </c>
      <c r="T5" s="68">
        <f>COUNT(T6:T83)</f>
        <v>10</v>
      </c>
      <c r="U5" s="109">
        <f>COUNT(U6:U83)</f>
        <v>12</v>
      </c>
      <c r="V5" s="110">
        <f>COUNT(V6:V83)</f>
        <v>16</v>
      </c>
      <c r="W5" s="45">
        <f>COUNT(W6:W84)</f>
        <v>16</v>
      </c>
      <c r="X5" s="47">
        <f>COUNT(X6:X84)</f>
        <v>18</v>
      </c>
      <c r="Y5" s="152">
        <f>COUNT(Y6:Y84)</f>
        <v>17</v>
      </c>
      <c r="Z5" s="157">
        <f>COUNT(Z6:Z84)</f>
        <v>18</v>
      </c>
      <c r="AA5" s="173">
        <f>COUNT(AA6:AA84)</f>
        <v>18</v>
      </c>
      <c r="AB5" s="47">
        <f>COUNT(AB9:AB84)</f>
        <v>3</v>
      </c>
      <c r="AC5" s="48">
        <f>COUNT(AC9:AC84)</f>
        <v>8</v>
      </c>
      <c r="AD5" s="45">
        <f>COUNT(AD9:AD84)</f>
        <v>6</v>
      </c>
      <c r="AE5" s="52">
        <f>COUNT(AE9:AE84)</f>
        <v>11</v>
      </c>
      <c r="AF5" s="62">
        <f>COUNT(AF6:AF83)</f>
        <v>11</v>
      </c>
      <c r="AG5" s="68">
        <f>COUNT(AG6:AG83)</f>
        <v>13</v>
      </c>
      <c r="AH5" s="109">
        <f>COUNT(AH6:AH83)</f>
        <v>16</v>
      </c>
      <c r="AI5" s="110">
        <f>COUNT(AI6:AI83)</f>
        <v>18</v>
      </c>
      <c r="AJ5" s="45">
        <f>COUNT(AJ6:AJ84)</f>
        <v>12</v>
      </c>
      <c r="AK5" s="47">
        <f>COUNT(AK6:AK84)</f>
        <v>14</v>
      </c>
      <c r="AL5" s="152">
        <f>COUNT(AL6:AL84)</f>
        <v>12</v>
      </c>
      <c r="AM5" s="157">
        <f>COUNT(AM6:AM84)</f>
        <v>12</v>
      </c>
      <c r="AN5" s="173">
        <f>COUNT(AN6:AN84)</f>
        <v>14</v>
      </c>
      <c r="AO5" s="47">
        <f>COUNT(AO9:AO84)</f>
        <v>1</v>
      </c>
      <c r="AP5" s="48">
        <f>COUNT(AP9:AP84)</f>
        <v>1</v>
      </c>
      <c r="AQ5" s="45">
        <f>COUNT(AQ9:AQ84)</f>
        <v>1</v>
      </c>
      <c r="AR5" s="52">
        <f>COUNT(AR9:AR84)</f>
        <v>1</v>
      </c>
      <c r="AS5" s="62">
        <f>COUNT(AS6:AS83)</f>
        <v>1</v>
      </c>
      <c r="AT5" s="68">
        <f>COUNT(AT6:AT83)</f>
        <v>2</v>
      </c>
      <c r="AU5" s="109">
        <f>COUNT(AU6:AU83)</f>
        <v>2</v>
      </c>
      <c r="AV5" s="110">
        <f>COUNT(AV6:AV83)</f>
        <v>1</v>
      </c>
      <c r="AW5" s="45">
        <f>COUNT(AW6:AW84)</f>
        <v>1</v>
      </c>
      <c r="AX5" s="47">
        <f>COUNT(AX6:AX84)</f>
        <v>1</v>
      </c>
      <c r="AY5" s="152">
        <f>COUNT(AY6:AY84)</f>
        <v>1</v>
      </c>
      <c r="AZ5" s="157">
        <f>COUNT(AZ6:AZ84)</f>
        <v>1</v>
      </c>
      <c r="BA5" s="173">
        <f>COUNT(BA6:BA84)</f>
        <v>1</v>
      </c>
      <c r="BB5" s="47">
        <f>COUNT(BB9:BB84)</f>
        <v>1</v>
      </c>
      <c r="BC5" s="48">
        <f>COUNT(BC9:BC84)</f>
        <v>0</v>
      </c>
      <c r="BD5" s="45">
        <f>COUNT(BD9:BD84)</f>
        <v>0</v>
      </c>
      <c r="BE5" s="52">
        <f>COUNT(BE9:BE82)</f>
        <v>1</v>
      </c>
      <c r="BF5" s="62">
        <f t="shared" ref="BF5:BL5" si="1">COUNT(BF6:BF83)</f>
        <v>1</v>
      </c>
      <c r="BG5" s="68">
        <f t="shared" si="1"/>
        <v>1</v>
      </c>
      <c r="BH5" s="109">
        <f t="shared" si="1"/>
        <v>1</v>
      </c>
      <c r="BI5" s="110">
        <f t="shared" si="1"/>
        <v>1</v>
      </c>
      <c r="BJ5" s="45">
        <f t="shared" si="1"/>
        <v>1</v>
      </c>
      <c r="BK5" s="47">
        <f t="shared" si="1"/>
        <v>1</v>
      </c>
      <c r="BL5" s="152">
        <f t="shared" si="1"/>
        <v>1</v>
      </c>
      <c r="BM5" s="157">
        <f>COUNT(BM6:BM84)</f>
        <v>1</v>
      </c>
      <c r="BN5" s="173">
        <f>COUNT(BN6:BN84)</f>
        <v>1</v>
      </c>
      <c r="BO5" t="s">
        <v>240</v>
      </c>
    </row>
    <row r="6" spans="1:67" x14ac:dyDescent="0.15">
      <c r="A6" s="27" t="s">
        <v>60</v>
      </c>
      <c r="B6" s="38"/>
      <c r="C6" s="35"/>
      <c r="E6" s="54"/>
      <c r="F6" s="64"/>
      <c r="G6" s="69"/>
      <c r="H6" s="126"/>
      <c r="I6" s="127"/>
      <c r="K6" s="38"/>
      <c r="L6" s="83"/>
      <c r="M6" s="158"/>
      <c r="N6" s="174"/>
      <c r="O6" s="38"/>
      <c r="P6" s="35"/>
      <c r="R6" s="54"/>
      <c r="S6" s="64"/>
      <c r="T6" s="69"/>
      <c r="U6" s="126"/>
      <c r="V6" s="127"/>
      <c r="X6" s="38"/>
      <c r="Y6" s="83"/>
      <c r="Z6" s="158"/>
      <c r="AA6" s="174"/>
      <c r="AB6" s="38"/>
      <c r="AC6" s="35"/>
      <c r="AE6" s="54"/>
      <c r="AF6" s="64"/>
      <c r="AG6" s="69"/>
      <c r="AH6" s="126"/>
      <c r="AI6" s="127"/>
      <c r="AK6" s="38"/>
      <c r="AL6" s="83"/>
      <c r="AM6" s="158"/>
      <c r="AN6" s="174"/>
      <c r="AO6" s="38"/>
      <c r="AP6" s="35"/>
      <c r="AR6" s="54"/>
      <c r="AS6" s="64"/>
      <c r="AT6" s="69"/>
      <c r="AU6" s="126"/>
      <c r="AV6" s="127"/>
      <c r="AX6" s="38"/>
      <c r="AY6" s="83"/>
      <c r="AZ6" s="158"/>
      <c r="BA6" s="174"/>
      <c r="BB6" s="38"/>
      <c r="BC6" s="35"/>
      <c r="BE6" s="54"/>
      <c r="BF6" s="64"/>
      <c r="BG6" s="69"/>
      <c r="BH6" s="126"/>
      <c r="BI6" s="127"/>
      <c r="BK6" s="38"/>
      <c r="BL6" s="83"/>
      <c r="BM6" s="158"/>
      <c r="BN6" s="174"/>
      <c r="BO6">
        <f>COUNTA(B6:BN6)</f>
        <v>0</v>
      </c>
    </row>
    <row r="7" spans="1:67" x14ac:dyDescent="0.15">
      <c r="A7" s="27" t="s">
        <v>105</v>
      </c>
      <c r="B7" s="38"/>
      <c r="C7" s="35"/>
      <c r="E7" s="54"/>
      <c r="F7" s="64"/>
      <c r="G7" s="69"/>
      <c r="H7" s="126"/>
      <c r="I7" s="127"/>
      <c r="K7" s="38"/>
      <c r="L7" s="83"/>
      <c r="M7" s="158"/>
      <c r="N7" s="174"/>
      <c r="O7" s="38"/>
      <c r="P7" s="35"/>
      <c r="R7" s="54"/>
      <c r="S7" s="64"/>
      <c r="T7" s="69"/>
      <c r="U7" s="126"/>
      <c r="V7" s="127"/>
      <c r="X7" s="38"/>
      <c r="Y7" s="83"/>
      <c r="Z7" s="158"/>
      <c r="AA7" s="174"/>
      <c r="AB7" s="38"/>
      <c r="AC7" s="35"/>
      <c r="AE7" s="54"/>
      <c r="AF7" s="64"/>
      <c r="AG7" s="69"/>
      <c r="AH7" s="126"/>
      <c r="AI7" s="127"/>
      <c r="AK7" s="38"/>
      <c r="AL7" s="83"/>
      <c r="AM7" s="158"/>
      <c r="AN7" s="174"/>
      <c r="AO7" s="38"/>
      <c r="AP7" s="35"/>
      <c r="AR7" s="54"/>
      <c r="AS7" s="64"/>
      <c r="AT7" s="69"/>
      <c r="AU7" s="126"/>
      <c r="AV7" s="127"/>
      <c r="AX7" s="38"/>
      <c r="AY7" s="83"/>
      <c r="AZ7" s="158"/>
      <c r="BA7" s="174"/>
      <c r="BB7" s="38"/>
      <c r="BC7" s="35"/>
      <c r="BE7" s="54"/>
      <c r="BF7" s="64"/>
      <c r="BG7" s="69"/>
      <c r="BH7" s="126"/>
      <c r="BI7" s="127"/>
      <c r="BK7" s="38"/>
      <c r="BL7" s="83"/>
      <c r="BM7" s="158"/>
      <c r="BN7" s="174"/>
      <c r="BO7">
        <f t="shared" ref="BO7:BO70" si="2">COUNTA(B7:BN7)</f>
        <v>0</v>
      </c>
    </row>
    <row r="8" spans="1:67" x14ac:dyDescent="0.15">
      <c r="A8" s="2" t="s">
        <v>43</v>
      </c>
      <c r="B8" s="133"/>
      <c r="C8" s="134"/>
      <c r="D8" s="10"/>
      <c r="E8" s="53"/>
      <c r="F8" s="63"/>
      <c r="G8" s="135"/>
      <c r="H8" s="136"/>
      <c r="I8" s="137"/>
      <c r="J8" s="10"/>
      <c r="K8" s="133"/>
      <c r="L8" s="153"/>
      <c r="M8" s="159"/>
      <c r="N8" s="175"/>
      <c r="O8" s="133"/>
      <c r="P8" s="134"/>
      <c r="Q8" s="10"/>
      <c r="R8" s="53"/>
      <c r="S8" s="63"/>
      <c r="T8" s="135"/>
      <c r="U8" s="136"/>
      <c r="V8" s="137"/>
      <c r="W8" s="10"/>
      <c r="X8" s="133"/>
      <c r="Y8" s="153"/>
      <c r="Z8" s="159"/>
      <c r="AA8" s="175"/>
      <c r="AB8" s="133"/>
      <c r="AC8" s="134"/>
      <c r="AD8" s="10"/>
      <c r="AE8" s="53"/>
      <c r="AF8" s="63"/>
      <c r="AG8" s="135"/>
      <c r="AH8" s="136"/>
      <c r="AI8" s="137"/>
      <c r="AJ8" s="10"/>
      <c r="AK8" s="133"/>
      <c r="AL8" s="153"/>
      <c r="AM8" s="159"/>
      <c r="AN8" s="175"/>
      <c r="AO8" s="133"/>
      <c r="AP8" s="134"/>
      <c r="AQ8" s="10"/>
      <c r="AR8" s="53"/>
      <c r="AS8" s="63"/>
      <c r="AT8" s="135"/>
      <c r="AU8" s="136"/>
      <c r="AV8" s="137"/>
      <c r="AW8" s="10"/>
      <c r="AX8" s="133"/>
      <c r="AY8" s="153"/>
      <c r="AZ8" s="159"/>
      <c r="BA8" s="175"/>
      <c r="BB8" s="133"/>
      <c r="BC8" s="134"/>
      <c r="BD8" s="10"/>
      <c r="BE8" s="53"/>
      <c r="BF8" s="63"/>
      <c r="BG8" s="135"/>
      <c r="BH8" s="136"/>
      <c r="BI8" s="137"/>
      <c r="BJ8" s="10"/>
      <c r="BK8" s="133"/>
      <c r="BL8" s="153"/>
      <c r="BM8" s="159"/>
      <c r="BN8" s="175"/>
      <c r="BO8">
        <f t="shared" si="2"/>
        <v>0</v>
      </c>
    </row>
    <row r="9" spans="1:67" x14ac:dyDescent="0.15">
      <c r="A9" s="27" t="s">
        <v>53</v>
      </c>
      <c r="B9" s="38"/>
      <c r="C9" s="35"/>
      <c r="E9" s="54"/>
      <c r="F9" s="64"/>
      <c r="G9" s="69"/>
      <c r="H9" s="126"/>
      <c r="I9" s="127"/>
      <c r="K9" s="38"/>
      <c r="L9" s="83"/>
      <c r="M9" s="158"/>
      <c r="N9" s="174"/>
      <c r="O9" s="38"/>
      <c r="P9" s="35"/>
      <c r="R9" s="54"/>
      <c r="S9" s="64"/>
      <c r="T9" s="69"/>
      <c r="U9" s="126"/>
      <c r="V9" s="127"/>
      <c r="X9" s="38"/>
      <c r="Y9" s="83"/>
      <c r="Z9" s="158"/>
      <c r="AA9" s="174"/>
      <c r="AB9" s="38"/>
      <c r="AC9" s="35"/>
      <c r="AE9" s="54"/>
      <c r="AF9" s="64"/>
      <c r="AG9" s="69"/>
      <c r="AH9" s="126"/>
      <c r="AI9" s="127"/>
      <c r="AK9" s="38"/>
      <c r="AL9" s="83"/>
      <c r="AM9" s="158"/>
      <c r="AN9" s="174"/>
      <c r="AO9" s="38"/>
      <c r="AP9" s="35"/>
      <c r="AR9" s="54"/>
      <c r="AS9" s="64"/>
      <c r="AT9" s="69"/>
      <c r="AU9" s="126"/>
      <c r="AV9" s="127"/>
      <c r="AX9" s="38"/>
      <c r="AY9" s="83"/>
      <c r="AZ9" s="158"/>
      <c r="BA9" s="174"/>
      <c r="BB9" s="38"/>
      <c r="BC9" s="35"/>
      <c r="BE9" s="54"/>
      <c r="BF9" s="64">
        <v>2</v>
      </c>
      <c r="BG9" s="69">
        <v>2</v>
      </c>
      <c r="BH9" s="126">
        <v>2</v>
      </c>
      <c r="BI9" s="127">
        <v>2</v>
      </c>
      <c r="BJ9" s="4">
        <v>2</v>
      </c>
      <c r="BK9" s="38">
        <v>1</v>
      </c>
      <c r="BL9" s="83">
        <v>1</v>
      </c>
      <c r="BM9" s="158">
        <v>1</v>
      </c>
      <c r="BN9" s="174">
        <v>1</v>
      </c>
      <c r="BO9">
        <f t="shared" si="2"/>
        <v>9</v>
      </c>
    </row>
    <row r="10" spans="1:67" x14ac:dyDescent="0.15">
      <c r="A10" s="2" t="s">
        <v>12</v>
      </c>
      <c r="B10" s="38"/>
      <c r="C10" s="35"/>
      <c r="E10" s="54"/>
      <c r="F10" s="64"/>
      <c r="G10" s="69"/>
      <c r="H10" s="126"/>
      <c r="I10" s="127"/>
      <c r="K10" s="38"/>
      <c r="L10" s="83"/>
      <c r="M10" s="158"/>
      <c r="N10" s="174"/>
      <c r="O10" s="38">
        <v>2</v>
      </c>
      <c r="P10" s="35">
        <v>2</v>
      </c>
      <c r="Q10" s="4">
        <v>3</v>
      </c>
      <c r="R10" s="54">
        <v>2</v>
      </c>
      <c r="S10" s="64">
        <v>2</v>
      </c>
      <c r="T10" s="69">
        <v>2</v>
      </c>
      <c r="U10" s="126">
        <v>2</v>
      </c>
      <c r="V10" s="127">
        <v>2</v>
      </c>
      <c r="W10" s="4">
        <v>2</v>
      </c>
      <c r="X10" s="38">
        <v>2</v>
      </c>
      <c r="Y10" s="83">
        <v>2</v>
      </c>
      <c r="Z10" s="158">
        <v>2</v>
      </c>
      <c r="AA10" s="174">
        <v>2</v>
      </c>
      <c r="AB10" s="38">
        <v>2</v>
      </c>
      <c r="AC10" s="35">
        <v>2</v>
      </c>
      <c r="AD10" s="4">
        <v>2</v>
      </c>
      <c r="AE10" s="54">
        <v>2</v>
      </c>
      <c r="AF10" s="64">
        <v>2</v>
      </c>
      <c r="AG10" s="69">
        <v>2</v>
      </c>
      <c r="AH10" s="126">
        <v>2</v>
      </c>
      <c r="AI10" s="127">
        <v>2</v>
      </c>
      <c r="AJ10" s="4">
        <v>1</v>
      </c>
      <c r="AK10" s="38">
        <v>2</v>
      </c>
      <c r="AL10" s="83">
        <v>1</v>
      </c>
      <c r="AM10" s="158">
        <v>1</v>
      </c>
      <c r="AN10" s="174">
        <v>1</v>
      </c>
      <c r="AO10" s="38">
        <v>2</v>
      </c>
      <c r="AP10" s="35">
        <v>1</v>
      </c>
      <c r="AQ10" s="4">
        <v>1</v>
      </c>
      <c r="AR10" s="54">
        <v>1</v>
      </c>
      <c r="AS10" s="64">
        <v>1</v>
      </c>
      <c r="AT10" s="69">
        <v>1</v>
      </c>
      <c r="AU10" s="126">
        <v>1</v>
      </c>
      <c r="AV10" s="127"/>
      <c r="AX10" s="38"/>
      <c r="AY10" s="83"/>
      <c r="AZ10" s="158"/>
      <c r="BA10" s="174"/>
      <c r="BB10" s="38"/>
      <c r="BC10" s="35"/>
      <c r="BE10" s="54"/>
      <c r="BF10" s="64"/>
      <c r="BG10" s="69"/>
      <c r="BH10" s="126"/>
      <c r="BI10" s="127"/>
      <c r="BK10" s="38"/>
      <c r="BL10" s="83"/>
      <c r="BM10" s="158"/>
      <c r="BN10" s="174"/>
      <c r="BO10">
        <f t="shared" si="2"/>
        <v>33</v>
      </c>
    </row>
    <row r="11" spans="1:67" x14ac:dyDescent="0.15">
      <c r="A11" s="2" t="s">
        <v>93</v>
      </c>
      <c r="B11" s="38"/>
      <c r="C11" s="35"/>
      <c r="E11" s="54"/>
      <c r="F11" s="64"/>
      <c r="G11" s="69"/>
      <c r="H11" s="126"/>
      <c r="I11" s="127"/>
      <c r="K11" s="38"/>
      <c r="L11" s="83"/>
      <c r="M11" s="158"/>
      <c r="N11" s="174"/>
      <c r="O11" s="38"/>
      <c r="P11" s="35">
        <v>1</v>
      </c>
      <c r="Q11" s="4">
        <v>1</v>
      </c>
      <c r="R11" s="54">
        <v>1</v>
      </c>
      <c r="S11" s="64"/>
      <c r="T11" s="69">
        <v>1</v>
      </c>
      <c r="U11" s="126">
        <v>1</v>
      </c>
      <c r="V11" s="127">
        <v>1</v>
      </c>
      <c r="W11" s="4">
        <v>1</v>
      </c>
      <c r="X11" s="38">
        <v>1</v>
      </c>
      <c r="Y11" s="83">
        <v>1</v>
      </c>
      <c r="Z11" s="158">
        <v>1</v>
      </c>
      <c r="AA11" s="174">
        <v>1</v>
      </c>
      <c r="AB11" s="38"/>
      <c r="AC11" s="35"/>
      <c r="AE11" s="54"/>
      <c r="AF11" s="64"/>
      <c r="AG11" s="69"/>
      <c r="AH11" s="126"/>
      <c r="AI11" s="127">
        <v>1</v>
      </c>
      <c r="AK11" s="38"/>
      <c r="AL11" s="83"/>
      <c r="AM11" s="158"/>
      <c r="AN11" s="174"/>
      <c r="AO11" s="38"/>
      <c r="AP11" s="35"/>
      <c r="AR11" s="54"/>
      <c r="AS11" s="64"/>
      <c r="AT11" s="69"/>
      <c r="AU11" s="126"/>
      <c r="AV11" s="127"/>
      <c r="AX11" s="38"/>
      <c r="AY11" s="83"/>
      <c r="AZ11" s="158"/>
      <c r="BA11" s="174"/>
      <c r="BB11" s="38"/>
      <c r="BC11" s="35"/>
      <c r="BE11" s="54"/>
      <c r="BF11" s="64"/>
      <c r="BG11" s="69"/>
      <c r="BH11" s="126"/>
      <c r="BI11" s="127"/>
      <c r="BK11" s="38"/>
      <c r="BL11" s="83"/>
      <c r="BM11" s="158"/>
      <c r="BN11" s="174"/>
      <c r="BO11">
        <f t="shared" si="2"/>
        <v>12</v>
      </c>
    </row>
    <row r="12" spans="1:67" x14ac:dyDescent="0.15">
      <c r="A12" s="2" t="s">
        <v>33</v>
      </c>
      <c r="B12" s="38"/>
      <c r="C12" s="35"/>
      <c r="E12" s="54"/>
      <c r="F12" s="64"/>
      <c r="G12" s="69"/>
      <c r="H12" s="126"/>
      <c r="I12" s="127"/>
      <c r="K12" s="38"/>
      <c r="L12" s="83"/>
      <c r="M12" s="158"/>
      <c r="N12" s="174"/>
      <c r="O12" s="38"/>
      <c r="P12" s="35"/>
      <c r="R12" s="54"/>
      <c r="S12" s="64"/>
      <c r="T12" s="69"/>
      <c r="U12" s="126"/>
      <c r="V12" s="127"/>
      <c r="X12" s="38"/>
      <c r="Y12" s="83"/>
      <c r="Z12" s="158"/>
      <c r="AA12" s="174"/>
      <c r="AB12" s="38"/>
      <c r="AC12" s="35"/>
      <c r="AE12" s="54"/>
      <c r="AF12" s="64"/>
      <c r="AG12" s="69"/>
      <c r="AH12" s="126"/>
      <c r="AI12" s="127"/>
      <c r="AK12" s="38"/>
      <c r="AL12" s="83"/>
      <c r="AM12" s="158"/>
      <c r="AN12" s="174"/>
      <c r="AO12" s="38"/>
      <c r="AP12" s="35"/>
      <c r="AR12" s="54"/>
      <c r="AS12" s="64"/>
      <c r="AT12" s="69"/>
      <c r="AU12" s="126"/>
      <c r="AV12" s="127"/>
      <c r="AX12" s="38"/>
      <c r="AY12" s="83"/>
      <c r="AZ12" s="158"/>
      <c r="BA12" s="174"/>
      <c r="BB12" s="38"/>
      <c r="BC12" s="35"/>
      <c r="BE12" s="54"/>
      <c r="BF12" s="64"/>
      <c r="BG12" s="69"/>
      <c r="BH12" s="126"/>
      <c r="BI12" s="127"/>
      <c r="BK12" s="38"/>
      <c r="BL12" s="83"/>
      <c r="BM12" s="158"/>
      <c r="BN12" s="174"/>
      <c r="BO12">
        <f t="shared" si="2"/>
        <v>0</v>
      </c>
    </row>
    <row r="13" spans="1:67" x14ac:dyDescent="0.15">
      <c r="A13" s="2" t="s">
        <v>13</v>
      </c>
      <c r="B13" s="38"/>
      <c r="C13" s="35"/>
      <c r="E13" s="54"/>
      <c r="F13" s="64"/>
      <c r="G13" s="69"/>
      <c r="H13" s="126"/>
      <c r="I13" s="127"/>
      <c r="K13" s="38"/>
      <c r="L13" s="83"/>
      <c r="M13" s="158"/>
      <c r="N13" s="174"/>
      <c r="O13" s="38"/>
      <c r="P13" s="35"/>
      <c r="R13" s="54"/>
      <c r="S13" s="64"/>
      <c r="T13" s="69"/>
      <c r="U13" s="126"/>
      <c r="V13" s="127"/>
      <c r="X13" s="38"/>
      <c r="Y13" s="83"/>
      <c r="Z13" s="158"/>
      <c r="AA13" s="174"/>
      <c r="AB13" s="38"/>
      <c r="AC13" s="35"/>
      <c r="AE13" s="54"/>
      <c r="AF13" s="64"/>
      <c r="AG13" s="69"/>
      <c r="AH13" s="126"/>
      <c r="AI13" s="127"/>
      <c r="AK13" s="38"/>
      <c r="AL13" s="83"/>
      <c r="AM13" s="158"/>
      <c r="AN13" s="174"/>
      <c r="AO13" s="38"/>
      <c r="AP13" s="35"/>
      <c r="AR13" s="54"/>
      <c r="AS13" s="64"/>
      <c r="AT13" s="69"/>
      <c r="AU13" s="126"/>
      <c r="AV13" s="127"/>
      <c r="AX13" s="38"/>
      <c r="AY13" s="83"/>
      <c r="AZ13" s="158"/>
      <c r="BA13" s="174"/>
      <c r="BB13" s="38"/>
      <c r="BC13" s="35"/>
      <c r="BE13" s="54"/>
      <c r="BF13" s="64"/>
      <c r="BG13" s="69"/>
      <c r="BH13" s="126"/>
      <c r="BI13" s="127"/>
      <c r="BK13" s="38"/>
      <c r="BL13" s="83"/>
      <c r="BM13" s="158"/>
      <c r="BN13" s="174"/>
      <c r="BO13">
        <f t="shared" si="2"/>
        <v>0</v>
      </c>
    </row>
    <row r="14" spans="1:67" x14ac:dyDescent="0.15">
      <c r="A14" s="2" t="s">
        <v>190</v>
      </c>
      <c r="B14" s="38"/>
      <c r="C14" s="35"/>
      <c r="E14" s="54"/>
      <c r="F14" s="64"/>
      <c r="G14" s="69"/>
      <c r="H14" s="126"/>
      <c r="I14" s="127"/>
      <c r="K14" s="38"/>
      <c r="L14" s="83"/>
      <c r="M14" s="158"/>
      <c r="N14" s="174"/>
      <c r="O14" s="38"/>
      <c r="P14" s="35"/>
      <c r="R14" s="54"/>
      <c r="S14" s="64"/>
      <c r="T14" s="69"/>
      <c r="U14" s="126"/>
      <c r="V14" s="127"/>
      <c r="X14" s="38"/>
      <c r="Y14" s="83"/>
      <c r="Z14" s="158"/>
      <c r="AA14" s="174"/>
      <c r="AB14" s="38"/>
      <c r="AC14" s="35"/>
      <c r="AE14" s="54"/>
      <c r="AF14" s="64"/>
      <c r="AG14" s="69"/>
      <c r="AH14" s="126"/>
      <c r="AI14" s="127"/>
      <c r="AK14" s="38"/>
      <c r="AL14" s="83"/>
      <c r="AM14" s="158"/>
      <c r="AN14" s="174"/>
      <c r="AO14" s="38"/>
      <c r="AP14" s="35"/>
      <c r="AR14" s="54"/>
      <c r="AS14" s="64"/>
      <c r="AT14" s="69"/>
      <c r="AU14" s="126"/>
      <c r="AV14" s="127"/>
      <c r="AX14" s="38"/>
      <c r="AY14" s="83"/>
      <c r="AZ14" s="158"/>
      <c r="BA14" s="174"/>
      <c r="BB14" s="38"/>
      <c r="BC14" s="35"/>
      <c r="BE14" s="54"/>
      <c r="BF14" s="64"/>
      <c r="BG14" s="69"/>
      <c r="BH14" s="126"/>
      <c r="BI14" s="127"/>
      <c r="BK14" s="38"/>
      <c r="BL14" s="83"/>
      <c r="BM14" s="158"/>
      <c r="BN14" s="174"/>
      <c r="BO14">
        <f t="shared" si="2"/>
        <v>0</v>
      </c>
    </row>
    <row r="15" spans="1:67" x14ac:dyDescent="0.15">
      <c r="A15" s="2" t="s">
        <v>14</v>
      </c>
      <c r="B15" s="38"/>
      <c r="C15" s="35"/>
      <c r="E15" s="54"/>
      <c r="F15" s="64"/>
      <c r="G15" s="69"/>
      <c r="H15" s="126"/>
      <c r="I15" s="127"/>
      <c r="K15" s="38"/>
      <c r="L15" s="83"/>
      <c r="M15" s="158"/>
      <c r="N15" s="174"/>
      <c r="O15" s="38"/>
      <c r="P15" s="35">
        <v>1</v>
      </c>
      <c r="Q15" s="4">
        <v>1</v>
      </c>
      <c r="R15" s="54"/>
      <c r="S15" s="64"/>
      <c r="T15" s="69"/>
      <c r="U15" s="126"/>
      <c r="V15" s="127">
        <v>2</v>
      </c>
      <c r="W15" s="4">
        <v>1</v>
      </c>
      <c r="X15" s="38">
        <v>1</v>
      </c>
      <c r="Y15" s="83">
        <v>1</v>
      </c>
      <c r="Z15" s="158">
        <v>1</v>
      </c>
      <c r="AA15" s="174">
        <v>1</v>
      </c>
      <c r="AB15" s="38"/>
      <c r="AC15" s="35">
        <v>1</v>
      </c>
      <c r="AE15" s="54">
        <v>2</v>
      </c>
      <c r="AF15" s="64"/>
      <c r="AG15" s="69">
        <v>1</v>
      </c>
      <c r="AH15" s="126">
        <v>1</v>
      </c>
      <c r="AI15" s="127"/>
      <c r="AK15" s="38"/>
      <c r="AL15" s="83"/>
      <c r="AM15" s="158"/>
      <c r="AN15" s="174"/>
      <c r="AO15" s="38"/>
      <c r="AP15" s="35"/>
      <c r="AR15" s="54"/>
      <c r="AS15" s="64"/>
      <c r="AT15" s="69"/>
      <c r="AU15" s="126"/>
      <c r="AV15" s="127"/>
      <c r="AX15" s="38"/>
      <c r="AY15" s="83"/>
      <c r="AZ15" s="158"/>
      <c r="BA15" s="174"/>
      <c r="BB15" s="38"/>
      <c r="BC15" s="35"/>
      <c r="BE15" s="54"/>
      <c r="BF15" s="64"/>
      <c r="BG15" s="69"/>
      <c r="BH15" s="126"/>
      <c r="BI15" s="127"/>
      <c r="BK15" s="38"/>
      <c r="BL15" s="83"/>
      <c r="BM15" s="158"/>
      <c r="BN15" s="174"/>
      <c r="BO15">
        <f t="shared" si="2"/>
        <v>12</v>
      </c>
    </row>
    <row r="16" spans="1:67" x14ac:dyDescent="0.15">
      <c r="A16" s="2" t="s">
        <v>26</v>
      </c>
      <c r="B16" s="38"/>
      <c r="C16" s="35"/>
      <c r="E16" s="54"/>
      <c r="F16" s="64"/>
      <c r="G16" s="69"/>
      <c r="H16" s="126"/>
      <c r="I16" s="127"/>
      <c r="K16" s="38"/>
      <c r="L16" s="83"/>
      <c r="M16" s="158"/>
      <c r="N16" s="174"/>
      <c r="O16" s="38"/>
      <c r="P16" s="35"/>
      <c r="R16" s="54"/>
      <c r="S16" s="64"/>
      <c r="T16" s="69"/>
      <c r="U16" s="126"/>
      <c r="V16" s="127"/>
      <c r="X16" s="38"/>
      <c r="Y16" s="83"/>
      <c r="Z16" s="158"/>
      <c r="AA16" s="174"/>
      <c r="AB16" s="38"/>
      <c r="AC16" s="35"/>
      <c r="AE16" s="54"/>
      <c r="AF16" s="64"/>
      <c r="AG16" s="69"/>
      <c r="AH16" s="126"/>
      <c r="AI16" s="127"/>
      <c r="AK16" s="38"/>
      <c r="AL16" s="83"/>
      <c r="AM16" s="158"/>
      <c r="AN16" s="174"/>
      <c r="AO16" s="38"/>
      <c r="AP16" s="35"/>
      <c r="AR16" s="54"/>
      <c r="AS16" s="64"/>
      <c r="AT16" s="69"/>
      <c r="AU16" s="126"/>
      <c r="AV16" s="127"/>
      <c r="AX16" s="38"/>
      <c r="AY16" s="83"/>
      <c r="AZ16" s="158"/>
      <c r="BA16" s="174"/>
      <c r="BB16" s="38"/>
      <c r="BC16" s="35"/>
      <c r="BE16" s="54"/>
      <c r="BF16" s="64"/>
      <c r="BG16" s="69"/>
      <c r="BH16" s="126"/>
      <c r="BI16" s="127"/>
      <c r="BK16" s="38"/>
      <c r="BL16" s="83"/>
      <c r="BM16" s="158"/>
      <c r="BN16" s="174"/>
      <c r="BO16">
        <f t="shared" si="2"/>
        <v>0</v>
      </c>
    </row>
    <row r="17" spans="1:67" x14ac:dyDescent="0.15">
      <c r="A17" s="2" t="s">
        <v>51</v>
      </c>
      <c r="B17" s="38"/>
      <c r="C17" s="35"/>
      <c r="E17" s="54"/>
      <c r="F17" s="64"/>
      <c r="G17" s="69"/>
      <c r="H17" s="126"/>
      <c r="I17" s="127"/>
      <c r="K17" s="38"/>
      <c r="L17" s="83"/>
      <c r="M17" s="158"/>
      <c r="N17" s="174"/>
      <c r="O17" s="38"/>
      <c r="P17" s="35">
        <v>1</v>
      </c>
      <c r="Q17" s="4">
        <v>1</v>
      </c>
      <c r="R17" s="54">
        <v>1</v>
      </c>
      <c r="S17" s="64">
        <v>1</v>
      </c>
      <c r="T17" s="69">
        <v>1</v>
      </c>
      <c r="U17" s="126">
        <v>1</v>
      </c>
      <c r="V17" s="127"/>
      <c r="X17" s="38"/>
      <c r="Y17" s="83"/>
      <c r="Z17" s="158"/>
      <c r="AA17" s="174"/>
      <c r="AB17" s="38"/>
      <c r="AC17" s="35"/>
      <c r="AE17" s="54"/>
      <c r="AF17" s="64"/>
      <c r="AG17" s="69"/>
      <c r="AH17" s="126"/>
      <c r="AI17" s="127"/>
      <c r="AK17" s="38"/>
      <c r="AL17" s="83"/>
      <c r="AM17" s="158"/>
      <c r="AN17" s="174"/>
      <c r="AO17" s="38"/>
      <c r="AP17" s="35"/>
      <c r="AR17" s="54"/>
      <c r="AS17" s="64"/>
      <c r="AT17" s="69"/>
      <c r="AU17" s="126"/>
      <c r="AV17" s="127"/>
      <c r="AX17" s="38"/>
      <c r="AY17" s="83"/>
      <c r="AZ17" s="158"/>
      <c r="BA17" s="174"/>
      <c r="BB17" s="38"/>
      <c r="BC17" s="35"/>
      <c r="BE17" s="54"/>
      <c r="BF17" s="64"/>
      <c r="BG17" s="69"/>
      <c r="BH17" s="126"/>
      <c r="BI17" s="127"/>
      <c r="BK17" s="38"/>
      <c r="BL17" s="83"/>
      <c r="BM17" s="158"/>
      <c r="BN17" s="174"/>
      <c r="BO17">
        <f t="shared" si="2"/>
        <v>6</v>
      </c>
    </row>
    <row r="18" spans="1:67" x14ac:dyDescent="0.15">
      <c r="A18" s="2" t="s">
        <v>44</v>
      </c>
      <c r="B18" s="38"/>
      <c r="C18" s="35"/>
      <c r="E18" s="54"/>
      <c r="F18" s="64"/>
      <c r="G18" s="69"/>
      <c r="H18" s="126"/>
      <c r="I18" s="127"/>
      <c r="K18" s="38"/>
      <c r="L18" s="83"/>
      <c r="M18" s="158"/>
      <c r="N18" s="174"/>
      <c r="O18" s="38"/>
      <c r="P18" s="35"/>
      <c r="R18" s="54"/>
      <c r="S18" s="64"/>
      <c r="T18" s="69"/>
      <c r="U18" s="126"/>
      <c r="V18" s="127"/>
      <c r="X18" s="38"/>
      <c r="Y18" s="83"/>
      <c r="Z18" s="158"/>
      <c r="AA18" s="174"/>
      <c r="AB18" s="38"/>
      <c r="AC18" s="35"/>
      <c r="AE18" s="54"/>
      <c r="AF18" s="64"/>
      <c r="AG18" s="69"/>
      <c r="AH18" s="126"/>
      <c r="AI18" s="127"/>
      <c r="AK18" s="38"/>
      <c r="AL18" s="83"/>
      <c r="AM18" s="158"/>
      <c r="AN18" s="174"/>
      <c r="AO18" s="38"/>
      <c r="AP18" s="35"/>
      <c r="AR18" s="54"/>
      <c r="AS18" s="64"/>
      <c r="AT18" s="69"/>
      <c r="AU18" s="126"/>
      <c r="AV18" s="127"/>
      <c r="AX18" s="38"/>
      <c r="AY18" s="83"/>
      <c r="AZ18" s="158"/>
      <c r="BA18" s="174"/>
      <c r="BB18" s="38"/>
      <c r="BC18" s="35"/>
      <c r="BE18" s="54"/>
      <c r="BF18" s="64"/>
      <c r="BG18" s="69"/>
      <c r="BH18" s="126"/>
      <c r="BI18" s="127"/>
      <c r="BK18" s="38"/>
      <c r="BL18" s="83"/>
      <c r="BM18" s="158"/>
      <c r="BN18" s="174"/>
      <c r="BO18">
        <f t="shared" si="2"/>
        <v>0</v>
      </c>
    </row>
    <row r="19" spans="1:67" x14ac:dyDescent="0.15">
      <c r="A19" s="2" t="s">
        <v>4</v>
      </c>
      <c r="B19" s="38"/>
      <c r="C19" s="35"/>
      <c r="E19" s="54"/>
      <c r="F19" s="64"/>
      <c r="G19" s="69"/>
      <c r="H19" s="126"/>
      <c r="I19" s="127"/>
      <c r="K19" s="38"/>
      <c r="L19" s="83"/>
      <c r="M19" s="158"/>
      <c r="N19" s="174"/>
      <c r="O19" s="38"/>
      <c r="P19" s="35">
        <v>1</v>
      </c>
      <c r="Q19" s="4">
        <v>1</v>
      </c>
      <c r="R19" s="54">
        <v>1</v>
      </c>
      <c r="S19" s="64">
        <v>1</v>
      </c>
      <c r="T19" s="69">
        <v>1</v>
      </c>
      <c r="U19" s="126">
        <v>1</v>
      </c>
      <c r="V19" s="127">
        <v>1</v>
      </c>
      <c r="W19" s="4">
        <v>1</v>
      </c>
      <c r="X19" s="38">
        <v>1</v>
      </c>
      <c r="Y19" s="83">
        <v>1</v>
      </c>
      <c r="Z19" s="158">
        <v>1</v>
      </c>
      <c r="AA19" s="174">
        <v>1</v>
      </c>
      <c r="AB19" s="38">
        <v>1</v>
      </c>
      <c r="AC19" s="35">
        <v>1</v>
      </c>
      <c r="AD19" s="4">
        <v>1</v>
      </c>
      <c r="AE19" s="54">
        <v>2</v>
      </c>
      <c r="AF19" s="64">
        <v>1</v>
      </c>
      <c r="AG19" s="69">
        <v>1</v>
      </c>
      <c r="AH19" s="126">
        <v>1</v>
      </c>
      <c r="AI19" s="127">
        <v>2</v>
      </c>
      <c r="AJ19" s="4">
        <v>1</v>
      </c>
      <c r="AK19" s="38">
        <v>1</v>
      </c>
      <c r="AL19" s="83">
        <v>1</v>
      </c>
      <c r="AM19" s="158">
        <v>1</v>
      </c>
      <c r="AN19" s="174">
        <v>1</v>
      </c>
      <c r="AO19" s="38"/>
      <c r="AP19" s="35"/>
      <c r="AR19" s="54"/>
      <c r="AS19" s="64"/>
      <c r="AT19" s="69"/>
      <c r="AU19" s="126"/>
      <c r="AV19" s="127"/>
      <c r="AX19" s="38"/>
      <c r="AY19" s="83"/>
      <c r="AZ19" s="158"/>
      <c r="BA19" s="174"/>
      <c r="BB19" s="38"/>
      <c r="BC19" s="35"/>
      <c r="BE19" s="54"/>
      <c r="BF19" s="64"/>
      <c r="BG19" s="69"/>
      <c r="BH19" s="126"/>
      <c r="BI19" s="127"/>
      <c r="BK19" s="38"/>
      <c r="BL19" s="83"/>
      <c r="BM19" s="158"/>
      <c r="BN19" s="174"/>
      <c r="BO19">
        <f t="shared" si="2"/>
        <v>25</v>
      </c>
    </row>
    <row r="20" spans="1:67" x14ac:dyDescent="0.15">
      <c r="A20" s="2" t="s">
        <v>232</v>
      </c>
      <c r="B20" s="38"/>
      <c r="C20" s="35"/>
      <c r="E20" s="54"/>
      <c r="F20" s="64"/>
      <c r="G20" s="69"/>
      <c r="H20" s="126"/>
      <c r="I20" s="127"/>
      <c r="K20" s="38"/>
      <c r="L20" s="83"/>
      <c r="M20" s="158"/>
      <c r="N20" s="174"/>
      <c r="O20" s="38"/>
      <c r="P20" s="35"/>
      <c r="R20" s="54"/>
      <c r="S20" s="64"/>
      <c r="T20" s="69"/>
      <c r="U20" s="126"/>
      <c r="V20" s="127"/>
      <c r="X20" s="38"/>
      <c r="Y20" s="83"/>
      <c r="Z20" s="158"/>
      <c r="AA20" s="174"/>
      <c r="AB20" s="38"/>
      <c r="AC20" s="35"/>
      <c r="AE20" s="54"/>
      <c r="AF20" s="64"/>
      <c r="AG20" s="69"/>
      <c r="AH20" s="126"/>
      <c r="AI20" s="127"/>
      <c r="AK20" s="38"/>
      <c r="AL20" s="83"/>
      <c r="AM20" s="158"/>
      <c r="AN20" s="174"/>
      <c r="AO20" s="38"/>
      <c r="AP20" s="35"/>
      <c r="AR20" s="54"/>
      <c r="AS20" s="64"/>
      <c r="AT20" s="69"/>
      <c r="AU20" s="126"/>
      <c r="AV20" s="127"/>
      <c r="AX20" s="38"/>
      <c r="AY20" s="83"/>
      <c r="AZ20" s="158"/>
      <c r="BA20" s="174"/>
      <c r="BB20" s="38"/>
      <c r="BC20" s="35"/>
      <c r="BE20" s="54"/>
      <c r="BF20" s="64"/>
      <c r="BG20" s="69"/>
      <c r="BH20" s="126"/>
      <c r="BI20" s="127"/>
      <c r="BK20" s="38"/>
      <c r="BL20" s="83"/>
      <c r="BM20" s="158"/>
      <c r="BN20" s="174"/>
      <c r="BO20">
        <f t="shared" si="2"/>
        <v>0</v>
      </c>
    </row>
    <row r="21" spans="1:67" x14ac:dyDescent="0.15">
      <c r="A21" s="2" t="s">
        <v>15</v>
      </c>
      <c r="B21" s="38"/>
      <c r="C21" s="35"/>
      <c r="E21" s="54"/>
      <c r="F21" s="64"/>
      <c r="G21" s="69"/>
      <c r="H21" s="126"/>
      <c r="I21" s="127"/>
      <c r="K21" s="38"/>
      <c r="L21" s="83"/>
      <c r="M21" s="158"/>
      <c r="N21" s="174"/>
      <c r="O21" s="38"/>
      <c r="P21" s="35"/>
      <c r="R21" s="54"/>
      <c r="S21" s="64"/>
      <c r="T21" s="69"/>
      <c r="U21" s="126"/>
      <c r="V21" s="127"/>
      <c r="X21" s="38"/>
      <c r="Y21" s="83"/>
      <c r="Z21" s="158"/>
      <c r="AA21" s="174"/>
      <c r="AB21" s="38"/>
      <c r="AC21" s="35"/>
      <c r="AE21" s="54"/>
      <c r="AF21" s="64"/>
      <c r="AG21" s="69"/>
      <c r="AH21" s="126"/>
      <c r="AI21" s="127"/>
      <c r="AK21" s="38"/>
      <c r="AL21" s="83"/>
      <c r="AM21" s="158"/>
      <c r="AN21" s="174"/>
      <c r="AO21" s="38"/>
      <c r="AP21" s="35"/>
      <c r="AR21" s="54"/>
      <c r="AS21" s="64"/>
      <c r="AT21" s="69"/>
      <c r="AU21" s="126"/>
      <c r="AV21" s="127"/>
      <c r="AX21" s="38"/>
      <c r="AY21" s="83"/>
      <c r="AZ21" s="158"/>
      <c r="BA21" s="174"/>
      <c r="BB21" s="38"/>
      <c r="BC21" s="35"/>
      <c r="BE21" s="54"/>
      <c r="BF21" s="64"/>
      <c r="BG21" s="69"/>
      <c r="BH21" s="126"/>
      <c r="BI21" s="127"/>
      <c r="BK21" s="38"/>
      <c r="BL21" s="83"/>
      <c r="BM21" s="158"/>
      <c r="BN21" s="174"/>
      <c r="BO21">
        <f t="shared" si="2"/>
        <v>0</v>
      </c>
    </row>
    <row r="22" spans="1:67" x14ac:dyDescent="0.15">
      <c r="A22" s="2" t="s">
        <v>5</v>
      </c>
      <c r="B22" s="38"/>
      <c r="C22" s="35"/>
      <c r="E22" s="54"/>
      <c r="F22" s="64"/>
      <c r="G22" s="69"/>
      <c r="H22" s="126"/>
      <c r="I22" s="127"/>
      <c r="K22" s="38"/>
      <c r="L22" s="83"/>
      <c r="M22" s="158"/>
      <c r="N22" s="174"/>
      <c r="O22" s="38"/>
      <c r="P22" s="35"/>
      <c r="R22" s="54"/>
      <c r="S22" s="64"/>
      <c r="T22" s="69"/>
      <c r="U22" s="126"/>
      <c r="V22" s="127">
        <v>1</v>
      </c>
      <c r="X22" s="38">
        <v>1</v>
      </c>
      <c r="Y22" s="83">
        <v>1</v>
      </c>
      <c r="Z22" s="158">
        <v>1</v>
      </c>
      <c r="AA22" s="174">
        <v>1</v>
      </c>
      <c r="AB22" s="38"/>
      <c r="AC22" s="35"/>
      <c r="AE22" s="54">
        <v>1</v>
      </c>
      <c r="AF22" s="64">
        <v>1</v>
      </c>
      <c r="AG22" s="69">
        <v>1</v>
      </c>
      <c r="AH22" s="126">
        <v>1</v>
      </c>
      <c r="AI22" s="127">
        <v>2</v>
      </c>
      <c r="AJ22" s="4">
        <v>1</v>
      </c>
      <c r="AK22" s="38">
        <v>1</v>
      </c>
      <c r="AL22" s="83">
        <v>1</v>
      </c>
      <c r="AM22" s="158">
        <v>1</v>
      </c>
      <c r="AN22" s="174">
        <v>1</v>
      </c>
      <c r="AO22" s="38"/>
      <c r="AP22" s="35"/>
      <c r="AR22" s="54"/>
      <c r="AS22" s="64"/>
      <c r="AT22" s="69"/>
      <c r="AU22" s="126"/>
      <c r="AV22" s="127"/>
      <c r="AX22" s="38"/>
      <c r="AY22" s="83"/>
      <c r="AZ22" s="158"/>
      <c r="BA22" s="174"/>
      <c r="BB22" s="38"/>
      <c r="BC22" s="35"/>
      <c r="BE22" s="54"/>
      <c r="BF22" s="64"/>
      <c r="BG22" s="69"/>
      <c r="BH22" s="126"/>
      <c r="BI22" s="127"/>
      <c r="BK22" s="38"/>
      <c r="BL22" s="83"/>
      <c r="BM22" s="158"/>
      <c r="BN22" s="174"/>
      <c r="BO22">
        <f t="shared" si="2"/>
        <v>15</v>
      </c>
    </row>
    <row r="23" spans="1:67" x14ac:dyDescent="0.15">
      <c r="A23" s="2" t="s">
        <v>46</v>
      </c>
      <c r="B23" s="38"/>
      <c r="C23" s="35"/>
      <c r="E23" s="54"/>
      <c r="F23" s="64"/>
      <c r="G23" s="69"/>
      <c r="H23" s="126"/>
      <c r="I23" s="127"/>
      <c r="K23" s="38"/>
      <c r="L23" s="83"/>
      <c r="M23" s="158"/>
      <c r="N23" s="174"/>
      <c r="O23" s="38"/>
      <c r="P23" s="35"/>
      <c r="R23" s="54"/>
      <c r="S23" s="64"/>
      <c r="T23" s="69"/>
      <c r="U23" s="126"/>
      <c r="V23" s="127">
        <v>2</v>
      </c>
      <c r="W23" s="4">
        <v>1</v>
      </c>
      <c r="X23" s="38">
        <v>1</v>
      </c>
      <c r="Y23" s="83"/>
      <c r="Z23" s="158">
        <v>1</v>
      </c>
      <c r="AA23" s="174"/>
      <c r="AB23" s="38"/>
      <c r="AC23" s="35"/>
      <c r="AE23" s="54">
        <v>3</v>
      </c>
      <c r="AF23" s="64">
        <v>2</v>
      </c>
      <c r="AG23" s="69">
        <v>2</v>
      </c>
      <c r="AH23" s="126">
        <v>1</v>
      </c>
      <c r="AI23" s="127">
        <v>1</v>
      </c>
      <c r="AJ23" s="4">
        <v>1</v>
      </c>
      <c r="AK23" s="38">
        <v>1</v>
      </c>
      <c r="AL23" s="83">
        <v>1</v>
      </c>
      <c r="AM23" s="158">
        <v>2</v>
      </c>
      <c r="AN23" s="174">
        <v>1</v>
      </c>
      <c r="AO23" s="38"/>
      <c r="AP23" s="35"/>
      <c r="AR23" s="54"/>
      <c r="AS23" s="64"/>
      <c r="AT23" s="69"/>
      <c r="AU23" s="126"/>
      <c r="AV23" s="127"/>
      <c r="AX23" s="38"/>
      <c r="AY23" s="83"/>
      <c r="AZ23" s="158"/>
      <c r="BA23" s="174"/>
      <c r="BB23" s="38"/>
      <c r="BC23" s="35"/>
      <c r="BE23" s="54"/>
      <c r="BF23" s="64"/>
      <c r="BG23" s="69"/>
      <c r="BH23" s="126"/>
      <c r="BI23" s="127"/>
      <c r="BK23" s="38"/>
      <c r="BL23" s="83"/>
      <c r="BM23" s="158"/>
      <c r="BN23" s="174"/>
      <c r="BO23">
        <f t="shared" si="2"/>
        <v>14</v>
      </c>
    </row>
    <row r="24" spans="1:67" x14ac:dyDescent="0.15">
      <c r="A24" s="2" t="s">
        <v>228</v>
      </c>
      <c r="B24" s="38"/>
      <c r="C24" s="35"/>
      <c r="E24" s="54"/>
      <c r="F24" s="64"/>
      <c r="G24" s="69"/>
      <c r="H24" s="126"/>
      <c r="I24" s="127"/>
      <c r="K24" s="38"/>
      <c r="L24" s="83"/>
      <c r="M24" s="158"/>
      <c r="N24" s="174"/>
      <c r="O24" s="38"/>
      <c r="P24" s="35"/>
      <c r="R24" s="54"/>
      <c r="S24" s="64"/>
      <c r="T24" s="69"/>
      <c r="U24" s="126"/>
      <c r="V24" s="127"/>
      <c r="X24" s="38"/>
      <c r="Y24" s="83"/>
      <c r="Z24" s="158"/>
      <c r="AA24" s="174"/>
      <c r="AB24" s="38"/>
      <c r="AC24" s="35"/>
      <c r="AE24" s="54"/>
      <c r="AF24" s="64"/>
      <c r="AG24" s="69"/>
      <c r="AH24" s="126"/>
      <c r="AI24" s="127"/>
      <c r="AK24" s="38"/>
      <c r="AL24" s="83"/>
      <c r="AM24" s="158"/>
      <c r="AN24" s="174"/>
      <c r="AO24" s="38"/>
      <c r="AP24" s="35"/>
      <c r="AR24" s="54"/>
      <c r="AS24" s="64"/>
      <c r="AT24" s="69"/>
      <c r="AU24" s="126"/>
      <c r="AV24" s="127"/>
      <c r="AX24" s="38"/>
      <c r="AY24" s="83"/>
      <c r="AZ24" s="158"/>
      <c r="BA24" s="174"/>
      <c r="BB24" s="38"/>
      <c r="BC24" s="35"/>
      <c r="BE24" s="54"/>
      <c r="BF24" s="64"/>
      <c r="BG24" s="69"/>
      <c r="BH24" s="126"/>
      <c r="BI24" s="127"/>
      <c r="BK24" s="38"/>
      <c r="BL24" s="83"/>
      <c r="BM24" s="158"/>
      <c r="BN24" s="174"/>
      <c r="BO24">
        <f t="shared" si="2"/>
        <v>0</v>
      </c>
    </row>
    <row r="25" spans="1:67" x14ac:dyDescent="0.15">
      <c r="A25" s="5" t="s">
        <v>133</v>
      </c>
      <c r="B25" s="38"/>
      <c r="C25" s="35"/>
      <c r="E25" s="54"/>
      <c r="F25" s="64"/>
      <c r="G25" s="69"/>
      <c r="H25" s="126"/>
      <c r="I25" s="127"/>
      <c r="K25" s="38"/>
      <c r="L25" s="83"/>
      <c r="M25" s="158"/>
      <c r="N25" s="174"/>
      <c r="O25" s="38"/>
      <c r="P25" s="35"/>
      <c r="R25" s="54"/>
      <c r="S25" s="64"/>
      <c r="T25" s="69"/>
      <c r="U25" s="126"/>
      <c r="V25" s="127"/>
      <c r="X25" s="38"/>
      <c r="Y25" s="83"/>
      <c r="Z25" s="158"/>
      <c r="AA25" s="174"/>
      <c r="AB25" s="38"/>
      <c r="AC25" s="35"/>
      <c r="AE25" s="54"/>
      <c r="AF25" s="64"/>
      <c r="AG25" s="69"/>
      <c r="AH25" s="126"/>
      <c r="AI25" s="127"/>
      <c r="AK25" s="38"/>
      <c r="AL25" s="83"/>
      <c r="AM25" s="158"/>
      <c r="AN25" s="174"/>
      <c r="AO25" s="38"/>
      <c r="AP25" s="35"/>
      <c r="AR25" s="54"/>
      <c r="AS25" s="64"/>
      <c r="AT25" s="69"/>
      <c r="AU25" s="126"/>
      <c r="AV25" s="127"/>
      <c r="AX25" s="38"/>
      <c r="AY25" s="83"/>
      <c r="AZ25" s="158"/>
      <c r="BA25" s="174"/>
      <c r="BB25" s="38"/>
      <c r="BC25" s="35"/>
      <c r="BE25" s="54"/>
      <c r="BF25" s="64"/>
      <c r="BG25" s="69"/>
      <c r="BH25" s="126"/>
      <c r="BI25" s="127"/>
      <c r="BK25" s="38"/>
      <c r="BL25" s="83"/>
      <c r="BM25" s="158"/>
      <c r="BN25" s="174"/>
      <c r="BO25">
        <f t="shared" si="2"/>
        <v>0</v>
      </c>
    </row>
    <row r="26" spans="1:67" x14ac:dyDescent="0.15">
      <c r="A26" s="5" t="s">
        <v>212</v>
      </c>
      <c r="B26" s="38"/>
      <c r="C26" s="35"/>
      <c r="E26" s="54"/>
      <c r="F26" s="64"/>
      <c r="G26" s="69"/>
      <c r="H26" s="126"/>
      <c r="I26" s="127"/>
      <c r="K26" s="38"/>
      <c r="L26" s="83"/>
      <c r="M26" s="158"/>
      <c r="N26" s="174"/>
      <c r="O26" s="38"/>
      <c r="P26" s="35"/>
      <c r="R26" s="54"/>
      <c r="S26" s="64"/>
      <c r="T26" s="69"/>
      <c r="U26" s="126"/>
      <c r="V26" s="127"/>
      <c r="X26" s="38"/>
      <c r="Y26" s="83"/>
      <c r="Z26" s="158"/>
      <c r="AA26" s="174"/>
      <c r="AB26" s="38"/>
      <c r="AC26" s="35"/>
      <c r="AE26" s="54"/>
      <c r="AF26" s="64"/>
      <c r="AG26" s="69"/>
      <c r="AH26" s="126"/>
      <c r="AI26" s="127"/>
      <c r="AK26" s="38"/>
      <c r="AL26" s="83"/>
      <c r="AM26" s="158"/>
      <c r="AN26" s="174"/>
      <c r="AO26" s="38"/>
      <c r="AP26" s="35"/>
      <c r="AR26" s="54"/>
      <c r="AS26" s="64"/>
      <c r="AT26" s="69"/>
      <c r="AU26" s="126"/>
      <c r="AV26" s="127"/>
      <c r="AX26" s="38"/>
      <c r="AY26" s="83"/>
      <c r="AZ26" s="158"/>
      <c r="BA26" s="174"/>
      <c r="BB26" s="38"/>
      <c r="BC26" s="35"/>
      <c r="BE26" s="54"/>
      <c r="BF26" s="64"/>
      <c r="BG26" s="69"/>
      <c r="BH26" s="126"/>
      <c r="BI26" s="127"/>
      <c r="BK26" s="38"/>
      <c r="BL26" s="83"/>
      <c r="BM26" s="158"/>
      <c r="BN26" s="174"/>
      <c r="BO26">
        <f t="shared" si="2"/>
        <v>0</v>
      </c>
    </row>
    <row r="27" spans="1:67" x14ac:dyDescent="0.15">
      <c r="A27" s="2" t="s">
        <v>45</v>
      </c>
      <c r="B27" s="38"/>
      <c r="C27" s="35"/>
      <c r="E27" s="54"/>
      <c r="F27" s="64"/>
      <c r="G27" s="69"/>
      <c r="H27" s="126"/>
      <c r="I27" s="127"/>
      <c r="K27" s="38"/>
      <c r="L27" s="83"/>
      <c r="M27" s="158"/>
      <c r="N27" s="174"/>
      <c r="O27" s="38"/>
      <c r="P27" s="35"/>
      <c r="R27" s="54"/>
      <c r="S27" s="64"/>
      <c r="T27" s="69"/>
      <c r="U27" s="126"/>
      <c r="V27" s="127"/>
      <c r="X27" s="38"/>
      <c r="Y27" s="83"/>
      <c r="Z27" s="158"/>
      <c r="AA27" s="174"/>
      <c r="AB27" s="38"/>
      <c r="AC27" s="35"/>
      <c r="AE27" s="54"/>
      <c r="AF27" s="64"/>
      <c r="AG27" s="69"/>
      <c r="AH27" s="126"/>
      <c r="AI27" s="127">
        <v>1</v>
      </c>
      <c r="AJ27" s="4">
        <v>1</v>
      </c>
      <c r="AK27" s="38">
        <v>1</v>
      </c>
      <c r="AL27" s="83">
        <v>1</v>
      </c>
      <c r="AM27" s="158">
        <v>1</v>
      </c>
      <c r="AN27" s="174">
        <v>1</v>
      </c>
      <c r="AO27" s="38"/>
      <c r="AP27" s="35"/>
      <c r="AR27" s="54"/>
      <c r="AS27" s="64"/>
      <c r="AT27" s="69"/>
      <c r="AU27" s="126"/>
      <c r="AV27" s="127"/>
      <c r="AX27" s="38"/>
      <c r="AY27" s="83"/>
      <c r="AZ27" s="158"/>
      <c r="BA27" s="174"/>
      <c r="BB27" s="38"/>
      <c r="BC27" s="35"/>
      <c r="BE27" s="54"/>
      <c r="BF27" s="64"/>
      <c r="BG27" s="69"/>
      <c r="BH27" s="126"/>
      <c r="BI27" s="127"/>
      <c r="BK27" s="38"/>
      <c r="BL27" s="83"/>
      <c r="BM27" s="158"/>
      <c r="BN27" s="174"/>
      <c r="BO27">
        <f t="shared" si="2"/>
        <v>6</v>
      </c>
    </row>
    <row r="28" spans="1:67" x14ac:dyDescent="0.15">
      <c r="A28" s="2" t="s">
        <v>16</v>
      </c>
      <c r="B28" s="38"/>
      <c r="C28" s="35"/>
      <c r="E28" s="54"/>
      <c r="F28" s="64"/>
      <c r="G28" s="69"/>
      <c r="H28" s="126"/>
      <c r="I28" s="127"/>
      <c r="K28" s="38"/>
      <c r="L28" s="83"/>
      <c r="M28" s="158"/>
      <c r="N28" s="174"/>
      <c r="O28" s="38"/>
      <c r="P28" s="35"/>
      <c r="R28" s="54"/>
      <c r="S28" s="64"/>
      <c r="T28" s="69"/>
      <c r="U28" s="126"/>
      <c r="V28" s="127"/>
      <c r="X28" s="38"/>
      <c r="Y28" s="83"/>
      <c r="Z28" s="158">
        <v>1</v>
      </c>
      <c r="AA28" s="174">
        <v>1</v>
      </c>
      <c r="AB28" s="38"/>
      <c r="AC28" s="35"/>
      <c r="AE28" s="54"/>
      <c r="AF28" s="64"/>
      <c r="AG28" s="69"/>
      <c r="AH28" s="126"/>
      <c r="AI28" s="127">
        <v>1</v>
      </c>
      <c r="AK28" s="38"/>
      <c r="AL28" s="83"/>
      <c r="AM28" s="158"/>
      <c r="AN28" s="174"/>
      <c r="AO28" s="38"/>
      <c r="AP28" s="35"/>
      <c r="AR28" s="54"/>
      <c r="AS28" s="64"/>
      <c r="AT28" s="69"/>
      <c r="AU28" s="126"/>
      <c r="AV28" s="127"/>
      <c r="AX28" s="38"/>
      <c r="AY28" s="83"/>
      <c r="AZ28" s="158"/>
      <c r="BA28" s="174"/>
      <c r="BB28" s="38"/>
      <c r="BC28" s="35"/>
      <c r="BE28" s="54"/>
      <c r="BF28" s="64"/>
      <c r="BG28" s="69"/>
      <c r="BH28" s="126"/>
      <c r="BI28" s="127"/>
      <c r="BK28" s="38"/>
      <c r="BL28" s="83"/>
      <c r="BM28" s="158"/>
      <c r="BN28" s="174"/>
      <c r="BO28">
        <f t="shared" si="2"/>
        <v>3</v>
      </c>
    </row>
    <row r="29" spans="1:67" x14ac:dyDescent="0.15">
      <c r="A29" s="2" t="s">
        <v>219</v>
      </c>
      <c r="B29" s="38"/>
      <c r="C29" s="35"/>
      <c r="E29" s="54"/>
      <c r="F29" s="64"/>
      <c r="G29" s="69"/>
      <c r="H29" s="126"/>
      <c r="I29" s="127"/>
      <c r="K29" s="38"/>
      <c r="L29" s="83"/>
      <c r="M29" s="158"/>
      <c r="N29" s="174"/>
      <c r="O29" s="38"/>
      <c r="P29" s="35"/>
      <c r="R29" s="54"/>
      <c r="S29" s="64"/>
      <c r="T29" s="69"/>
      <c r="U29" s="126"/>
      <c r="V29" s="127"/>
      <c r="X29" s="38"/>
      <c r="Y29" s="83"/>
      <c r="Z29" s="158"/>
      <c r="AA29" s="174"/>
      <c r="AB29" s="38"/>
      <c r="AC29" s="35"/>
      <c r="AE29" s="54"/>
      <c r="AF29" s="64"/>
      <c r="AG29" s="69"/>
      <c r="AH29" s="126"/>
      <c r="AI29" s="127"/>
      <c r="AK29" s="38"/>
      <c r="AL29" s="83"/>
      <c r="AM29" s="158"/>
      <c r="AN29" s="174"/>
      <c r="AO29" s="38"/>
      <c r="AP29" s="35"/>
      <c r="AR29" s="54"/>
      <c r="AS29" s="64"/>
      <c r="AT29" s="69"/>
      <c r="AU29" s="126"/>
      <c r="AV29" s="127"/>
      <c r="AX29" s="38"/>
      <c r="AY29" s="83"/>
      <c r="AZ29" s="158"/>
      <c r="BA29" s="174"/>
      <c r="BB29" s="38"/>
      <c r="BC29" s="35"/>
      <c r="BE29" s="54"/>
      <c r="BF29" s="64"/>
      <c r="BG29" s="69"/>
      <c r="BH29" s="126"/>
      <c r="BI29" s="127"/>
      <c r="BK29" s="38"/>
      <c r="BL29" s="83"/>
      <c r="BM29" s="158"/>
      <c r="BN29" s="174"/>
      <c r="BO29">
        <f t="shared" si="2"/>
        <v>0</v>
      </c>
    </row>
    <row r="30" spans="1:67" x14ac:dyDescent="0.15">
      <c r="A30" s="5" t="s">
        <v>70</v>
      </c>
      <c r="B30" s="38"/>
      <c r="C30" s="35"/>
      <c r="E30" s="54"/>
      <c r="F30" s="64"/>
      <c r="G30" s="69"/>
      <c r="H30" s="126"/>
      <c r="I30" s="127"/>
      <c r="K30" s="38"/>
      <c r="L30" s="83"/>
      <c r="M30" s="158"/>
      <c r="N30" s="174"/>
      <c r="O30" s="38"/>
      <c r="P30" s="35"/>
      <c r="R30" s="54"/>
      <c r="S30" s="64"/>
      <c r="T30" s="69"/>
      <c r="U30" s="126"/>
      <c r="V30" s="127"/>
      <c r="X30" s="38"/>
      <c r="Y30" s="83"/>
      <c r="Z30" s="158"/>
      <c r="AA30" s="174"/>
      <c r="AB30" s="38"/>
      <c r="AC30" s="35"/>
      <c r="AE30" s="54"/>
      <c r="AF30" s="64"/>
      <c r="AG30" s="69"/>
      <c r="AH30" s="126"/>
      <c r="AI30" s="127"/>
      <c r="AK30" s="38"/>
      <c r="AL30" s="83"/>
      <c r="AM30" s="158"/>
      <c r="AN30" s="174"/>
      <c r="AO30" s="38"/>
      <c r="AP30" s="35"/>
      <c r="AR30" s="54"/>
      <c r="AS30" s="64"/>
      <c r="AT30" s="69"/>
      <c r="AU30" s="126"/>
      <c r="AV30" s="127"/>
      <c r="AX30" s="38"/>
      <c r="AY30" s="83"/>
      <c r="AZ30" s="158"/>
      <c r="BA30" s="174"/>
      <c r="BB30" s="38"/>
      <c r="BC30" s="35"/>
      <c r="BE30" s="54"/>
      <c r="BF30" s="64"/>
      <c r="BG30" s="69"/>
      <c r="BH30" s="126"/>
      <c r="BI30" s="127"/>
      <c r="BK30" s="38"/>
      <c r="BL30" s="83"/>
      <c r="BM30" s="158"/>
      <c r="BN30" s="174"/>
      <c r="BO30">
        <f t="shared" si="2"/>
        <v>0</v>
      </c>
    </row>
    <row r="31" spans="1:67" x14ac:dyDescent="0.15">
      <c r="A31" s="5" t="s">
        <v>221</v>
      </c>
      <c r="B31" s="38"/>
      <c r="C31" s="35"/>
      <c r="E31" s="54"/>
      <c r="F31" s="64"/>
      <c r="G31" s="69"/>
      <c r="H31" s="126"/>
      <c r="I31" s="127"/>
      <c r="K31" s="38"/>
      <c r="L31" s="83"/>
      <c r="M31" s="158"/>
      <c r="N31" s="174"/>
      <c r="O31" s="38"/>
      <c r="P31" s="35"/>
      <c r="R31" s="54"/>
      <c r="S31" s="64"/>
      <c r="T31" s="69"/>
      <c r="U31" s="126"/>
      <c r="V31" s="127"/>
      <c r="X31" s="38"/>
      <c r="Y31" s="83"/>
      <c r="Z31" s="158"/>
      <c r="AA31" s="174"/>
      <c r="AB31" s="38"/>
      <c r="AC31" s="35"/>
      <c r="AE31" s="54"/>
      <c r="AF31" s="64"/>
      <c r="AG31" s="69"/>
      <c r="AH31" s="126"/>
      <c r="AI31" s="127"/>
      <c r="AK31" s="38"/>
      <c r="AL31" s="83"/>
      <c r="AM31" s="158"/>
      <c r="AN31" s="174"/>
      <c r="AO31" s="38"/>
      <c r="AP31" s="35"/>
      <c r="AR31" s="54"/>
      <c r="AS31" s="64"/>
      <c r="AT31" s="69"/>
      <c r="AU31" s="126"/>
      <c r="AV31" s="127"/>
      <c r="AX31" s="38"/>
      <c r="AY31" s="83"/>
      <c r="AZ31" s="158"/>
      <c r="BA31" s="174"/>
      <c r="BB31" s="38"/>
      <c r="BC31" s="35"/>
      <c r="BE31" s="54"/>
      <c r="BF31" s="64"/>
      <c r="BG31" s="69"/>
      <c r="BH31" s="126"/>
      <c r="BI31" s="127"/>
      <c r="BK31" s="38"/>
      <c r="BL31" s="83"/>
      <c r="BM31" s="158"/>
      <c r="BN31" s="174"/>
      <c r="BO31">
        <f t="shared" si="2"/>
        <v>0</v>
      </c>
    </row>
    <row r="32" spans="1:67" x14ac:dyDescent="0.15">
      <c r="A32" s="5" t="s">
        <v>199</v>
      </c>
      <c r="B32" s="38"/>
      <c r="C32" s="35"/>
      <c r="E32" s="54"/>
      <c r="F32" s="64"/>
      <c r="G32" s="69"/>
      <c r="H32" s="126"/>
      <c r="I32" s="127"/>
      <c r="K32" s="38"/>
      <c r="L32" s="83"/>
      <c r="M32" s="158"/>
      <c r="N32" s="174"/>
      <c r="O32" s="38"/>
      <c r="P32" s="35"/>
      <c r="R32" s="54"/>
      <c r="S32" s="64"/>
      <c r="T32" s="69"/>
      <c r="U32" s="126"/>
      <c r="V32" s="127"/>
      <c r="X32" s="38"/>
      <c r="Y32" s="83"/>
      <c r="Z32" s="158"/>
      <c r="AA32" s="174"/>
      <c r="AB32" s="38"/>
      <c r="AC32" s="35"/>
      <c r="AE32" s="54"/>
      <c r="AF32" s="64"/>
      <c r="AG32" s="69"/>
      <c r="AH32" s="126"/>
      <c r="AI32" s="127"/>
      <c r="AK32" s="38"/>
      <c r="AL32" s="83"/>
      <c r="AM32" s="158"/>
      <c r="AN32" s="174"/>
      <c r="AO32" s="38"/>
      <c r="AP32" s="35"/>
      <c r="AR32" s="54"/>
      <c r="AS32" s="64"/>
      <c r="AT32" s="69"/>
      <c r="AU32" s="126"/>
      <c r="AV32" s="127"/>
      <c r="AX32" s="38"/>
      <c r="AY32" s="83"/>
      <c r="AZ32" s="158"/>
      <c r="BA32" s="174"/>
      <c r="BB32" s="38"/>
      <c r="BC32" s="35"/>
      <c r="BE32" s="54"/>
      <c r="BF32" s="64"/>
      <c r="BG32" s="69"/>
      <c r="BH32" s="126"/>
      <c r="BI32" s="127"/>
      <c r="BK32" s="38"/>
      <c r="BL32" s="83"/>
      <c r="BM32" s="158"/>
      <c r="BN32" s="174"/>
      <c r="BO32">
        <f t="shared" si="2"/>
        <v>0</v>
      </c>
    </row>
    <row r="33" spans="1:67" x14ac:dyDescent="0.15">
      <c r="A33" s="5" t="s">
        <v>222</v>
      </c>
      <c r="B33" s="38"/>
      <c r="C33" s="35"/>
      <c r="E33" s="54"/>
      <c r="F33" s="64"/>
      <c r="G33" s="69"/>
      <c r="H33" s="126"/>
      <c r="I33" s="127"/>
      <c r="K33" s="38"/>
      <c r="L33" s="83"/>
      <c r="M33" s="158"/>
      <c r="N33" s="174"/>
      <c r="O33" s="38"/>
      <c r="P33" s="35"/>
      <c r="R33" s="54"/>
      <c r="S33" s="64"/>
      <c r="T33" s="69"/>
      <c r="U33" s="126"/>
      <c r="V33" s="127"/>
      <c r="X33" s="38"/>
      <c r="Y33" s="83"/>
      <c r="Z33" s="158"/>
      <c r="AA33" s="174"/>
      <c r="AB33" s="38"/>
      <c r="AC33" s="35"/>
      <c r="AE33" s="54"/>
      <c r="AF33" s="64"/>
      <c r="AG33" s="69"/>
      <c r="AH33" s="126"/>
      <c r="AI33" s="127"/>
      <c r="AK33" s="38"/>
      <c r="AL33" s="83"/>
      <c r="AM33" s="158"/>
      <c r="AN33" s="174"/>
      <c r="AO33" s="38"/>
      <c r="AP33" s="35"/>
      <c r="AR33" s="54"/>
      <c r="AS33" s="64"/>
      <c r="AT33" s="69"/>
      <c r="AU33" s="126"/>
      <c r="AV33" s="127"/>
      <c r="AX33" s="38"/>
      <c r="AY33" s="83"/>
      <c r="AZ33" s="158"/>
      <c r="BA33" s="174"/>
      <c r="BB33" s="38"/>
      <c r="BC33" s="35"/>
      <c r="BE33" s="54"/>
      <c r="BF33" s="64"/>
      <c r="BG33" s="69"/>
      <c r="BH33" s="126"/>
      <c r="BI33" s="127"/>
      <c r="BK33" s="38"/>
      <c r="BL33" s="83"/>
      <c r="BM33" s="158"/>
      <c r="BN33" s="174"/>
      <c r="BO33">
        <f t="shared" si="2"/>
        <v>0</v>
      </c>
    </row>
    <row r="34" spans="1:67" x14ac:dyDescent="0.15">
      <c r="A34" s="2" t="s">
        <v>62</v>
      </c>
      <c r="B34" s="38"/>
      <c r="C34" s="35"/>
      <c r="E34" s="54"/>
      <c r="F34" s="64"/>
      <c r="G34" s="69"/>
      <c r="H34" s="126"/>
      <c r="I34" s="127"/>
      <c r="K34" s="38"/>
      <c r="L34" s="83"/>
      <c r="M34" s="158"/>
      <c r="N34" s="174"/>
      <c r="O34" s="38"/>
      <c r="P34" s="35"/>
      <c r="R34" s="54"/>
      <c r="S34" s="64"/>
      <c r="T34" s="69"/>
      <c r="U34" s="126"/>
      <c r="V34" s="127"/>
      <c r="X34" s="38"/>
      <c r="Y34" s="83"/>
      <c r="Z34" s="158"/>
      <c r="AA34" s="174"/>
      <c r="AB34" s="38"/>
      <c r="AC34" s="35"/>
      <c r="AE34" s="54"/>
      <c r="AF34" s="64"/>
      <c r="AG34" s="69"/>
      <c r="AH34" s="126"/>
      <c r="AI34" s="127"/>
      <c r="AK34" s="38"/>
      <c r="AL34" s="83"/>
      <c r="AM34" s="158"/>
      <c r="AN34" s="174"/>
      <c r="AO34" s="38"/>
      <c r="AP34" s="35"/>
      <c r="AR34" s="54"/>
      <c r="AS34" s="64"/>
      <c r="AT34" s="69"/>
      <c r="AU34" s="126"/>
      <c r="AV34" s="127"/>
      <c r="AX34" s="38"/>
      <c r="AY34" s="83"/>
      <c r="AZ34" s="158"/>
      <c r="BA34" s="174"/>
      <c r="BB34" s="38"/>
      <c r="BC34" s="35"/>
      <c r="BE34" s="54"/>
      <c r="BF34" s="64"/>
      <c r="BG34" s="69"/>
      <c r="BH34" s="126"/>
      <c r="BI34" s="127"/>
      <c r="BK34" s="38"/>
      <c r="BL34" s="83"/>
      <c r="BM34" s="158"/>
      <c r="BN34" s="174"/>
      <c r="BO34">
        <f t="shared" si="2"/>
        <v>0</v>
      </c>
    </row>
    <row r="35" spans="1:67" x14ac:dyDescent="0.15">
      <c r="A35" s="2" t="s">
        <v>17</v>
      </c>
      <c r="B35" s="38"/>
      <c r="C35" s="35"/>
      <c r="E35" s="54"/>
      <c r="F35" s="64"/>
      <c r="G35" s="69"/>
      <c r="H35" s="126"/>
      <c r="I35" s="127"/>
      <c r="K35" s="38"/>
      <c r="L35" s="83"/>
      <c r="M35" s="158"/>
      <c r="N35" s="174"/>
      <c r="O35" s="38"/>
      <c r="P35" s="35"/>
      <c r="R35" s="54"/>
      <c r="S35" s="64"/>
      <c r="T35" s="69"/>
      <c r="U35" s="126"/>
      <c r="V35" s="127"/>
      <c r="X35" s="38"/>
      <c r="Y35" s="83"/>
      <c r="Z35" s="158"/>
      <c r="AA35" s="174"/>
      <c r="AB35" s="38"/>
      <c r="AC35" s="35"/>
      <c r="AE35" s="54"/>
      <c r="AF35" s="64"/>
      <c r="AG35" s="69"/>
      <c r="AH35" s="126"/>
      <c r="AI35" s="127"/>
      <c r="AK35" s="38"/>
      <c r="AL35" s="83"/>
      <c r="AM35" s="158"/>
      <c r="AN35" s="174"/>
      <c r="AO35" s="38"/>
      <c r="AP35" s="35"/>
      <c r="AR35" s="54"/>
      <c r="AS35" s="64"/>
      <c r="AT35" s="69"/>
      <c r="AU35" s="126"/>
      <c r="AV35" s="127"/>
      <c r="AX35" s="38"/>
      <c r="AY35" s="83"/>
      <c r="AZ35" s="158"/>
      <c r="BA35" s="174"/>
      <c r="BB35" s="38"/>
      <c r="BC35" s="35"/>
      <c r="BE35" s="54"/>
      <c r="BF35" s="64"/>
      <c r="BG35" s="69"/>
      <c r="BH35" s="126"/>
      <c r="BI35" s="127"/>
      <c r="BK35" s="38"/>
      <c r="BL35" s="83"/>
      <c r="BM35" s="158"/>
      <c r="BN35" s="174"/>
      <c r="BO35">
        <f t="shared" si="2"/>
        <v>0</v>
      </c>
    </row>
    <row r="36" spans="1:67" x14ac:dyDescent="0.15">
      <c r="A36" s="2" t="s">
        <v>49</v>
      </c>
      <c r="B36" s="38">
        <v>3</v>
      </c>
      <c r="C36" s="35">
        <v>2</v>
      </c>
      <c r="D36" s="4">
        <v>1</v>
      </c>
      <c r="E36" s="54">
        <v>1</v>
      </c>
      <c r="F36" s="64">
        <v>2</v>
      </c>
      <c r="G36" s="69">
        <v>2</v>
      </c>
      <c r="H36" s="126">
        <v>1</v>
      </c>
      <c r="I36" s="127">
        <v>1</v>
      </c>
      <c r="J36" s="4">
        <v>2</v>
      </c>
      <c r="K36" s="38">
        <v>1</v>
      </c>
      <c r="L36" s="83">
        <v>1</v>
      </c>
      <c r="M36" s="158">
        <v>1</v>
      </c>
      <c r="N36" s="174">
        <v>2</v>
      </c>
      <c r="O36" s="38">
        <v>1</v>
      </c>
      <c r="P36" s="35">
        <v>3</v>
      </c>
      <c r="Q36" s="4">
        <v>2</v>
      </c>
      <c r="R36" s="54">
        <v>2</v>
      </c>
      <c r="S36" s="64">
        <v>2</v>
      </c>
      <c r="T36" s="69">
        <v>3</v>
      </c>
      <c r="U36" s="126">
        <v>3</v>
      </c>
      <c r="V36" s="127">
        <v>2</v>
      </c>
      <c r="W36" s="4">
        <v>3</v>
      </c>
      <c r="X36" s="38">
        <v>3</v>
      </c>
      <c r="Y36" s="83">
        <v>2</v>
      </c>
      <c r="Z36" s="158">
        <v>2</v>
      </c>
      <c r="AA36" s="174">
        <v>2</v>
      </c>
      <c r="AB36" s="38">
        <v>1</v>
      </c>
      <c r="AC36" s="35">
        <v>3</v>
      </c>
      <c r="AD36" s="4">
        <v>4</v>
      </c>
      <c r="AE36" s="54">
        <v>2</v>
      </c>
      <c r="AF36" s="64">
        <v>2</v>
      </c>
      <c r="AG36" s="69">
        <v>3</v>
      </c>
      <c r="AH36" s="126">
        <v>3</v>
      </c>
      <c r="AI36" s="127">
        <v>3</v>
      </c>
      <c r="AJ36" s="4">
        <v>2</v>
      </c>
      <c r="AK36" s="38">
        <v>2</v>
      </c>
      <c r="AL36" s="83">
        <v>1</v>
      </c>
      <c r="AM36" s="158">
        <v>1</v>
      </c>
      <c r="AN36" s="174">
        <v>2</v>
      </c>
      <c r="AO36" s="38"/>
      <c r="AP36" s="35"/>
      <c r="AR36" s="54"/>
      <c r="AS36" s="64"/>
      <c r="AT36" s="69">
        <v>1</v>
      </c>
      <c r="AU36" s="126">
        <v>1</v>
      </c>
      <c r="AV36" s="127">
        <v>1</v>
      </c>
      <c r="AW36" s="4">
        <v>1</v>
      </c>
      <c r="AX36" s="38">
        <v>1</v>
      </c>
      <c r="AY36" s="83">
        <v>1</v>
      </c>
      <c r="AZ36" s="158">
        <v>1</v>
      </c>
      <c r="BA36" s="174">
        <v>1</v>
      </c>
      <c r="BB36" s="38">
        <v>1</v>
      </c>
      <c r="BC36" s="35"/>
      <c r="BE36" s="54"/>
      <c r="BF36" s="64"/>
      <c r="BG36" s="69"/>
      <c r="BH36" s="126"/>
      <c r="BI36" s="127"/>
      <c r="BK36" s="38"/>
      <c r="BL36" s="83"/>
      <c r="BM36" s="158"/>
      <c r="BN36" s="174"/>
      <c r="BO36">
        <f t="shared" si="2"/>
        <v>48</v>
      </c>
    </row>
    <row r="37" spans="1:67" x14ac:dyDescent="0.15">
      <c r="A37" s="2" t="s">
        <v>6</v>
      </c>
      <c r="B37" s="38"/>
      <c r="C37" s="35"/>
      <c r="E37" s="54"/>
      <c r="F37" s="64"/>
      <c r="G37" s="69"/>
      <c r="H37" s="126"/>
      <c r="I37" s="127"/>
      <c r="K37" s="38"/>
      <c r="L37" s="83"/>
      <c r="M37" s="158"/>
      <c r="N37" s="174"/>
      <c r="O37" s="38"/>
      <c r="P37" s="35"/>
      <c r="R37" s="54"/>
      <c r="S37" s="64"/>
      <c r="T37" s="69"/>
      <c r="U37" s="126"/>
      <c r="V37" s="127"/>
      <c r="X37" s="38"/>
      <c r="Y37" s="83"/>
      <c r="Z37" s="158"/>
      <c r="AA37" s="174"/>
      <c r="AB37" s="38"/>
      <c r="AC37" s="35"/>
      <c r="AE37" s="54"/>
      <c r="AF37" s="64"/>
      <c r="AG37" s="69"/>
      <c r="AH37" s="126"/>
      <c r="AI37" s="127"/>
      <c r="AK37" s="38"/>
      <c r="AL37" s="83"/>
      <c r="AM37" s="158"/>
      <c r="AN37" s="174"/>
      <c r="AO37" s="38"/>
      <c r="AP37" s="35"/>
      <c r="AR37" s="54"/>
      <c r="AS37" s="64"/>
      <c r="AT37" s="69"/>
      <c r="AU37" s="126"/>
      <c r="AV37" s="127"/>
      <c r="AX37" s="38"/>
      <c r="AY37" s="83"/>
      <c r="AZ37" s="158"/>
      <c r="BA37" s="174"/>
      <c r="BB37" s="38"/>
      <c r="BC37" s="35"/>
      <c r="BE37" s="54"/>
      <c r="BF37" s="64"/>
      <c r="BG37" s="69"/>
      <c r="BH37" s="126"/>
      <c r="BI37" s="127"/>
      <c r="BK37" s="38"/>
      <c r="BL37" s="83"/>
      <c r="BM37" s="158"/>
      <c r="BN37" s="174"/>
      <c r="BO37">
        <f t="shared" si="2"/>
        <v>0</v>
      </c>
    </row>
    <row r="38" spans="1:67" x14ac:dyDescent="0.15">
      <c r="A38" s="2" t="s">
        <v>19</v>
      </c>
      <c r="B38" s="38"/>
      <c r="C38" s="35"/>
      <c r="E38" s="54"/>
      <c r="F38" s="64"/>
      <c r="G38" s="69"/>
      <c r="H38" s="126"/>
      <c r="I38" s="127"/>
      <c r="K38" s="38"/>
      <c r="L38" s="83"/>
      <c r="M38" s="158"/>
      <c r="N38" s="174"/>
      <c r="O38" s="38"/>
      <c r="P38" s="35"/>
      <c r="R38" s="54"/>
      <c r="S38" s="64"/>
      <c r="T38" s="69"/>
      <c r="U38" s="126"/>
      <c r="V38" s="127">
        <v>1</v>
      </c>
      <c r="W38" s="4">
        <v>1</v>
      </c>
      <c r="X38" s="38">
        <v>1</v>
      </c>
      <c r="Y38" s="83">
        <v>1</v>
      </c>
      <c r="Z38" s="158">
        <v>1</v>
      </c>
      <c r="AA38" s="174">
        <v>1</v>
      </c>
      <c r="AB38" s="38"/>
      <c r="AC38" s="35"/>
      <c r="AE38" s="54">
        <v>2</v>
      </c>
      <c r="AF38" s="64">
        <v>1</v>
      </c>
      <c r="AG38" s="69">
        <v>1</v>
      </c>
      <c r="AH38" s="126">
        <v>2</v>
      </c>
      <c r="AI38" s="127"/>
      <c r="AK38" s="38"/>
      <c r="AL38" s="83"/>
      <c r="AM38" s="158"/>
      <c r="AN38" s="174"/>
      <c r="AO38" s="38"/>
      <c r="AP38" s="35"/>
      <c r="AR38" s="54"/>
      <c r="AS38" s="64"/>
      <c r="AT38" s="69"/>
      <c r="AU38" s="126"/>
      <c r="AV38" s="127"/>
      <c r="AX38" s="38"/>
      <c r="AY38" s="83"/>
      <c r="AZ38" s="158"/>
      <c r="BA38" s="174"/>
      <c r="BB38" s="38"/>
      <c r="BC38" s="35"/>
      <c r="BE38" s="54"/>
      <c r="BF38" s="64"/>
      <c r="BG38" s="69"/>
      <c r="BH38" s="126"/>
      <c r="BI38" s="127"/>
      <c r="BK38" s="38"/>
      <c r="BL38" s="83"/>
      <c r="BM38" s="158"/>
      <c r="BN38" s="174"/>
      <c r="BO38">
        <f t="shared" si="2"/>
        <v>10</v>
      </c>
    </row>
    <row r="39" spans="1:67" x14ac:dyDescent="0.15">
      <c r="A39" s="2" t="s">
        <v>68</v>
      </c>
      <c r="B39" s="38"/>
      <c r="C39" s="35"/>
      <c r="E39" s="54"/>
      <c r="F39" s="64"/>
      <c r="G39" s="69"/>
      <c r="H39" s="126"/>
      <c r="I39" s="127"/>
      <c r="K39" s="38"/>
      <c r="L39" s="83"/>
      <c r="M39" s="158"/>
      <c r="N39" s="174"/>
      <c r="O39" s="38"/>
      <c r="P39" s="35"/>
      <c r="R39" s="54"/>
      <c r="S39" s="64"/>
      <c r="T39" s="69"/>
      <c r="U39" s="126"/>
      <c r="V39" s="127"/>
      <c r="X39" s="38"/>
      <c r="Y39" s="83"/>
      <c r="Z39" s="158"/>
      <c r="AA39" s="174"/>
      <c r="AB39" s="38"/>
      <c r="AC39" s="35"/>
      <c r="AE39" s="54"/>
      <c r="AF39" s="64"/>
      <c r="AG39" s="69"/>
      <c r="AH39" s="126"/>
      <c r="AI39" s="127"/>
      <c r="AK39" s="38"/>
      <c r="AL39" s="83"/>
      <c r="AM39" s="158"/>
      <c r="AN39" s="174"/>
      <c r="AO39" s="38"/>
      <c r="AP39" s="35"/>
      <c r="AR39" s="54"/>
      <c r="AS39" s="64"/>
      <c r="AT39" s="69"/>
      <c r="AU39" s="126"/>
      <c r="AV39" s="127"/>
      <c r="AX39" s="38"/>
      <c r="AY39" s="83"/>
      <c r="AZ39" s="158"/>
      <c r="BA39" s="174"/>
      <c r="BB39" s="38"/>
      <c r="BC39" s="35"/>
      <c r="BE39" s="54"/>
      <c r="BF39" s="64"/>
      <c r="BG39" s="69"/>
      <c r="BH39" s="126"/>
      <c r="BI39" s="127"/>
      <c r="BK39" s="38"/>
      <c r="BL39" s="83"/>
      <c r="BM39" s="158"/>
      <c r="BN39" s="174"/>
      <c r="BO39">
        <f t="shared" si="2"/>
        <v>0</v>
      </c>
    </row>
    <row r="40" spans="1:67" x14ac:dyDescent="0.15">
      <c r="A40" s="2" t="s">
        <v>37</v>
      </c>
      <c r="B40" s="38"/>
      <c r="C40" s="35"/>
      <c r="E40" s="54"/>
      <c r="F40" s="64"/>
      <c r="G40" s="69"/>
      <c r="H40" s="126"/>
      <c r="I40" s="127"/>
      <c r="K40" s="38"/>
      <c r="L40" s="83"/>
      <c r="M40" s="158"/>
      <c r="N40" s="174"/>
      <c r="O40" s="38"/>
      <c r="P40" s="35"/>
      <c r="R40" s="54"/>
      <c r="S40" s="64"/>
      <c r="T40" s="69"/>
      <c r="U40" s="126"/>
      <c r="V40" s="127"/>
      <c r="X40" s="38"/>
      <c r="Y40" s="83"/>
      <c r="Z40" s="158"/>
      <c r="AA40" s="174"/>
      <c r="AB40" s="38"/>
      <c r="AC40" s="35"/>
      <c r="AE40" s="54"/>
      <c r="AF40" s="64"/>
      <c r="AG40" s="69"/>
      <c r="AH40" s="126"/>
      <c r="AI40" s="127"/>
      <c r="AK40" s="38"/>
      <c r="AL40" s="83"/>
      <c r="AM40" s="158"/>
      <c r="AN40" s="174"/>
      <c r="AO40" s="38"/>
      <c r="AP40" s="35"/>
      <c r="AR40" s="54"/>
      <c r="AS40" s="64"/>
      <c r="AT40" s="69"/>
      <c r="AU40" s="126"/>
      <c r="AV40" s="127"/>
      <c r="AX40" s="38"/>
      <c r="AY40" s="83"/>
      <c r="AZ40" s="158"/>
      <c r="BA40" s="174"/>
      <c r="BB40" s="38"/>
      <c r="BC40" s="35"/>
      <c r="BE40" s="54"/>
      <c r="BF40" s="64"/>
      <c r="BG40" s="69"/>
      <c r="BH40" s="126"/>
      <c r="BI40" s="127"/>
      <c r="BK40" s="38"/>
      <c r="BL40" s="83"/>
      <c r="BM40" s="158"/>
      <c r="BN40" s="174"/>
      <c r="BO40">
        <f t="shared" si="2"/>
        <v>0</v>
      </c>
    </row>
    <row r="41" spans="1:67" x14ac:dyDescent="0.15">
      <c r="A41" s="2" t="s">
        <v>20</v>
      </c>
      <c r="B41" s="38"/>
      <c r="C41" s="35"/>
      <c r="E41" s="54"/>
      <c r="F41" s="64"/>
      <c r="G41" s="69"/>
      <c r="H41" s="126"/>
      <c r="I41" s="127"/>
      <c r="K41" s="38"/>
      <c r="L41" s="83"/>
      <c r="M41" s="158"/>
      <c r="N41" s="174"/>
      <c r="O41" s="38"/>
      <c r="P41" s="35"/>
      <c r="Q41" s="4">
        <v>1</v>
      </c>
      <c r="R41" s="54">
        <v>1</v>
      </c>
      <c r="S41" s="64">
        <v>1</v>
      </c>
      <c r="T41" s="69">
        <v>1</v>
      </c>
      <c r="U41" s="126">
        <v>1</v>
      </c>
      <c r="V41" s="127">
        <v>1</v>
      </c>
      <c r="W41" s="4">
        <v>1</v>
      </c>
      <c r="X41" s="38">
        <v>1</v>
      </c>
      <c r="Y41" s="83">
        <v>1</v>
      </c>
      <c r="Z41" s="158">
        <v>1</v>
      </c>
      <c r="AA41" s="174">
        <v>1</v>
      </c>
      <c r="AB41" s="38"/>
      <c r="AC41" s="35"/>
      <c r="AE41" s="54"/>
      <c r="AF41" s="64"/>
      <c r="AG41" s="69"/>
      <c r="AH41" s="126"/>
      <c r="AI41" s="127"/>
      <c r="AK41" s="38"/>
      <c r="AL41" s="83"/>
      <c r="AM41" s="158"/>
      <c r="AN41" s="174"/>
      <c r="AO41" s="38"/>
      <c r="AP41" s="35"/>
      <c r="AR41" s="54"/>
      <c r="AS41" s="64"/>
      <c r="AT41" s="69"/>
      <c r="AU41" s="126"/>
      <c r="AV41" s="127"/>
      <c r="AX41" s="38"/>
      <c r="AY41" s="83"/>
      <c r="AZ41" s="158"/>
      <c r="BA41" s="174"/>
      <c r="BB41" s="38"/>
      <c r="BC41" s="35"/>
      <c r="BE41" s="54"/>
      <c r="BF41" s="64"/>
      <c r="BG41" s="69"/>
      <c r="BH41" s="126"/>
      <c r="BI41" s="127"/>
      <c r="BK41" s="38"/>
      <c r="BL41" s="83"/>
      <c r="BM41" s="158"/>
      <c r="BN41" s="174"/>
      <c r="BO41">
        <f t="shared" si="2"/>
        <v>11</v>
      </c>
    </row>
    <row r="42" spans="1:67" x14ac:dyDescent="0.15">
      <c r="A42" s="2" t="s">
        <v>11</v>
      </c>
      <c r="B42" s="38"/>
      <c r="C42" s="35"/>
      <c r="E42" s="54"/>
      <c r="F42" s="64"/>
      <c r="G42" s="69"/>
      <c r="H42" s="126"/>
      <c r="I42" s="127"/>
      <c r="K42" s="38"/>
      <c r="L42" s="83"/>
      <c r="M42" s="158"/>
      <c r="N42" s="174"/>
      <c r="O42" s="38"/>
      <c r="P42" s="35"/>
      <c r="R42" s="54"/>
      <c r="S42" s="64"/>
      <c r="T42" s="69"/>
      <c r="U42" s="126"/>
      <c r="V42" s="127"/>
      <c r="X42" s="38"/>
      <c r="Y42" s="83">
        <v>1</v>
      </c>
      <c r="Z42" s="158">
        <v>1</v>
      </c>
      <c r="AA42" s="174">
        <v>1</v>
      </c>
      <c r="AB42" s="38"/>
      <c r="AC42" s="35"/>
      <c r="AE42" s="54"/>
      <c r="AF42" s="64"/>
      <c r="AG42" s="69">
        <v>1</v>
      </c>
      <c r="AH42" s="126">
        <v>1</v>
      </c>
      <c r="AI42" s="127">
        <v>1</v>
      </c>
      <c r="AK42" s="38">
        <v>1</v>
      </c>
      <c r="AL42" s="83"/>
      <c r="AM42" s="158"/>
      <c r="AN42" s="174"/>
      <c r="AO42" s="38"/>
      <c r="AP42" s="35"/>
      <c r="AR42" s="54"/>
      <c r="AS42" s="64"/>
      <c r="AT42" s="69"/>
      <c r="AU42" s="126"/>
      <c r="AV42" s="127"/>
      <c r="AX42" s="38"/>
      <c r="AY42" s="83"/>
      <c r="AZ42" s="158"/>
      <c r="BA42" s="174"/>
      <c r="BB42" s="38"/>
      <c r="BC42" s="35"/>
      <c r="BE42" s="54"/>
      <c r="BF42" s="64"/>
      <c r="BG42" s="69"/>
      <c r="BH42" s="126"/>
      <c r="BI42" s="127"/>
      <c r="BK42" s="38"/>
      <c r="BL42" s="83"/>
      <c r="BM42" s="158"/>
      <c r="BN42" s="174"/>
      <c r="BO42">
        <f t="shared" si="2"/>
        <v>7</v>
      </c>
    </row>
    <row r="43" spans="1:67" x14ac:dyDescent="0.15">
      <c r="A43" s="2" t="s">
        <v>21</v>
      </c>
      <c r="B43" s="38"/>
      <c r="C43" s="35"/>
      <c r="E43" s="54"/>
      <c r="F43" s="64"/>
      <c r="G43" s="69"/>
      <c r="H43" s="126"/>
      <c r="I43" s="127"/>
      <c r="K43" s="38"/>
      <c r="L43" s="83"/>
      <c r="M43" s="158"/>
      <c r="N43" s="174"/>
      <c r="O43" s="38"/>
      <c r="P43" s="35">
        <v>1</v>
      </c>
      <c r="Q43" s="4">
        <v>1</v>
      </c>
      <c r="R43" s="54">
        <v>1</v>
      </c>
      <c r="S43" s="64">
        <v>1</v>
      </c>
      <c r="T43" s="69"/>
      <c r="U43" s="126">
        <v>1</v>
      </c>
      <c r="V43" s="127">
        <v>1</v>
      </c>
      <c r="W43" s="4">
        <v>1</v>
      </c>
      <c r="X43" s="38">
        <v>1</v>
      </c>
      <c r="Y43" s="83">
        <v>1</v>
      </c>
      <c r="Z43" s="158">
        <v>1</v>
      </c>
      <c r="AA43" s="174">
        <v>1</v>
      </c>
      <c r="AB43" s="38"/>
      <c r="AC43" s="35">
        <v>1</v>
      </c>
      <c r="AD43" s="4">
        <v>1</v>
      </c>
      <c r="AE43" s="54">
        <v>1</v>
      </c>
      <c r="AF43" s="64">
        <v>1</v>
      </c>
      <c r="AG43" s="69">
        <v>1</v>
      </c>
      <c r="AH43" s="126">
        <v>1</v>
      </c>
      <c r="AI43" s="127">
        <v>1</v>
      </c>
      <c r="AJ43" s="4">
        <v>1</v>
      </c>
      <c r="AK43" s="38">
        <v>1</v>
      </c>
      <c r="AL43" s="83">
        <v>1</v>
      </c>
      <c r="AM43" s="158">
        <v>1</v>
      </c>
      <c r="AN43" s="174">
        <v>1</v>
      </c>
      <c r="AO43" s="38"/>
      <c r="AP43" s="35"/>
      <c r="AR43" s="54"/>
      <c r="AS43" s="64"/>
      <c r="AT43" s="69"/>
      <c r="AU43" s="126"/>
      <c r="AV43" s="127"/>
      <c r="AX43" s="38"/>
      <c r="AY43" s="83"/>
      <c r="AZ43" s="158"/>
      <c r="BA43" s="174"/>
      <c r="BB43" s="38"/>
      <c r="BC43" s="35"/>
      <c r="BE43" s="54"/>
      <c r="BF43" s="64"/>
      <c r="BG43" s="69"/>
      <c r="BH43" s="126"/>
      <c r="BI43" s="127"/>
      <c r="BK43" s="38"/>
      <c r="BL43" s="83"/>
      <c r="BM43" s="158"/>
      <c r="BN43" s="174"/>
      <c r="BO43">
        <f t="shared" si="2"/>
        <v>23</v>
      </c>
    </row>
    <row r="44" spans="1:67" x14ac:dyDescent="0.15">
      <c r="A44" s="2" t="s">
        <v>197</v>
      </c>
      <c r="B44" s="38"/>
      <c r="C44" s="35"/>
      <c r="E44" s="54"/>
      <c r="F44" s="64"/>
      <c r="G44" s="69"/>
      <c r="H44" s="126"/>
      <c r="I44" s="127"/>
      <c r="K44" s="38"/>
      <c r="L44" s="83"/>
      <c r="M44" s="158"/>
      <c r="N44" s="174"/>
      <c r="O44" s="38"/>
      <c r="P44" s="35"/>
      <c r="R44" s="54"/>
      <c r="S44" s="64"/>
      <c r="T44" s="69"/>
      <c r="U44" s="126"/>
      <c r="V44" s="127"/>
      <c r="X44" s="38"/>
      <c r="Y44" s="83"/>
      <c r="Z44" s="158"/>
      <c r="AA44" s="174"/>
      <c r="AB44" s="38"/>
      <c r="AC44" s="35"/>
      <c r="AE44" s="54"/>
      <c r="AF44" s="64"/>
      <c r="AG44" s="69"/>
      <c r="AH44" s="126"/>
      <c r="AI44" s="127"/>
      <c r="AK44" s="38"/>
      <c r="AL44" s="83"/>
      <c r="AM44" s="158"/>
      <c r="AN44" s="174"/>
      <c r="AO44" s="38"/>
      <c r="AP44" s="35"/>
      <c r="AR44" s="54"/>
      <c r="AS44" s="64"/>
      <c r="AT44" s="69"/>
      <c r="AU44" s="126"/>
      <c r="AV44" s="127"/>
      <c r="AX44" s="38"/>
      <c r="AY44" s="83"/>
      <c r="AZ44" s="158"/>
      <c r="BA44" s="174"/>
      <c r="BB44" s="38"/>
      <c r="BC44" s="35"/>
      <c r="BE44" s="54"/>
      <c r="BF44" s="64"/>
      <c r="BG44" s="69"/>
      <c r="BH44" s="126"/>
      <c r="BI44" s="127"/>
      <c r="BK44" s="38"/>
      <c r="BL44" s="83"/>
      <c r="BM44" s="158"/>
      <c r="BN44" s="174"/>
      <c r="BO44">
        <f t="shared" si="2"/>
        <v>0</v>
      </c>
    </row>
    <row r="45" spans="1:67" x14ac:dyDescent="0.15">
      <c r="A45" s="2" t="s">
        <v>196</v>
      </c>
      <c r="B45" s="38"/>
      <c r="C45" s="35"/>
      <c r="E45" s="54"/>
      <c r="F45" s="64"/>
      <c r="G45" s="69"/>
      <c r="H45" s="126"/>
      <c r="I45" s="127"/>
      <c r="K45" s="38"/>
      <c r="L45" s="83"/>
      <c r="M45" s="158"/>
      <c r="N45" s="174"/>
      <c r="O45" s="38"/>
      <c r="P45" s="35"/>
      <c r="R45" s="54"/>
      <c r="S45" s="64"/>
      <c r="T45" s="69"/>
      <c r="U45" s="126"/>
      <c r="V45" s="127"/>
      <c r="W45" s="4">
        <v>1</v>
      </c>
      <c r="X45" s="38"/>
      <c r="Y45" s="83"/>
      <c r="Z45" s="158"/>
      <c r="AA45" s="174">
        <v>1</v>
      </c>
      <c r="AB45" s="38"/>
      <c r="AC45" s="35"/>
      <c r="AE45" s="54"/>
      <c r="AF45" s="64"/>
      <c r="AG45" s="69"/>
      <c r="AH45" s="126"/>
      <c r="AI45" s="127"/>
      <c r="AK45" s="38"/>
      <c r="AL45" s="83"/>
      <c r="AM45" s="158"/>
      <c r="AN45" s="174"/>
      <c r="AO45" s="38"/>
      <c r="AP45" s="35"/>
      <c r="AR45" s="54"/>
      <c r="AS45" s="64"/>
      <c r="AT45" s="69"/>
      <c r="AU45" s="126"/>
      <c r="AV45" s="127"/>
      <c r="AX45" s="38"/>
      <c r="AY45" s="83"/>
      <c r="AZ45" s="158"/>
      <c r="BA45" s="174"/>
      <c r="BB45" s="38"/>
      <c r="BC45" s="35"/>
      <c r="BE45" s="54"/>
      <c r="BF45" s="64"/>
      <c r="BG45" s="69"/>
      <c r="BH45" s="126"/>
      <c r="BI45" s="127"/>
      <c r="BK45" s="38"/>
      <c r="BL45" s="83"/>
      <c r="BM45" s="158"/>
      <c r="BN45" s="174"/>
      <c r="BO45">
        <f t="shared" si="2"/>
        <v>2</v>
      </c>
    </row>
    <row r="46" spans="1:67" x14ac:dyDescent="0.15">
      <c r="A46" s="5" t="s">
        <v>198</v>
      </c>
      <c r="B46" s="38"/>
      <c r="C46" s="35"/>
      <c r="E46" s="54"/>
      <c r="F46" s="64"/>
      <c r="G46" s="69"/>
      <c r="H46" s="126"/>
      <c r="I46" s="127"/>
      <c r="K46" s="38"/>
      <c r="L46" s="83"/>
      <c r="M46" s="158"/>
      <c r="N46" s="174"/>
      <c r="O46" s="38"/>
      <c r="P46" s="35"/>
      <c r="R46" s="54"/>
      <c r="S46" s="64"/>
      <c r="T46" s="69"/>
      <c r="U46" s="126"/>
      <c r="V46" s="127"/>
      <c r="X46" s="38"/>
      <c r="Y46" s="83"/>
      <c r="Z46" s="158"/>
      <c r="AA46" s="174"/>
      <c r="AB46" s="38"/>
      <c r="AC46" s="35"/>
      <c r="AE46" s="54"/>
      <c r="AF46" s="64"/>
      <c r="AG46" s="69"/>
      <c r="AH46" s="126"/>
      <c r="AI46" s="127"/>
      <c r="AK46" s="38"/>
      <c r="AL46" s="83"/>
      <c r="AM46" s="158"/>
      <c r="AN46" s="174"/>
      <c r="AO46" s="38"/>
      <c r="AP46" s="35"/>
      <c r="AR46" s="54"/>
      <c r="AS46" s="64"/>
      <c r="AT46" s="69"/>
      <c r="AU46" s="126"/>
      <c r="AV46" s="127"/>
      <c r="AX46" s="38"/>
      <c r="AY46" s="83"/>
      <c r="AZ46" s="158"/>
      <c r="BA46" s="174"/>
      <c r="BB46" s="38"/>
      <c r="BC46" s="35"/>
      <c r="BE46" s="54"/>
      <c r="BF46" s="64"/>
      <c r="BG46" s="69"/>
      <c r="BH46" s="126"/>
      <c r="BI46" s="127"/>
      <c r="BK46" s="38"/>
      <c r="BL46" s="83"/>
      <c r="BM46" s="158"/>
      <c r="BN46" s="174"/>
      <c r="BO46">
        <f t="shared" si="2"/>
        <v>0</v>
      </c>
    </row>
    <row r="47" spans="1:67" x14ac:dyDescent="0.15">
      <c r="A47" s="2" t="s">
        <v>35</v>
      </c>
      <c r="B47" s="38"/>
      <c r="C47" s="35"/>
      <c r="E47" s="54"/>
      <c r="F47" s="64"/>
      <c r="G47" s="69"/>
      <c r="H47" s="126"/>
      <c r="I47" s="127"/>
      <c r="K47" s="38"/>
      <c r="L47" s="83"/>
      <c r="M47" s="158"/>
      <c r="N47" s="174"/>
      <c r="O47" s="38"/>
      <c r="P47" s="35"/>
      <c r="R47" s="54"/>
      <c r="S47" s="64"/>
      <c r="T47" s="69"/>
      <c r="U47" s="126"/>
      <c r="V47" s="127"/>
      <c r="X47" s="38"/>
      <c r="Y47" s="83"/>
      <c r="Z47" s="158"/>
      <c r="AA47" s="174"/>
      <c r="AB47" s="38"/>
      <c r="AC47" s="35"/>
      <c r="AE47" s="54"/>
      <c r="AF47" s="64"/>
      <c r="AG47" s="69"/>
      <c r="AH47" s="126"/>
      <c r="AI47" s="127"/>
      <c r="AK47" s="38"/>
      <c r="AL47" s="83"/>
      <c r="AM47" s="158"/>
      <c r="AN47" s="174">
        <v>1</v>
      </c>
      <c r="AO47" s="38"/>
      <c r="AP47" s="35"/>
      <c r="AR47" s="54"/>
      <c r="AS47" s="64"/>
      <c r="AT47" s="69"/>
      <c r="AU47" s="126"/>
      <c r="AV47" s="127"/>
      <c r="AX47" s="38"/>
      <c r="AY47" s="83"/>
      <c r="AZ47" s="158"/>
      <c r="BA47" s="174"/>
      <c r="BB47" s="38"/>
      <c r="BC47" s="35"/>
      <c r="BE47" s="54"/>
      <c r="BF47" s="64"/>
      <c r="BG47" s="69"/>
      <c r="BH47" s="126"/>
      <c r="BI47" s="127"/>
      <c r="BK47" s="38"/>
      <c r="BL47" s="83"/>
      <c r="BM47" s="158"/>
      <c r="BN47" s="174"/>
      <c r="BO47">
        <f t="shared" si="2"/>
        <v>1</v>
      </c>
    </row>
    <row r="48" spans="1:67" x14ac:dyDescent="0.15">
      <c r="A48" s="2" t="s">
        <v>110</v>
      </c>
      <c r="B48" s="38"/>
      <c r="C48" s="35"/>
      <c r="E48" s="54"/>
      <c r="F48" s="64"/>
      <c r="G48" s="69"/>
      <c r="H48" s="126"/>
      <c r="I48" s="127"/>
      <c r="K48" s="38"/>
      <c r="L48" s="83"/>
      <c r="M48" s="158"/>
      <c r="N48" s="174"/>
      <c r="O48" s="38"/>
      <c r="P48" s="35">
        <v>4</v>
      </c>
      <c r="Q48" s="4">
        <v>4</v>
      </c>
      <c r="R48" s="54">
        <v>3</v>
      </c>
      <c r="S48" s="64">
        <v>2</v>
      </c>
      <c r="T48" s="69">
        <v>2</v>
      </c>
      <c r="U48" s="126">
        <v>2</v>
      </c>
      <c r="V48" s="127">
        <v>1</v>
      </c>
      <c r="W48" s="4">
        <v>1</v>
      </c>
      <c r="X48" s="38"/>
      <c r="Y48" s="83"/>
      <c r="Z48" s="158"/>
      <c r="AA48" s="174"/>
      <c r="AB48" s="38"/>
      <c r="AC48" s="35">
        <v>4</v>
      </c>
      <c r="AD48" s="4">
        <v>4</v>
      </c>
      <c r="AE48" s="54">
        <v>3</v>
      </c>
      <c r="AF48" s="64">
        <v>3</v>
      </c>
      <c r="AG48" s="69">
        <v>2</v>
      </c>
      <c r="AH48" s="126">
        <v>2</v>
      </c>
      <c r="AI48" s="127">
        <v>1</v>
      </c>
      <c r="AJ48" s="4">
        <v>1</v>
      </c>
      <c r="AK48" s="38">
        <v>1</v>
      </c>
      <c r="AL48" s="83">
        <v>1</v>
      </c>
      <c r="AM48" s="158">
        <v>1</v>
      </c>
      <c r="AN48" s="174">
        <v>1</v>
      </c>
      <c r="AO48" s="38"/>
      <c r="AP48" s="35"/>
      <c r="AR48" s="54"/>
      <c r="AS48" s="64"/>
      <c r="AT48" s="69"/>
      <c r="AU48" s="126"/>
      <c r="AV48" s="127"/>
      <c r="AX48" s="38"/>
      <c r="AY48" s="83"/>
      <c r="AZ48" s="158"/>
      <c r="BA48" s="174"/>
      <c r="BB48" s="38"/>
      <c r="BC48" s="35"/>
      <c r="BE48" s="54"/>
      <c r="BF48" s="64"/>
      <c r="BG48" s="69"/>
      <c r="BH48" s="126"/>
      <c r="BI48" s="127"/>
      <c r="BK48" s="38"/>
      <c r="BL48" s="83"/>
      <c r="BM48" s="158"/>
      <c r="BN48" s="174"/>
      <c r="BO48">
        <f t="shared" si="2"/>
        <v>20</v>
      </c>
    </row>
    <row r="49" spans="1:67" x14ac:dyDescent="0.15">
      <c r="A49" s="2" t="s">
        <v>25</v>
      </c>
      <c r="B49" s="38"/>
      <c r="C49" s="35"/>
      <c r="E49" s="54"/>
      <c r="F49" s="64"/>
      <c r="G49" s="69"/>
      <c r="H49" s="126"/>
      <c r="I49" s="127"/>
      <c r="K49" s="38"/>
      <c r="L49" s="83"/>
      <c r="M49" s="158"/>
      <c r="N49" s="174"/>
      <c r="O49" s="38"/>
      <c r="P49" s="35"/>
      <c r="R49" s="54"/>
      <c r="S49" s="64"/>
      <c r="T49" s="69"/>
      <c r="U49" s="126"/>
      <c r="V49" s="127"/>
      <c r="X49" s="38"/>
      <c r="Y49" s="83"/>
      <c r="Z49" s="158"/>
      <c r="AA49" s="174"/>
      <c r="AB49" s="38"/>
      <c r="AC49" s="35"/>
      <c r="AE49" s="54"/>
      <c r="AF49" s="64"/>
      <c r="AG49" s="69"/>
      <c r="AH49" s="126"/>
      <c r="AI49" s="127"/>
      <c r="AK49" s="38"/>
      <c r="AL49" s="83"/>
      <c r="AM49" s="158"/>
      <c r="AN49" s="174"/>
      <c r="AO49" s="38"/>
      <c r="AP49" s="35"/>
      <c r="AR49" s="54"/>
      <c r="AS49" s="64"/>
      <c r="AT49" s="69"/>
      <c r="AU49" s="126"/>
      <c r="AV49" s="127"/>
      <c r="AX49" s="38"/>
      <c r="AY49" s="83"/>
      <c r="AZ49" s="158"/>
      <c r="BA49" s="174"/>
      <c r="BB49" s="38"/>
      <c r="BC49" s="35"/>
      <c r="BE49" s="54"/>
      <c r="BF49" s="64"/>
      <c r="BG49" s="69"/>
      <c r="BH49" s="126"/>
      <c r="BI49" s="127"/>
      <c r="BK49" s="38"/>
      <c r="BL49" s="83"/>
      <c r="BM49" s="158"/>
      <c r="BN49" s="174"/>
      <c r="BO49">
        <f t="shared" si="2"/>
        <v>0</v>
      </c>
    </row>
    <row r="50" spans="1:67" x14ac:dyDescent="0.15">
      <c r="A50" s="2" t="s">
        <v>38</v>
      </c>
      <c r="B50" s="38"/>
      <c r="C50" s="35"/>
      <c r="D50" s="4">
        <v>1</v>
      </c>
      <c r="E50" s="54">
        <v>1</v>
      </c>
      <c r="F50" s="64">
        <v>1</v>
      </c>
      <c r="G50" s="69">
        <v>1</v>
      </c>
      <c r="H50" s="126">
        <v>1</v>
      </c>
      <c r="I50" s="127"/>
      <c r="J50" s="4">
        <v>1</v>
      </c>
      <c r="K50" s="38">
        <v>1</v>
      </c>
      <c r="L50" s="83">
        <v>1</v>
      </c>
      <c r="M50" s="158">
        <v>1</v>
      </c>
      <c r="N50" s="174">
        <v>1</v>
      </c>
      <c r="O50" s="38"/>
      <c r="P50" s="35"/>
      <c r="R50" s="54"/>
      <c r="S50" s="64"/>
      <c r="T50" s="69"/>
      <c r="U50" s="126"/>
      <c r="V50" s="127">
        <v>1</v>
      </c>
      <c r="W50" s="4">
        <v>1</v>
      </c>
      <c r="X50" s="38">
        <v>1</v>
      </c>
      <c r="Y50" s="83">
        <v>1</v>
      </c>
      <c r="Z50" s="158">
        <v>1</v>
      </c>
      <c r="AA50" s="174">
        <v>1</v>
      </c>
      <c r="AB50" s="38"/>
      <c r="AC50" s="35"/>
      <c r="AE50" s="54"/>
      <c r="AF50" s="64"/>
      <c r="AG50" s="69"/>
      <c r="AH50" s="126"/>
      <c r="AI50" s="127"/>
      <c r="AK50" s="38"/>
      <c r="AL50" s="83"/>
      <c r="AM50" s="158"/>
      <c r="AN50" s="174"/>
      <c r="AO50" s="38"/>
      <c r="AP50" s="35"/>
      <c r="AR50" s="54"/>
      <c r="AS50" s="64"/>
      <c r="AT50" s="69"/>
      <c r="AU50" s="126"/>
      <c r="AV50" s="127"/>
      <c r="AX50" s="38"/>
      <c r="AY50" s="83"/>
      <c r="AZ50" s="158"/>
      <c r="BA50" s="174"/>
      <c r="BB50" s="38"/>
      <c r="BC50" s="35"/>
      <c r="BE50" s="54"/>
      <c r="BF50" s="64"/>
      <c r="BG50" s="69"/>
      <c r="BH50" s="126"/>
      <c r="BI50" s="127"/>
      <c r="BK50" s="38"/>
      <c r="BL50" s="83"/>
      <c r="BM50" s="158"/>
      <c r="BN50" s="174"/>
      <c r="BO50">
        <f t="shared" si="2"/>
        <v>16</v>
      </c>
    </row>
    <row r="51" spans="1:67" x14ac:dyDescent="0.15">
      <c r="A51" s="2" t="s">
        <v>27</v>
      </c>
      <c r="B51" s="38"/>
      <c r="C51" s="35"/>
      <c r="E51" s="54"/>
      <c r="F51" s="64"/>
      <c r="G51" s="69"/>
      <c r="H51" s="126"/>
      <c r="I51" s="127"/>
      <c r="K51" s="38"/>
      <c r="L51" s="83"/>
      <c r="M51" s="158"/>
      <c r="N51" s="174"/>
      <c r="O51" s="38"/>
      <c r="P51" s="35"/>
      <c r="R51" s="54"/>
      <c r="S51" s="64"/>
      <c r="T51" s="69"/>
      <c r="U51" s="126"/>
      <c r="V51" s="127"/>
      <c r="X51" s="38"/>
      <c r="Y51" s="83"/>
      <c r="Z51" s="158"/>
      <c r="AA51" s="174"/>
      <c r="AB51" s="38"/>
      <c r="AC51" s="35"/>
      <c r="AE51" s="54"/>
      <c r="AF51" s="64"/>
      <c r="AG51" s="69"/>
      <c r="AH51" s="126"/>
      <c r="AI51" s="127"/>
      <c r="AK51" s="38"/>
      <c r="AL51" s="83"/>
      <c r="AM51" s="158"/>
      <c r="AN51" s="174"/>
      <c r="AO51" s="38"/>
      <c r="AP51" s="35"/>
      <c r="AR51" s="54"/>
      <c r="AS51" s="64"/>
      <c r="AT51" s="69"/>
      <c r="AU51" s="126"/>
      <c r="AV51" s="127"/>
      <c r="AX51" s="38"/>
      <c r="AY51" s="83"/>
      <c r="AZ51" s="158"/>
      <c r="BA51" s="174"/>
      <c r="BB51" s="38"/>
      <c r="BC51" s="35"/>
      <c r="BE51" s="54"/>
      <c r="BF51" s="64"/>
      <c r="BG51" s="69"/>
      <c r="BH51" s="126"/>
      <c r="BI51" s="127"/>
      <c r="BK51" s="38"/>
      <c r="BL51" s="83"/>
      <c r="BM51" s="158"/>
      <c r="BN51" s="174"/>
      <c r="BO51">
        <f t="shared" si="2"/>
        <v>0</v>
      </c>
    </row>
    <row r="52" spans="1:67" x14ac:dyDescent="0.15">
      <c r="A52" s="2" t="s">
        <v>229</v>
      </c>
      <c r="B52" s="38"/>
      <c r="C52" s="35"/>
      <c r="E52" s="54"/>
      <c r="F52" s="64"/>
      <c r="G52" s="69"/>
      <c r="H52" s="126"/>
      <c r="I52" s="127"/>
      <c r="K52" s="38"/>
      <c r="L52" s="83"/>
      <c r="M52" s="158"/>
      <c r="N52" s="174"/>
      <c r="O52" s="38"/>
      <c r="P52" s="35"/>
      <c r="R52" s="54"/>
      <c r="S52" s="64"/>
      <c r="T52" s="69"/>
      <c r="U52" s="126"/>
      <c r="V52" s="127"/>
      <c r="X52" s="38">
        <v>1</v>
      </c>
      <c r="Y52" s="83">
        <v>1</v>
      </c>
      <c r="Z52" s="158">
        <v>1</v>
      </c>
      <c r="AA52" s="174">
        <v>1</v>
      </c>
      <c r="AB52" s="38"/>
      <c r="AC52" s="35"/>
      <c r="AE52" s="54"/>
      <c r="AF52" s="64"/>
      <c r="AG52" s="69"/>
      <c r="AH52" s="126"/>
      <c r="AI52" s="127"/>
      <c r="AK52" s="38"/>
      <c r="AL52" s="83"/>
      <c r="AM52" s="158"/>
      <c r="AN52" s="174"/>
      <c r="AO52" s="38"/>
      <c r="AP52" s="35"/>
      <c r="AR52" s="54"/>
      <c r="AS52" s="64"/>
      <c r="AT52" s="69"/>
      <c r="AU52" s="126"/>
      <c r="AV52" s="127"/>
      <c r="AX52" s="38"/>
      <c r="AY52" s="83"/>
      <c r="AZ52" s="158"/>
      <c r="BA52" s="174"/>
      <c r="BB52" s="38"/>
      <c r="BC52" s="35"/>
      <c r="BE52" s="54"/>
      <c r="BF52" s="64"/>
      <c r="BG52" s="69"/>
      <c r="BH52" s="126"/>
      <c r="BI52" s="127"/>
      <c r="BK52" s="38"/>
      <c r="BL52" s="83"/>
      <c r="BM52" s="158"/>
      <c r="BN52" s="174"/>
      <c r="BO52">
        <f t="shared" si="2"/>
        <v>4</v>
      </c>
    </row>
    <row r="53" spans="1:67" x14ac:dyDescent="0.15">
      <c r="A53" s="2" t="s">
        <v>36</v>
      </c>
      <c r="B53" s="38"/>
      <c r="C53" s="35"/>
      <c r="E53" s="54"/>
      <c r="F53" s="64"/>
      <c r="G53" s="69"/>
      <c r="H53" s="126"/>
      <c r="I53" s="127"/>
      <c r="K53" s="38"/>
      <c r="L53" s="83"/>
      <c r="M53" s="158"/>
      <c r="N53" s="174"/>
      <c r="O53" s="38"/>
      <c r="P53" s="35"/>
      <c r="R53" s="54"/>
      <c r="S53" s="64"/>
      <c r="T53" s="69"/>
      <c r="U53" s="126"/>
      <c r="V53" s="127"/>
      <c r="X53" s="38"/>
      <c r="Y53" s="83"/>
      <c r="Z53" s="158"/>
      <c r="AA53" s="174"/>
      <c r="AB53" s="38"/>
      <c r="AC53" s="35"/>
      <c r="AE53" s="54"/>
      <c r="AF53" s="64"/>
      <c r="AG53" s="69"/>
      <c r="AH53" s="126"/>
      <c r="AI53" s="127"/>
      <c r="AK53" s="38"/>
      <c r="AL53" s="83"/>
      <c r="AM53" s="158"/>
      <c r="AN53" s="174"/>
      <c r="AO53" s="38"/>
      <c r="AP53" s="35"/>
      <c r="AR53" s="54"/>
      <c r="AS53" s="64"/>
      <c r="AT53" s="69"/>
      <c r="AU53" s="126"/>
      <c r="AV53" s="127"/>
      <c r="AX53" s="38"/>
      <c r="AY53" s="83"/>
      <c r="AZ53" s="158"/>
      <c r="BA53" s="174"/>
      <c r="BB53" s="38"/>
      <c r="BC53" s="35"/>
      <c r="BE53" s="54"/>
      <c r="BF53" s="64"/>
      <c r="BG53" s="69"/>
      <c r="BH53" s="126"/>
      <c r="BI53" s="127"/>
      <c r="BK53" s="38"/>
      <c r="BL53" s="83"/>
      <c r="BM53" s="158"/>
      <c r="BN53" s="174"/>
      <c r="BO53">
        <f t="shared" si="2"/>
        <v>0</v>
      </c>
    </row>
    <row r="54" spans="1:67" x14ac:dyDescent="0.15">
      <c r="A54" s="2" t="s">
        <v>50</v>
      </c>
      <c r="B54" s="38"/>
      <c r="C54" s="35"/>
      <c r="E54" s="54"/>
      <c r="F54" s="64"/>
      <c r="G54" s="69"/>
      <c r="H54" s="126"/>
      <c r="I54" s="127"/>
      <c r="K54" s="38"/>
      <c r="L54" s="83"/>
      <c r="M54" s="158"/>
      <c r="N54" s="174"/>
      <c r="O54" s="38"/>
      <c r="P54" s="35">
        <v>1</v>
      </c>
      <c r="R54" s="54"/>
      <c r="S54" s="64"/>
      <c r="T54" s="69"/>
      <c r="U54" s="126">
        <v>2</v>
      </c>
      <c r="V54" s="127">
        <v>2</v>
      </c>
      <c r="W54" s="4">
        <v>1</v>
      </c>
      <c r="X54" s="38">
        <v>1</v>
      </c>
      <c r="Y54" s="83">
        <v>1</v>
      </c>
      <c r="Z54" s="158">
        <v>1</v>
      </c>
      <c r="AA54" s="174">
        <v>1</v>
      </c>
      <c r="AB54" s="38"/>
      <c r="AC54" s="35"/>
      <c r="AE54" s="54"/>
      <c r="AF54" s="64">
        <v>1</v>
      </c>
      <c r="AG54" s="69">
        <v>1</v>
      </c>
      <c r="AH54" s="126">
        <v>1</v>
      </c>
      <c r="AI54" s="127">
        <v>1</v>
      </c>
      <c r="AK54" s="38"/>
      <c r="AL54" s="83"/>
      <c r="AM54" s="158"/>
      <c r="AN54" s="174"/>
      <c r="AO54" s="38"/>
      <c r="AP54" s="35"/>
      <c r="AR54" s="54"/>
      <c r="AS54" s="64"/>
      <c r="AT54" s="69"/>
      <c r="AU54" s="126"/>
      <c r="AV54" s="127"/>
      <c r="AX54" s="38"/>
      <c r="AY54" s="83"/>
      <c r="AZ54" s="158"/>
      <c r="BA54" s="174"/>
      <c r="BB54" s="38"/>
      <c r="BC54" s="35"/>
      <c r="BE54" s="54"/>
      <c r="BF54" s="64"/>
      <c r="BG54" s="69"/>
      <c r="BH54" s="126"/>
      <c r="BI54" s="127"/>
      <c r="BK54" s="38"/>
      <c r="BL54" s="83"/>
      <c r="BM54" s="158"/>
      <c r="BN54" s="174"/>
      <c r="BO54">
        <f t="shared" si="2"/>
        <v>12</v>
      </c>
    </row>
    <row r="55" spans="1:67" x14ac:dyDescent="0.15">
      <c r="A55" s="2" t="s">
        <v>231</v>
      </c>
      <c r="B55" s="38"/>
      <c r="C55" s="35"/>
      <c r="E55" s="54"/>
      <c r="F55" s="64"/>
      <c r="G55" s="69"/>
      <c r="H55" s="126"/>
      <c r="I55" s="127"/>
      <c r="K55" s="38"/>
      <c r="L55" s="83"/>
      <c r="M55" s="158"/>
      <c r="N55" s="174"/>
      <c r="O55" s="38"/>
      <c r="P55" s="35"/>
      <c r="R55" s="54"/>
      <c r="S55" s="64"/>
      <c r="T55" s="69"/>
      <c r="U55" s="126"/>
      <c r="V55" s="127"/>
      <c r="X55" s="38"/>
      <c r="Y55" s="83"/>
      <c r="Z55" s="158"/>
      <c r="AA55" s="174"/>
      <c r="AB55" s="38"/>
      <c r="AC55" s="35"/>
      <c r="AE55" s="54"/>
      <c r="AF55" s="64"/>
      <c r="AG55" s="69"/>
      <c r="AH55" s="126"/>
      <c r="AI55" s="127"/>
      <c r="AK55" s="38"/>
      <c r="AL55" s="83"/>
      <c r="AM55" s="158"/>
      <c r="AN55" s="174"/>
      <c r="AO55" s="38"/>
      <c r="AP55" s="35"/>
      <c r="AR55" s="54"/>
      <c r="AS55" s="64"/>
      <c r="AT55" s="69"/>
      <c r="AU55" s="126"/>
      <c r="AV55" s="127"/>
      <c r="AX55" s="38"/>
      <c r="AY55" s="83"/>
      <c r="AZ55" s="158"/>
      <c r="BA55" s="174"/>
      <c r="BB55" s="38"/>
      <c r="BC55" s="35"/>
      <c r="BE55" s="54"/>
      <c r="BF55" s="64"/>
      <c r="BG55" s="69"/>
      <c r="BH55" s="126"/>
      <c r="BI55" s="127"/>
      <c r="BK55" s="38"/>
      <c r="BL55" s="83"/>
      <c r="BM55" s="158"/>
      <c r="BN55" s="174"/>
      <c r="BO55">
        <f t="shared" si="2"/>
        <v>0</v>
      </c>
    </row>
    <row r="56" spans="1:67" x14ac:dyDescent="0.15">
      <c r="A56" s="2" t="s">
        <v>190</v>
      </c>
      <c r="B56" s="38"/>
      <c r="C56" s="35"/>
      <c r="E56" s="54"/>
      <c r="F56" s="64"/>
      <c r="G56" s="69"/>
      <c r="H56" s="126"/>
      <c r="I56" s="127"/>
      <c r="K56" s="38"/>
      <c r="L56" s="83"/>
      <c r="M56" s="158"/>
      <c r="N56" s="174"/>
      <c r="O56" s="38"/>
      <c r="P56" s="35"/>
      <c r="R56" s="54"/>
      <c r="S56" s="64"/>
      <c r="T56" s="69"/>
      <c r="U56" s="126"/>
      <c r="V56" s="127"/>
      <c r="X56" s="38"/>
      <c r="Y56" s="83"/>
      <c r="Z56" s="158"/>
      <c r="AA56" s="174"/>
      <c r="AB56" s="38"/>
      <c r="AC56" s="35"/>
      <c r="AE56" s="54"/>
      <c r="AF56" s="64"/>
      <c r="AG56" s="69"/>
      <c r="AH56" s="126"/>
      <c r="AI56" s="127"/>
      <c r="AK56" s="38"/>
      <c r="AL56" s="83"/>
      <c r="AM56" s="158"/>
      <c r="AN56" s="174"/>
      <c r="AO56" s="38"/>
      <c r="AP56" s="35"/>
      <c r="AR56" s="54"/>
      <c r="AS56" s="64"/>
      <c r="AT56" s="69"/>
      <c r="AU56" s="126"/>
      <c r="AV56" s="127"/>
      <c r="AX56" s="38"/>
      <c r="AY56" s="83"/>
      <c r="AZ56" s="158"/>
      <c r="BA56" s="174"/>
      <c r="BB56" s="38"/>
      <c r="BC56" s="35"/>
      <c r="BE56" s="54"/>
      <c r="BF56" s="64"/>
      <c r="BG56" s="69"/>
      <c r="BH56" s="126"/>
      <c r="BI56" s="127"/>
      <c r="BK56" s="38"/>
      <c r="BL56" s="83"/>
      <c r="BM56" s="158"/>
      <c r="BN56" s="174"/>
      <c r="BO56">
        <f t="shared" si="2"/>
        <v>0</v>
      </c>
    </row>
    <row r="57" spans="1:67" x14ac:dyDescent="0.15">
      <c r="A57" s="2" t="s">
        <v>58</v>
      </c>
      <c r="B57" s="38"/>
      <c r="C57" s="35"/>
      <c r="E57" s="54"/>
      <c r="F57" s="64"/>
      <c r="G57" s="69"/>
      <c r="H57" s="126"/>
      <c r="I57" s="127"/>
      <c r="K57" s="38"/>
      <c r="L57" s="83"/>
      <c r="M57" s="158"/>
      <c r="N57" s="174"/>
      <c r="O57" s="38"/>
      <c r="P57" s="35"/>
      <c r="R57" s="54"/>
      <c r="S57" s="64"/>
      <c r="T57" s="69"/>
      <c r="U57" s="126"/>
      <c r="V57" s="127"/>
      <c r="X57" s="38">
        <v>1</v>
      </c>
      <c r="Y57" s="83">
        <v>1</v>
      </c>
      <c r="Z57" s="158">
        <v>1</v>
      </c>
      <c r="AA57" s="174"/>
      <c r="AB57" s="38"/>
      <c r="AC57" s="35"/>
      <c r="AE57" s="54"/>
      <c r="AF57" s="64"/>
      <c r="AG57" s="69"/>
      <c r="AH57" s="126">
        <v>1</v>
      </c>
      <c r="AI57" s="127">
        <v>1</v>
      </c>
      <c r="AK57" s="38">
        <v>1</v>
      </c>
      <c r="AL57" s="83">
        <v>1</v>
      </c>
      <c r="AM57" s="158">
        <v>1</v>
      </c>
      <c r="AN57" s="174">
        <v>1</v>
      </c>
      <c r="AO57" s="38"/>
      <c r="AP57" s="35"/>
      <c r="AR57" s="54"/>
      <c r="AS57" s="64"/>
      <c r="AT57" s="69"/>
      <c r="AU57" s="126"/>
      <c r="AV57" s="127"/>
      <c r="AX57" s="38"/>
      <c r="AY57" s="83"/>
      <c r="AZ57" s="158"/>
      <c r="BA57" s="174"/>
      <c r="BB57" s="38"/>
      <c r="BC57" s="35"/>
      <c r="BE57" s="54"/>
      <c r="BF57" s="64"/>
      <c r="BG57" s="69"/>
      <c r="BH57" s="126"/>
      <c r="BI57" s="127"/>
      <c r="BK57" s="38"/>
      <c r="BL57" s="83"/>
      <c r="BM57" s="158"/>
      <c r="BN57" s="174"/>
      <c r="BO57">
        <f t="shared" si="2"/>
        <v>9</v>
      </c>
    </row>
    <row r="58" spans="1:67" x14ac:dyDescent="0.15">
      <c r="A58" s="2" t="s">
        <v>57</v>
      </c>
      <c r="B58" s="38"/>
      <c r="C58" s="35"/>
      <c r="E58" s="54"/>
      <c r="F58" s="64"/>
      <c r="G58" s="69"/>
      <c r="H58" s="126"/>
      <c r="I58" s="127"/>
      <c r="K58" s="38"/>
      <c r="L58" s="83"/>
      <c r="M58" s="158"/>
      <c r="N58" s="174"/>
      <c r="O58" s="38"/>
      <c r="P58" s="35"/>
      <c r="R58" s="54"/>
      <c r="S58" s="64"/>
      <c r="T58" s="69"/>
      <c r="U58" s="126"/>
      <c r="V58" s="127"/>
      <c r="X58" s="38"/>
      <c r="Y58" s="83"/>
      <c r="Z58" s="158"/>
      <c r="AA58" s="174"/>
      <c r="AB58" s="38"/>
      <c r="AC58" s="35"/>
      <c r="AE58" s="54"/>
      <c r="AF58" s="64"/>
      <c r="AG58" s="69"/>
      <c r="AH58" s="126"/>
      <c r="AI58" s="127"/>
      <c r="AK58" s="38"/>
      <c r="AL58" s="83"/>
      <c r="AM58" s="158"/>
      <c r="AN58" s="174"/>
      <c r="AO58" s="38"/>
      <c r="AP58" s="35"/>
      <c r="AR58" s="54"/>
      <c r="AS58" s="64"/>
      <c r="AT58" s="69"/>
      <c r="AU58" s="126"/>
      <c r="AV58" s="127"/>
      <c r="AX58" s="38"/>
      <c r="AY58" s="83"/>
      <c r="AZ58" s="158"/>
      <c r="BA58" s="174"/>
      <c r="BB58" s="38"/>
      <c r="BC58" s="35"/>
      <c r="BE58" s="54"/>
      <c r="BF58" s="64"/>
      <c r="BG58" s="69"/>
      <c r="BH58" s="126"/>
      <c r="BI58" s="127"/>
      <c r="BK58" s="38"/>
      <c r="BL58" s="83"/>
      <c r="BM58" s="158"/>
      <c r="BN58" s="174"/>
      <c r="BO58">
        <f t="shared" si="2"/>
        <v>0</v>
      </c>
    </row>
    <row r="59" spans="1:67" x14ac:dyDescent="0.15">
      <c r="A59" s="2" t="s">
        <v>28</v>
      </c>
      <c r="B59" s="38"/>
      <c r="C59" s="35"/>
      <c r="E59" s="54"/>
      <c r="F59" s="64"/>
      <c r="G59" s="69"/>
      <c r="H59" s="126"/>
      <c r="I59" s="127"/>
      <c r="K59" s="38"/>
      <c r="L59" s="83"/>
      <c r="M59" s="158"/>
      <c r="N59" s="174"/>
      <c r="O59" s="38"/>
      <c r="P59" s="35"/>
      <c r="R59" s="54"/>
      <c r="S59" s="64"/>
      <c r="T59" s="69"/>
      <c r="U59" s="126"/>
      <c r="V59" s="127"/>
      <c r="X59" s="38"/>
      <c r="Y59" s="83"/>
      <c r="Z59" s="158"/>
      <c r="AA59" s="174"/>
      <c r="AB59" s="38"/>
      <c r="AC59" s="35"/>
      <c r="AE59" s="54"/>
      <c r="AF59" s="64"/>
      <c r="AG59" s="69"/>
      <c r="AH59" s="126"/>
      <c r="AI59" s="127"/>
      <c r="AK59" s="38"/>
      <c r="AL59" s="83"/>
      <c r="AM59" s="158"/>
      <c r="AN59" s="174"/>
      <c r="AO59" s="38"/>
      <c r="AP59" s="35"/>
      <c r="AR59" s="54"/>
      <c r="AS59" s="64"/>
      <c r="AT59" s="69"/>
      <c r="AU59" s="126"/>
      <c r="AV59" s="127"/>
      <c r="AX59" s="38"/>
      <c r="AY59" s="83"/>
      <c r="AZ59" s="158"/>
      <c r="BA59" s="174"/>
      <c r="BB59" s="38"/>
      <c r="BC59" s="35"/>
      <c r="BE59" s="54"/>
      <c r="BF59" s="64"/>
      <c r="BG59" s="69"/>
      <c r="BH59" s="126"/>
      <c r="BI59" s="127"/>
      <c r="BK59" s="38"/>
      <c r="BL59" s="83"/>
      <c r="BM59" s="158"/>
      <c r="BN59" s="174"/>
      <c r="BO59">
        <f t="shared" si="2"/>
        <v>0</v>
      </c>
    </row>
    <row r="60" spans="1:67" x14ac:dyDescent="0.15">
      <c r="A60" s="2" t="s">
        <v>194</v>
      </c>
      <c r="B60" s="38"/>
      <c r="C60" s="35"/>
      <c r="E60" s="54"/>
      <c r="F60" s="64"/>
      <c r="G60" s="69"/>
      <c r="H60" s="126"/>
      <c r="I60" s="127"/>
      <c r="K60" s="38"/>
      <c r="L60" s="83"/>
      <c r="M60" s="158"/>
      <c r="N60" s="174"/>
      <c r="O60" s="38"/>
      <c r="P60" s="35"/>
      <c r="R60" s="54"/>
      <c r="S60" s="64"/>
      <c r="T60" s="69"/>
      <c r="U60" s="126"/>
      <c r="V60" s="127"/>
      <c r="X60" s="38"/>
      <c r="Y60" s="83"/>
      <c r="Z60" s="158"/>
      <c r="AA60" s="174"/>
      <c r="AB60" s="38"/>
      <c r="AC60" s="35"/>
      <c r="AE60" s="54"/>
      <c r="AF60" s="64"/>
      <c r="AG60" s="69"/>
      <c r="AH60" s="126"/>
      <c r="AI60" s="127"/>
      <c r="AK60" s="38"/>
      <c r="AL60" s="83"/>
      <c r="AM60" s="158"/>
      <c r="AN60" s="174"/>
      <c r="AO60" s="38"/>
      <c r="AP60" s="35"/>
      <c r="AR60" s="54"/>
      <c r="AS60" s="64"/>
      <c r="AT60" s="69"/>
      <c r="AU60" s="126"/>
      <c r="AV60" s="127"/>
      <c r="AX60" s="38"/>
      <c r="AY60" s="83"/>
      <c r="AZ60" s="158"/>
      <c r="BA60" s="174"/>
      <c r="BB60" s="38"/>
      <c r="BC60" s="35"/>
      <c r="BE60" s="54"/>
      <c r="BF60" s="64"/>
      <c r="BG60" s="69"/>
      <c r="BH60" s="126"/>
      <c r="BI60" s="127"/>
      <c r="BK60" s="38"/>
      <c r="BL60" s="83"/>
      <c r="BM60" s="158"/>
      <c r="BN60" s="174"/>
      <c r="BO60">
        <f t="shared" si="2"/>
        <v>0</v>
      </c>
    </row>
    <row r="61" spans="1:67" x14ac:dyDescent="0.15">
      <c r="A61" s="2" t="s">
        <v>10</v>
      </c>
      <c r="B61" s="38"/>
      <c r="C61" s="35"/>
      <c r="E61" s="54"/>
      <c r="F61" s="64"/>
      <c r="G61" s="69"/>
      <c r="H61" s="126"/>
      <c r="I61" s="127"/>
      <c r="K61" s="38"/>
      <c r="L61" s="83"/>
      <c r="M61" s="158"/>
      <c r="N61" s="174"/>
      <c r="O61" s="38"/>
      <c r="P61" s="35"/>
      <c r="R61" s="54"/>
      <c r="S61" s="64"/>
      <c r="T61" s="69"/>
      <c r="U61" s="126"/>
      <c r="V61" s="127"/>
      <c r="X61" s="38"/>
      <c r="Y61" s="83"/>
      <c r="Z61" s="158"/>
      <c r="AA61" s="174"/>
      <c r="AB61" s="38"/>
      <c r="AC61" s="35"/>
      <c r="AE61" s="54"/>
      <c r="AF61" s="64"/>
      <c r="AG61" s="69"/>
      <c r="AH61" s="126"/>
      <c r="AI61" s="127"/>
      <c r="AK61" s="38"/>
      <c r="AL61" s="83"/>
      <c r="AM61" s="158"/>
      <c r="AN61" s="174"/>
      <c r="AO61" s="38"/>
      <c r="AP61" s="35"/>
      <c r="AR61" s="54"/>
      <c r="AS61" s="64"/>
      <c r="AT61" s="69"/>
      <c r="AU61" s="126"/>
      <c r="AV61" s="127"/>
      <c r="AX61" s="38"/>
      <c r="AY61" s="83"/>
      <c r="AZ61" s="158"/>
      <c r="BA61" s="174"/>
      <c r="BB61" s="38"/>
      <c r="BC61" s="35"/>
      <c r="BE61" s="54"/>
      <c r="BF61" s="64"/>
      <c r="BG61" s="69"/>
      <c r="BH61" s="126"/>
      <c r="BI61" s="127"/>
      <c r="BK61" s="38"/>
      <c r="BL61" s="83"/>
      <c r="BM61" s="158"/>
      <c r="BN61" s="174"/>
      <c r="BO61">
        <f t="shared" si="2"/>
        <v>0</v>
      </c>
    </row>
    <row r="62" spans="1:67" x14ac:dyDescent="0.15">
      <c r="A62" s="5" t="s">
        <v>174</v>
      </c>
      <c r="B62" s="38"/>
      <c r="C62" s="35"/>
      <c r="E62" s="54"/>
      <c r="F62" s="64"/>
      <c r="G62" s="69"/>
      <c r="H62" s="126"/>
      <c r="I62" s="127"/>
      <c r="K62" s="38"/>
      <c r="L62" s="83"/>
      <c r="M62" s="158"/>
      <c r="N62" s="174"/>
      <c r="O62" s="38"/>
      <c r="P62" s="35"/>
      <c r="R62" s="54"/>
      <c r="S62" s="64"/>
      <c r="T62" s="69"/>
      <c r="U62" s="126"/>
      <c r="V62" s="127"/>
      <c r="X62" s="38"/>
      <c r="Y62" s="83"/>
      <c r="Z62" s="158"/>
      <c r="AA62" s="174"/>
      <c r="AB62" s="38"/>
      <c r="AC62" s="35"/>
      <c r="AE62" s="54"/>
      <c r="AF62" s="64"/>
      <c r="AG62" s="69"/>
      <c r="AH62" s="126"/>
      <c r="AI62" s="127"/>
      <c r="AK62" s="38"/>
      <c r="AL62" s="83"/>
      <c r="AM62" s="158"/>
      <c r="AN62" s="174"/>
      <c r="AO62" s="38"/>
      <c r="AP62" s="35"/>
      <c r="AR62" s="54"/>
      <c r="AS62" s="64"/>
      <c r="AT62" s="69"/>
      <c r="AU62" s="126"/>
      <c r="AV62" s="127"/>
      <c r="AX62" s="38"/>
      <c r="AY62" s="83"/>
      <c r="AZ62" s="158"/>
      <c r="BA62" s="174"/>
      <c r="BB62" s="38"/>
      <c r="BC62" s="35"/>
      <c r="BE62" s="54"/>
      <c r="BF62" s="64"/>
      <c r="BG62" s="69"/>
      <c r="BH62" s="126"/>
      <c r="BI62" s="127"/>
      <c r="BK62" s="38"/>
      <c r="BL62" s="83"/>
      <c r="BM62" s="158"/>
      <c r="BN62" s="174"/>
      <c r="BO62">
        <f t="shared" si="2"/>
        <v>0</v>
      </c>
    </row>
    <row r="63" spans="1:67" x14ac:dyDescent="0.15">
      <c r="A63" s="2" t="s">
        <v>22</v>
      </c>
      <c r="B63" s="38"/>
      <c r="C63" s="35"/>
      <c r="E63" s="54"/>
      <c r="F63" s="64"/>
      <c r="G63" s="69"/>
      <c r="H63" s="126"/>
      <c r="I63" s="127"/>
      <c r="K63" s="38"/>
      <c r="L63" s="83"/>
      <c r="M63" s="158"/>
      <c r="N63" s="174"/>
      <c r="O63" s="38"/>
      <c r="P63" s="35"/>
      <c r="R63" s="54"/>
      <c r="S63" s="64"/>
      <c r="T63" s="69"/>
      <c r="U63" s="126"/>
      <c r="V63" s="127"/>
      <c r="X63" s="38"/>
      <c r="Y63" s="83"/>
      <c r="Z63" s="158"/>
      <c r="AA63" s="174"/>
      <c r="AB63" s="38"/>
      <c r="AC63" s="35"/>
      <c r="AE63" s="54"/>
      <c r="AF63" s="64"/>
      <c r="AG63" s="69"/>
      <c r="AH63" s="126"/>
      <c r="AI63" s="127"/>
      <c r="AK63" s="38"/>
      <c r="AL63" s="83"/>
      <c r="AM63" s="158"/>
      <c r="AN63" s="174"/>
      <c r="AO63" s="38"/>
      <c r="AP63" s="35"/>
      <c r="AR63" s="54"/>
      <c r="AS63" s="64"/>
      <c r="AT63" s="69"/>
      <c r="AU63" s="126"/>
      <c r="AV63" s="127"/>
      <c r="AX63" s="38"/>
      <c r="AY63" s="83"/>
      <c r="AZ63" s="158"/>
      <c r="BA63" s="174"/>
      <c r="BB63" s="38"/>
      <c r="BC63" s="35"/>
      <c r="BE63" s="54"/>
      <c r="BF63" s="64"/>
      <c r="BG63" s="69"/>
      <c r="BH63" s="126"/>
      <c r="BI63" s="127"/>
      <c r="BK63" s="38"/>
      <c r="BL63" s="83"/>
      <c r="BM63" s="158"/>
      <c r="BN63" s="174"/>
      <c r="BO63">
        <f t="shared" si="2"/>
        <v>0</v>
      </c>
    </row>
    <row r="64" spans="1:67" x14ac:dyDescent="0.15">
      <c r="A64" s="5" t="s">
        <v>132</v>
      </c>
      <c r="B64" s="38"/>
      <c r="C64" s="35"/>
      <c r="E64" s="54"/>
      <c r="F64" s="64"/>
      <c r="G64" s="69"/>
      <c r="H64" s="126"/>
      <c r="I64" s="127"/>
      <c r="K64" s="38"/>
      <c r="L64" s="83"/>
      <c r="M64" s="158"/>
      <c r="N64" s="174"/>
      <c r="O64" s="38"/>
      <c r="P64" s="35"/>
      <c r="R64" s="54"/>
      <c r="S64" s="64"/>
      <c r="T64" s="69"/>
      <c r="U64" s="126"/>
      <c r="V64" s="127"/>
      <c r="X64" s="38"/>
      <c r="Y64" s="83"/>
      <c r="Z64" s="158"/>
      <c r="AA64" s="174"/>
      <c r="AB64" s="38"/>
      <c r="AC64" s="35"/>
      <c r="AE64" s="54"/>
      <c r="AF64" s="64"/>
      <c r="AG64" s="69"/>
      <c r="AH64" s="126"/>
      <c r="AI64" s="127"/>
      <c r="AK64" s="38"/>
      <c r="AL64" s="83"/>
      <c r="AM64" s="158"/>
      <c r="AN64" s="174"/>
      <c r="AO64" s="38"/>
      <c r="AP64" s="35"/>
      <c r="AR64" s="54"/>
      <c r="AS64" s="64"/>
      <c r="AT64" s="69"/>
      <c r="AU64" s="126"/>
      <c r="AV64" s="127"/>
      <c r="AX64" s="38"/>
      <c r="AY64" s="83"/>
      <c r="AZ64" s="158"/>
      <c r="BA64" s="174"/>
      <c r="BB64" s="38"/>
      <c r="BC64" s="35"/>
      <c r="BE64" s="54"/>
      <c r="BF64" s="64"/>
      <c r="BG64" s="69"/>
      <c r="BH64" s="126"/>
      <c r="BI64" s="127"/>
      <c r="BK64" s="38"/>
      <c r="BL64" s="83"/>
      <c r="BM64" s="158"/>
      <c r="BN64" s="174"/>
      <c r="BO64">
        <f t="shared" si="2"/>
        <v>0</v>
      </c>
    </row>
    <row r="65" spans="1:67" x14ac:dyDescent="0.15">
      <c r="A65" s="5" t="s">
        <v>191</v>
      </c>
      <c r="B65" s="38"/>
      <c r="C65" s="35"/>
      <c r="E65" s="54"/>
      <c r="F65" s="64"/>
      <c r="G65" s="69"/>
      <c r="H65" s="126"/>
      <c r="I65" s="127"/>
      <c r="K65" s="38"/>
      <c r="L65" s="83"/>
      <c r="M65" s="158"/>
      <c r="N65" s="174"/>
      <c r="O65" s="38"/>
      <c r="P65" s="35"/>
      <c r="R65" s="54"/>
      <c r="S65" s="64"/>
      <c r="T65" s="69"/>
      <c r="U65" s="126"/>
      <c r="V65" s="127"/>
      <c r="X65" s="38"/>
      <c r="Y65" s="83"/>
      <c r="Z65" s="158"/>
      <c r="AA65" s="174"/>
      <c r="AB65" s="38"/>
      <c r="AC65" s="35"/>
      <c r="AE65" s="54"/>
      <c r="AF65" s="64"/>
      <c r="AG65" s="69"/>
      <c r="AH65" s="126"/>
      <c r="AI65" s="127"/>
      <c r="AK65" s="38"/>
      <c r="AL65" s="83"/>
      <c r="AM65" s="158"/>
      <c r="AN65" s="174"/>
      <c r="AO65" s="38"/>
      <c r="AP65" s="35"/>
      <c r="AR65" s="54"/>
      <c r="AS65" s="64"/>
      <c r="AT65" s="69"/>
      <c r="AU65" s="126"/>
      <c r="AV65" s="127"/>
      <c r="AX65" s="38"/>
      <c r="AY65" s="83"/>
      <c r="AZ65" s="158"/>
      <c r="BA65" s="174"/>
      <c r="BB65" s="38"/>
      <c r="BC65" s="35"/>
      <c r="BE65" s="54"/>
      <c r="BF65" s="64"/>
      <c r="BG65" s="69"/>
      <c r="BH65" s="126"/>
      <c r="BI65" s="127"/>
      <c r="BK65" s="38"/>
      <c r="BL65" s="83"/>
      <c r="BM65" s="158"/>
      <c r="BN65" s="174"/>
      <c r="BO65">
        <f t="shared" si="2"/>
        <v>0</v>
      </c>
    </row>
    <row r="66" spans="1:67" x14ac:dyDescent="0.15">
      <c r="A66" s="5" t="s">
        <v>218</v>
      </c>
      <c r="B66" s="38"/>
      <c r="C66" s="35"/>
      <c r="E66" s="54"/>
      <c r="F66" s="64"/>
      <c r="G66" s="69"/>
      <c r="H66" s="126"/>
      <c r="I66" s="127">
        <v>1</v>
      </c>
      <c r="J66" s="4">
        <v>1</v>
      </c>
      <c r="K66" s="38"/>
      <c r="L66" s="83">
        <v>1</v>
      </c>
      <c r="M66" s="158"/>
      <c r="N66" s="174"/>
      <c r="O66" s="38"/>
      <c r="P66" s="35"/>
      <c r="R66" s="54"/>
      <c r="S66" s="64"/>
      <c r="T66" s="69"/>
      <c r="U66" s="126"/>
      <c r="V66" s="127"/>
      <c r="X66" s="38"/>
      <c r="Y66" s="83"/>
      <c r="Z66" s="158"/>
      <c r="AA66" s="174"/>
      <c r="AB66" s="38"/>
      <c r="AC66" s="35"/>
      <c r="AE66" s="54"/>
      <c r="AF66" s="64"/>
      <c r="AG66" s="69"/>
      <c r="AH66" s="126">
        <v>1</v>
      </c>
      <c r="AI66" s="127">
        <v>1</v>
      </c>
      <c r="AK66" s="38"/>
      <c r="AL66" s="83"/>
      <c r="AM66" s="158"/>
      <c r="AN66" s="174"/>
      <c r="AO66" s="38"/>
      <c r="AP66" s="35"/>
      <c r="AR66" s="54"/>
      <c r="AS66" s="64"/>
      <c r="AT66" s="69"/>
      <c r="AU66" s="126"/>
      <c r="AV66" s="127"/>
      <c r="AX66" s="38"/>
      <c r="AY66" s="83"/>
      <c r="AZ66" s="158"/>
      <c r="BA66" s="174"/>
      <c r="BB66" s="38"/>
      <c r="BC66" s="35"/>
      <c r="BE66" s="54"/>
      <c r="BF66" s="64"/>
      <c r="BG66" s="69"/>
      <c r="BH66" s="126"/>
      <c r="BI66" s="127"/>
      <c r="BK66" s="38"/>
      <c r="BL66" s="83"/>
      <c r="BM66" s="158"/>
      <c r="BN66" s="174"/>
      <c r="BO66">
        <f t="shared" si="2"/>
        <v>5</v>
      </c>
    </row>
    <row r="67" spans="1:67" x14ac:dyDescent="0.15">
      <c r="A67" s="5" t="s">
        <v>203</v>
      </c>
      <c r="B67" s="38"/>
      <c r="C67" s="35"/>
      <c r="E67" s="54"/>
      <c r="F67" s="64"/>
      <c r="G67" s="69"/>
      <c r="H67" s="126"/>
      <c r="I67" s="127"/>
      <c r="K67" s="38"/>
      <c r="L67" s="83"/>
      <c r="M67" s="158"/>
      <c r="N67" s="174"/>
      <c r="O67" s="38"/>
      <c r="P67" s="35"/>
      <c r="R67" s="54"/>
      <c r="S67" s="64"/>
      <c r="T67" s="69">
        <v>1</v>
      </c>
      <c r="U67" s="126">
        <v>2</v>
      </c>
      <c r="V67" s="127">
        <v>2</v>
      </c>
      <c r="W67" s="4">
        <v>1</v>
      </c>
      <c r="X67" s="38">
        <v>1</v>
      </c>
      <c r="Y67" s="83">
        <v>1</v>
      </c>
      <c r="Z67" s="158"/>
      <c r="AA67" s="174">
        <v>1</v>
      </c>
      <c r="AB67" s="38"/>
      <c r="AC67" s="35"/>
      <c r="AE67" s="54"/>
      <c r="AF67" s="64"/>
      <c r="AG67" s="69"/>
      <c r="AH67" s="126">
        <v>2</v>
      </c>
      <c r="AI67" s="127">
        <v>2</v>
      </c>
      <c r="AJ67" s="4">
        <v>1</v>
      </c>
      <c r="AK67" s="38">
        <v>1</v>
      </c>
      <c r="AL67" s="83">
        <v>1</v>
      </c>
      <c r="AM67" s="158">
        <v>1</v>
      </c>
      <c r="AN67" s="174">
        <v>1</v>
      </c>
      <c r="AO67" s="38"/>
      <c r="AP67" s="35"/>
      <c r="AR67" s="54"/>
      <c r="AS67" s="64"/>
      <c r="AT67" s="69"/>
      <c r="AU67" s="126"/>
      <c r="AV67" s="127"/>
      <c r="AX67" s="38"/>
      <c r="AY67" s="83"/>
      <c r="AZ67" s="158"/>
      <c r="BA67" s="174"/>
      <c r="BB67" s="38"/>
      <c r="BC67" s="35"/>
      <c r="BE67" s="54"/>
      <c r="BF67" s="64"/>
      <c r="BG67" s="69"/>
      <c r="BH67" s="126"/>
      <c r="BI67" s="127"/>
      <c r="BK67" s="38"/>
      <c r="BL67" s="83"/>
      <c r="BM67" s="158"/>
      <c r="BN67" s="174"/>
      <c r="BO67">
        <f t="shared" si="2"/>
        <v>14</v>
      </c>
    </row>
    <row r="68" spans="1:67" x14ac:dyDescent="0.15">
      <c r="A68" s="2" t="s">
        <v>23</v>
      </c>
      <c r="B68" s="38"/>
      <c r="C68" s="35"/>
      <c r="E68" s="54"/>
      <c r="F68" s="64"/>
      <c r="G68" s="69"/>
      <c r="H68" s="126"/>
      <c r="I68" s="127"/>
      <c r="K68" s="38"/>
      <c r="L68" s="83"/>
      <c r="M68" s="158"/>
      <c r="N68" s="174"/>
      <c r="O68" s="38"/>
      <c r="P68" s="35"/>
      <c r="R68" s="54"/>
      <c r="S68" s="64"/>
      <c r="T68" s="69"/>
      <c r="U68" s="126"/>
      <c r="V68" s="127"/>
      <c r="X68" s="38"/>
      <c r="Y68" s="83"/>
      <c r="Z68" s="158"/>
      <c r="AA68" s="174"/>
      <c r="AB68" s="38"/>
      <c r="AC68" s="35"/>
      <c r="AE68" s="54"/>
      <c r="AF68" s="64"/>
      <c r="AG68" s="69"/>
      <c r="AH68" s="126"/>
      <c r="AI68" s="127">
        <v>1</v>
      </c>
      <c r="AJ68" s="4">
        <v>1</v>
      </c>
      <c r="AK68" s="38">
        <v>1</v>
      </c>
      <c r="AL68" s="83"/>
      <c r="AM68" s="158"/>
      <c r="AN68" s="174"/>
      <c r="AO68" s="38"/>
      <c r="AP68" s="35"/>
      <c r="AR68" s="54"/>
      <c r="AS68" s="64"/>
      <c r="AT68" s="69"/>
      <c r="AU68" s="126"/>
      <c r="AV68" s="127"/>
      <c r="AX68" s="38"/>
      <c r="AY68" s="83"/>
      <c r="AZ68" s="158"/>
      <c r="BA68" s="174"/>
      <c r="BB68" s="38"/>
      <c r="BC68" s="35"/>
      <c r="BE68" s="54"/>
      <c r="BF68" s="64"/>
      <c r="BG68" s="69"/>
      <c r="BH68" s="126"/>
      <c r="BI68" s="127"/>
      <c r="BK68" s="38"/>
      <c r="BL68" s="83"/>
      <c r="BM68" s="158"/>
      <c r="BN68" s="174"/>
      <c r="BO68">
        <f t="shared" si="2"/>
        <v>3</v>
      </c>
    </row>
    <row r="69" spans="1:67" x14ac:dyDescent="0.15">
      <c r="A69" s="2" t="s">
        <v>208</v>
      </c>
      <c r="B69" s="38"/>
      <c r="C69" s="35"/>
      <c r="E69" s="54"/>
      <c r="F69" s="64"/>
      <c r="G69" s="69"/>
      <c r="H69" s="126"/>
      <c r="I69" s="127"/>
      <c r="K69" s="38"/>
      <c r="L69" s="83"/>
      <c r="M69" s="158"/>
      <c r="N69" s="174"/>
      <c r="O69" s="38"/>
      <c r="P69" s="35"/>
      <c r="R69" s="54"/>
      <c r="S69" s="64"/>
      <c r="T69" s="69"/>
      <c r="U69" s="126"/>
      <c r="V69" s="127"/>
      <c r="X69" s="38"/>
      <c r="Y69" s="83"/>
      <c r="Z69" s="158"/>
      <c r="AA69" s="174"/>
      <c r="AB69" s="38"/>
      <c r="AC69" s="35"/>
      <c r="AE69" s="54"/>
      <c r="AF69" s="64"/>
      <c r="AG69" s="69"/>
      <c r="AH69" s="126"/>
      <c r="AI69" s="127"/>
      <c r="AK69" s="38"/>
      <c r="AL69" s="83"/>
      <c r="AM69" s="158"/>
      <c r="AN69" s="174"/>
      <c r="AO69" s="38"/>
      <c r="AP69" s="35"/>
      <c r="AR69" s="54"/>
      <c r="AS69" s="64"/>
      <c r="AT69" s="69"/>
      <c r="AU69" s="126"/>
      <c r="AV69" s="127"/>
      <c r="AX69" s="38"/>
      <c r="AY69" s="83"/>
      <c r="AZ69" s="158"/>
      <c r="BA69" s="174"/>
      <c r="BB69" s="38"/>
      <c r="BC69" s="35"/>
      <c r="BE69" s="54"/>
      <c r="BF69" s="64"/>
      <c r="BG69" s="69"/>
      <c r="BH69" s="126"/>
      <c r="BI69" s="127"/>
      <c r="BK69" s="38"/>
      <c r="BL69" s="83"/>
      <c r="BM69" s="158"/>
      <c r="BN69" s="174"/>
      <c r="BO69">
        <f t="shared" si="2"/>
        <v>0</v>
      </c>
    </row>
    <row r="70" spans="1:67" x14ac:dyDescent="0.15">
      <c r="A70" s="2" t="s">
        <v>41</v>
      </c>
      <c r="B70" s="38"/>
      <c r="C70" s="35"/>
      <c r="E70" s="54"/>
      <c r="F70" s="64"/>
      <c r="G70" s="69"/>
      <c r="H70" s="126"/>
      <c r="I70" s="127"/>
      <c r="K70" s="38"/>
      <c r="L70" s="83"/>
      <c r="M70" s="158"/>
      <c r="N70" s="174"/>
      <c r="O70" s="38"/>
      <c r="P70" s="35"/>
      <c r="R70" s="54"/>
      <c r="S70" s="64"/>
      <c r="T70" s="69"/>
      <c r="U70" s="126"/>
      <c r="V70" s="127"/>
      <c r="X70" s="38"/>
      <c r="Y70" s="83"/>
      <c r="Z70" s="158"/>
      <c r="AA70" s="174"/>
      <c r="AB70" s="38"/>
      <c r="AC70" s="35"/>
      <c r="AE70" s="54"/>
      <c r="AF70" s="64"/>
      <c r="AG70" s="69"/>
      <c r="AH70" s="126"/>
      <c r="AI70" s="127"/>
      <c r="AK70" s="38"/>
      <c r="AL70" s="83"/>
      <c r="AM70" s="158"/>
      <c r="AN70" s="174">
        <v>1</v>
      </c>
      <c r="AO70" s="38"/>
      <c r="AP70" s="35"/>
      <c r="AR70" s="54"/>
      <c r="AS70" s="64"/>
      <c r="AT70" s="69"/>
      <c r="AU70" s="126"/>
      <c r="AV70" s="127"/>
      <c r="AX70" s="38"/>
      <c r="AY70" s="83"/>
      <c r="AZ70" s="158"/>
      <c r="BA70" s="174"/>
      <c r="BB70" s="38"/>
      <c r="BC70" s="35"/>
      <c r="BE70" s="54"/>
      <c r="BF70" s="64"/>
      <c r="BG70" s="69"/>
      <c r="BH70" s="126"/>
      <c r="BI70" s="127"/>
      <c r="BK70" s="38"/>
      <c r="BL70" s="83"/>
      <c r="BM70" s="158"/>
      <c r="BN70" s="174"/>
      <c r="BO70">
        <f t="shared" si="2"/>
        <v>1</v>
      </c>
    </row>
    <row r="71" spans="1:67" x14ac:dyDescent="0.15">
      <c r="A71" s="5" t="s">
        <v>95</v>
      </c>
      <c r="B71" s="38"/>
      <c r="C71" s="35"/>
      <c r="E71" s="54"/>
      <c r="F71" s="64"/>
      <c r="G71" s="69"/>
      <c r="H71" s="126"/>
      <c r="I71" s="127"/>
      <c r="K71" s="38"/>
      <c r="L71" s="83"/>
      <c r="M71" s="158"/>
      <c r="N71" s="174"/>
      <c r="O71" s="38"/>
      <c r="P71" s="35"/>
      <c r="R71" s="54"/>
      <c r="S71" s="64"/>
      <c r="T71" s="69"/>
      <c r="U71" s="126"/>
      <c r="V71" s="127"/>
      <c r="X71" s="38"/>
      <c r="Y71" s="83"/>
      <c r="Z71" s="158"/>
      <c r="AA71" s="174"/>
      <c r="AB71" s="38"/>
      <c r="AC71" s="35">
        <v>1</v>
      </c>
      <c r="AE71" s="54"/>
      <c r="AF71" s="64"/>
      <c r="AG71" s="69"/>
      <c r="AH71" s="126"/>
      <c r="AI71" s="127"/>
      <c r="AK71" s="38"/>
      <c r="AL71" s="83"/>
      <c r="AM71" s="158"/>
      <c r="AN71" s="174"/>
      <c r="AO71" s="38"/>
      <c r="AP71" s="35"/>
      <c r="AR71" s="54"/>
      <c r="AS71" s="64"/>
      <c r="AT71" s="69"/>
      <c r="AU71" s="126"/>
      <c r="AV71" s="127"/>
      <c r="AX71" s="38"/>
      <c r="AY71" s="83"/>
      <c r="AZ71" s="158"/>
      <c r="BA71" s="174"/>
      <c r="BB71" s="38"/>
      <c r="BC71" s="35"/>
      <c r="BE71" s="54"/>
      <c r="BF71" s="64"/>
      <c r="BG71" s="69"/>
      <c r="BH71" s="126"/>
      <c r="BI71" s="127"/>
      <c r="BK71" s="38"/>
      <c r="BL71" s="83"/>
      <c r="BM71" s="158"/>
      <c r="BN71" s="174"/>
      <c r="BO71">
        <f t="shared" ref="BO71:BO84" si="3">COUNTA(B71:BN71)</f>
        <v>1</v>
      </c>
    </row>
    <row r="72" spans="1:67" x14ac:dyDescent="0.15">
      <c r="A72" s="5" t="s">
        <v>111</v>
      </c>
      <c r="B72" s="38"/>
      <c r="C72" s="35"/>
      <c r="E72" s="54"/>
      <c r="F72" s="64"/>
      <c r="G72" s="69"/>
      <c r="H72" s="126"/>
      <c r="I72" s="127"/>
      <c r="K72" s="38"/>
      <c r="L72" s="83"/>
      <c r="M72" s="158"/>
      <c r="N72" s="174"/>
      <c r="O72" s="38"/>
      <c r="P72" s="35"/>
      <c r="Q72" s="4">
        <v>2</v>
      </c>
      <c r="R72" s="54">
        <v>2</v>
      </c>
      <c r="S72" s="64">
        <v>2</v>
      </c>
      <c r="T72" s="69">
        <v>2</v>
      </c>
      <c r="U72" s="126">
        <v>3</v>
      </c>
      <c r="V72" s="127">
        <v>2</v>
      </c>
      <c r="W72" s="4">
        <v>1</v>
      </c>
      <c r="X72" s="38">
        <v>1</v>
      </c>
      <c r="Y72" s="83">
        <v>2</v>
      </c>
      <c r="Z72" s="158">
        <v>1</v>
      </c>
      <c r="AA72" s="174">
        <v>1</v>
      </c>
      <c r="AB72" s="38"/>
      <c r="AC72" s="35"/>
      <c r="AD72" s="4">
        <v>3</v>
      </c>
      <c r="AE72" s="54">
        <v>2</v>
      </c>
      <c r="AF72" s="64">
        <v>1</v>
      </c>
      <c r="AG72" s="69">
        <v>1</v>
      </c>
      <c r="AH72" s="126">
        <v>2</v>
      </c>
      <c r="AI72" s="127">
        <v>1</v>
      </c>
      <c r="AJ72" s="4">
        <v>1</v>
      </c>
      <c r="AK72" s="38">
        <v>1</v>
      </c>
      <c r="AL72" s="83">
        <v>2</v>
      </c>
      <c r="AM72" s="158">
        <v>1</v>
      </c>
      <c r="AN72" s="174">
        <v>1</v>
      </c>
      <c r="AO72" s="38"/>
      <c r="AP72" s="35"/>
      <c r="AR72" s="54"/>
      <c r="AS72" s="64"/>
      <c r="AT72" s="69"/>
      <c r="AU72" s="126"/>
      <c r="AV72" s="127"/>
      <c r="AX72" s="38"/>
      <c r="AY72" s="83"/>
      <c r="AZ72" s="158"/>
      <c r="BA72" s="174"/>
      <c r="BB72" s="38"/>
      <c r="BC72" s="35"/>
      <c r="BE72" s="54"/>
      <c r="BF72" s="64"/>
      <c r="BG72" s="69"/>
      <c r="BH72" s="126"/>
      <c r="BI72" s="127"/>
      <c r="BK72" s="38"/>
      <c r="BL72" s="83"/>
      <c r="BM72" s="158"/>
      <c r="BN72" s="174"/>
      <c r="BO72">
        <f t="shared" si="3"/>
        <v>22</v>
      </c>
    </row>
    <row r="73" spans="1:67" x14ac:dyDescent="0.15">
      <c r="A73" s="2" t="s">
        <v>7</v>
      </c>
      <c r="B73" s="38"/>
      <c r="C73" s="35"/>
      <c r="E73" s="54"/>
      <c r="F73" s="64"/>
      <c r="G73" s="69"/>
      <c r="H73" s="126"/>
      <c r="I73" s="127"/>
      <c r="K73" s="38"/>
      <c r="L73" s="83"/>
      <c r="M73" s="158"/>
      <c r="N73" s="174"/>
      <c r="O73" s="38"/>
      <c r="P73" s="35"/>
      <c r="R73" s="54"/>
      <c r="S73" s="64"/>
      <c r="T73" s="69"/>
      <c r="U73" s="126"/>
      <c r="V73" s="127"/>
      <c r="X73" s="38"/>
      <c r="Y73" s="83"/>
      <c r="Z73" s="158"/>
      <c r="AA73" s="174"/>
      <c r="AB73" s="38"/>
      <c r="AC73" s="35"/>
      <c r="AE73" s="54"/>
      <c r="AF73" s="64"/>
      <c r="AG73" s="69"/>
      <c r="AH73" s="126"/>
      <c r="AI73" s="127"/>
      <c r="AK73" s="38"/>
      <c r="AL73" s="83"/>
      <c r="AM73" s="158"/>
      <c r="AN73" s="174"/>
      <c r="AO73" s="38"/>
      <c r="AP73" s="35"/>
      <c r="AR73" s="54"/>
      <c r="AS73" s="64"/>
      <c r="AT73" s="69"/>
      <c r="AU73" s="126"/>
      <c r="AV73" s="127"/>
      <c r="AX73" s="38"/>
      <c r="AY73" s="83"/>
      <c r="AZ73" s="158"/>
      <c r="BA73" s="174"/>
      <c r="BB73" s="38"/>
      <c r="BC73" s="35"/>
      <c r="BE73" s="54"/>
      <c r="BF73" s="64"/>
      <c r="BG73" s="69"/>
      <c r="BH73" s="126"/>
      <c r="BI73" s="127"/>
      <c r="BK73" s="38"/>
      <c r="BL73" s="83"/>
      <c r="BM73" s="158"/>
      <c r="BN73" s="174"/>
      <c r="BO73">
        <f t="shared" si="3"/>
        <v>0</v>
      </c>
    </row>
    <row r="74" spans="1:67" x14ac:dyDescent="0.15">
      <c r="A74" s="2" t="s">
        <v>32</v>
      </c>
      <c r="B74" s="38"/>
      <c r="C74" s="35"/>
      <c r="E74" s="54"/>
      <c r="F74" s="64"/>
      <c r="G74" s="69"/>
      <c r="H74" s="126"/>
      <c r="I74" s="127"/>
      <c r="K74" s="38"/>
      <c r="L74" s="83"/>
      <c r="M74" s="158"/>
      <c r="N74" s="174"/>
      <c r="O74" s="38"/>
      <c r="P74" s="35"/>
      <c r="R74" s="54"/>
      <c r="S74" s="64"/>
      <c r="T74" s="69"/>
      <c r="U74" s="126"/>
      <c r="V74" s="127"/>
      <c r="X74" s="38"/>
      <c r="Y74" s="83"/>
      <c r="Z74" s="158"/>
      <c r="AA74" s="174"/>
      <c r="AB74" s="38"/>
      <c r="AC74" s="35"/>
      <c r="AE74" s="54"/>
      <c r="AF74" s="64"/>
      <c r="AG74" s="69"/>
      <c r="AH74" s="126"/>
      <c r="AI74" s="127"/>
      <c r="AK74" s="38"/>
      <c r="AL74" s="83"/>
      <c r="AM74" s="158"/>
      <c r="AN74" s="174"/>
      <c r="AO74" s="38"/>
      <c r="AP74" s="35"/>
      <c r="AR74" s="54"/>
      <c r="AS74" s="64"/>
      <c r="AT74" s="69"/>
      <c r="AU74" s="126"/>
      <c r="AV74" s="127"/>
      <c r="AX74" s="38"/>
      <c r="AY74" s="83"/>
      <c r="AZ74" s="158"/>
      <c r="BA74" s="174"/>
      <c r="BB74" s="38"/>
      <c r="BC74" s="35"/>
      <c r="BE74" s="54"/>
      <c r="BF74" s="64"/>
      <c r="BG74" s="69"/>
      <c r="BH74" s="126"/>
      <c r="BI74" s="127"/>
      <c r="BK74" s="38"/>
      <c r="BL74" s="83"/>
      <c r="BM74" s="158"/>
      <c r="BN74" s="174"/>
      <c r="BO74">
        <f t="shared" si="3"/>
        <v>0</v>
      </c>
    </row>
    <row r="75" spans="1:67" x14ac:dyDescent="0.15">
      <c r="A75" s="5" t="s">
        <v>72</v>
      </c>
      <c r="B75" s="38"/>
      <c r="C75" s="35"/>
      <c r="E75" s="54"/>
      <c r="F75" s="64"/>
      <c r="G75" s="69"/>
      <c r="H75" s="126"/>
      <c r="I75" s="127"/>
      <c r="K75" s="38"/>
      <c r="L75" s="83"/>
      <c r="M75" s="158"/>
      <c r="N75" s="174"/>
      <c r="O75" s="38"/>
      <c r="P75" s="35"/>
      <c r="R75" s="54"/>
      <c r="S75" s="64"/>
      <c r="T75" s="69"/>
      <c r="U75" s="126"/>
      <c r="V75" s="127"/>
      <c r="X75" s="38"/>
      <c r="Y75" s="83"/>
      <c r="Z75" s="158"/>
      <c r="AA75" s="174"/>
      <c r="AB75" s="38"/>
      <c r="AC75" s="35"/>
      <c r="AE75" s="54"/>
      <c r="AF75" s="64"/>
      <c r="AG75" s="69"/>
      <c r="AH75" s="126"/>
      <c r="AI75" s="127"/>
      <c r="AK75" s="38"/>
      <c r="AL75" s="83"/>
      <c r="AM75" s="158"/>
      <c r="AN75" s="174"/>
      <c r="AO75" s="38"/>
      <c r="AP75" s="35"/>
      <c r="AR75" s="54"/>
      <c r="AS75" s="64"/>
      <c r="AT75" s="69"/>
      <c r="AU75" s="126"/>
      <c r="AV75" s="127"/>
      <c r="AX75" s="38"/>
      <c r="AY75" s="83"/>
      <c r="AZ75" s="158"/>
      <c r="BA75" s="174"/>
      <c r="BB75" s="38"/>
      <c r="BC75" s="35"/>
      <c r="BE75" s="54">
        <v>1</v>
      </c>
      <c r="BF75" s="64"/>
      <c r="BG75" s="69"/>
      <c r="BH75" s="126"/>
      <c r="BI75" s="127"/>
      <c r="BK75" s="38"/>
      <c r="BL75" s="83"/>
      <c r="BM75" s="158"/>
      <c r="BN75" s="174"/>
      <c r="BO75">
        <f t="shared" si="3"/>
        <v>1</v>
      </c>
    </row>
    <row r="76" spans="1:67" x14ac:dyDescent="0.15">
      <c r="A76" s="5" t="s">
        <v>61</v>
      </c>
      <c r="B76" s="38"/>
      <c r="C76" s="35"/>
      <c r="E76" s="54"/>
      <c r="F76" s="64"/>
      <c r="G76" s="69"/>
      <c r="H76" s="126"/>
      <c r="I76" s="127"/>
      <c r="K76" s="38"/>
      <c r="L76" s="83"/>
      <c r="M76" s="158"/>
      <c r="N76" s="174"/>
      <c r="O76" s="38"/>
      <c r="P76" s="35"/>
      <c r="R76" s="54"/>
      <c r="S76" s="64"/>
      <c r="T76" s="69"/>
      <c r="U76" s="126"/>
      <c r="V76" s="127"/>
      <c r="X76" s="38"/>
      <c r="Y76" s="83"/>
      <c r="Z76" s="158"/>
      <c r="AA76" s="174"/>
      <c r="AB76" s="38"/>
      <c r="AC76" s="35"/>
      <c r="AE76" s="54"/>
      <c r="AF76" s="64"/>
      <c r="AG76" s="69"/>
      <c r="AH76" s="126"/>
      <c r="AI76" s="127"/>
      <c r="AK76" s="38"/>
      <c r="AL76" s="83"/>
      <c r="AM76" s="158"/>
      <c r="AN76" s="174"/>
      <c r="AO76" s="38"/>
      <c r="AP76" s="35"/>
      <c r="AR76" s="54"/>
      <c r="AS76" s="64"/>
      <c r="AT76" s="69"/>
      <c r="AU76" s="126"/>
      <c r="AV76" s="127"/>
      <c r="AX76" s="38"/>
      <c r="AY76" s="83"/>
      <c r="AZ76" s="158"/>
      <c r="BA76" s="174"/>
      <c r="BB76" s="38"/>
      <c r="BC76" s="35"/>
      <c r="BE76" s="54"/>
      <c r="BF76" s="64"/>
      <c r="BG76" s="69"/>
      <c r="BH76" s="126"/>
      <c r="BI76" s="127"/>
      <c r="BK76" s="38"/>
      <c r="BL76" s="83"/>
      <c r="BM76" s="158"/>
      <c r="BN76" s="174"/>
      <c r="BO76">
        <f t="shared" si="3"/>
        <v>0</v>
      </c>
    </row>
    <row r="77" spans="1:67" x14ac:dyDescent="0.15">
      <c r="A77" s="5" t="s">
        <v>42</v>
      </c>
      <c r="B77" s="38"/>
      <c r="C77" s="35"/>
      <c r="E77" s="54"/>
      <c r="F77" s="64"/>
      <c r="G77" s="69"/>
      <c r="H77" s="126"/>
      <c r="I77" s="127"/>
      <c r="K77" s="38"/>
      <c r="L77" s="83"/>
      <c r="M77" s="158"/>
      <c r="N77" s="174"/>
      <c r="O77" s="38"/>
      <c r="P77" s="35"/>
      <c r="R77" s="54"/>
      <c r="S77" s="64"/>
      <c r="T77" s="69"/>
      <c r="U77" s="126"/>
      <c r="V77" s="127"/>
      <c r="X77" s="38"/>
      <c r="Y77" s="83"/>
      <c r="Z77" s="158"/>
      <c r="AA77" s="174"/>
      <c r="AB77" s="38"/>
      <c r="AC77" s="35"/>
      <c r="AE77" s="54"/>
      <c r="AF77" s="64"/>
      <c r="AG77" s="69"/>
      <c r="AH77" s="126"/>
      <c r="AI77" s="127"/>
      <c r="AK77" s="38"/>
      <c r="AL77" s="83"/>
      <c r="AM77" s="158"/>
      <c r="AN77" s="174"/>
      <c r="AO77" s="38"/>
      <c r="AP77" s="35"/>
      <c r="AR77" s="54"/>
      <c r="AS77" s="64"/>
      <c r="AT77" s="69"/>
      <c r="AU77" s="126"/>
      <c r="AV77" s="127"/>
      <c r="AX77" s="38"/>
      <c r="AY77" s="83"/>
      <c r="AZ77" s="158"/>
      <c r="BA77" s="174"/>
      <c r="BB77" s="38"/>
      <c r="BC77" s="35"/>
      <c r="BE77" s="54"/>
      <c r="BF77" s="64"/>
      <c r="BG77" s="69"/>
      <c r="BH77" s="126"/>
      <c r="BI77" s="127"/>
      <c r="BK77" s="38"/>
      <c r="BL77" s="83"/>
      <c r="BM77" s="158"/>
      <c r="BN77" s="174"/>
      <c r="BO77">
        <f t="shared" si="3"/>
        <v>0</v>
      </c>
    </row>
    <row r="78" spans="1:67" x14ac:dyDescent="0.15">
      <c r="A78" s="5" t="s">
        <v>205</v>
      </c>
      <c r="B78" s="38"/>
      <c r="C78" s="35"/>
      <c r="E78" s="54"/>
      <c r="F78" s="64"/>
      <c r="G78" s="69"/>
      <c r="H78" s="126"/>
      <c r="I78" s="127"/>
      <c r="K78" s="38"/>
      <c r="L78" s="83"/>
      <c r="M78" s="158"/>
      <c r="N78" s="174"/>
      <c r="O78" s="38"/>
      <c r="P78" s="35"/>
      <c r="R78" s="54"/>
      <c r="S78" s="64"/>
      <c r="T78" s="69"/>
      <c r="U78" s="126"/>
      <c r="V78" s="127"/>
      <c r="X78" s="38"/>
      <c r="Y78" s="83"/>
      <c r="Z78" s="158"/>
      <c r="AA78" s="174"/>
      <c r="AB78" s="38"/>
      <c r="AC78" s="35"/>
      <c r="AE78" s="54"/>
      <c r="AF78" s="64"/>
      <c r="AG78" s="69"/>
      <c r="AH78" s="126"/>
      <c r="AI78" s="127"/>
      <c r="AK78" s="38"/>
      <c r="AL78" s="83"/>
      <c r="AM78" s="158"/>
      <c r="AN78" s="174"/>
      <c r="AO78" s="38"/>
      <c r="AP78" s="35"/>
      <c r="AR78" s="54"/>
      <c r="AS78" s="64"/>
      <c r="AT78" s="69"/>
      <c r="AU78" s="126"/>
      <c r="AV78" s="127"/>
      <c r="AX78" s="38"/>
      <c r="AY78" s="83"/>
      <c r="AZ78" s="158"/>
      <c r="BA78" s="174"/>
      <c r="BB78" s="38"/>
      <c r="BC78" s="35"/>
      <c r="BE78" s="54"/>
      <c r="BF78" s="64"/>
      <c r="BG78" s="69"/>
      <c r="BH78" s="126"/>
      <c r="BI78" s="127"/>
      <c r="BK78" s="38"/>
      <c r="BL78" s="83"/>
      <c r="BM78" s="158"/>
      <c r="BN78" s="174"/>
      <c r="BO78">
        <f t="shared" si="3"/>
        <v>0</v>
      </c>
    </row>
    <row r="79" spans="1:67" x14ac:dyDescent="0.15">
      <c r="A79" s="2" t="s">
        <v>213</v>
      </c>
      <c r="B79" s="38"/>
      <c r="C79" s="35"/>
      <c r="E79" s="54"/>
      <c r="F79" s="64"/>
      <c r="G79" s="69"/>
      <c r="H79" s="126"/>
      <c r="I79" s="127"/>
      <c r="K79" s="38"/>
      <c r="L79" s="83"/>
      <c r="M79" s="158"/>
      <c r="N79" s="174"/>
      <c r="O79" s="38"/>
      <c r="P79" s="35"/>
      <c r="R79" s="54"/>
      <c r="S79" s="64"/>
      <c r="T79" s="69"/>
      <c r="U79" s="126"/>
      <c r="V79" s="127"/>
      <c r="X79" s="38"/>
      <c r="Y79" s="83"/>
      <c r="Z79" s="158"/>
      <c r="AA79" s="174"/>
      <c r="AB79" s="38"/>
      <c r="AC79" s="35"/>
      <c r="AE79" s="54"/>
      <c r="AF79" s="64"/>
      <c r="AG79" s="69"/>
      <c r="AH79" s="126"/>
      <c r="AI79" s="127"/>
      <c r="AK79" s="38"/>
      <c r="AL79" s="83"/>
      <c r="AM79" s="158"/>
      <c r="AN79" s="174"/>
      <c r="AO79" s="38"/>
      <c r="AP79" s="35"/>
      <c r="AR79" s="54"/>
      <c r="AS79" s="64"/>
      <c r="AT79" s="69"/>
      <c r="AU79" s="126"/>
      <c r="AV79" s="127"/>
      <c r="AX79" s="38"/>
      <c r="AY79" s="83"/>
      <c r="AZ79" s="158"/>
      <c r="BA79" s="174"/>
      <c r="BB79" s="38"/>
      <c r="BC79" s="35"/>
      <c r="BE79" s="54"/>
      <c r="BF79" s="64"/>
      <c r="BG79" s="69"/>
      <c r="BH79" s="126"/>
      <c r="BI79" s="127"/>
      <c r="BK79" s="38"/>
      <c r="BL79" s="83"/>
      <c r="BM79" s="158"/>
      <c r="BN79" s="174"/>
      <c r="BO79">
        <f t="shared" si="3"/>
        <v>0</v>
      </c>
    </row>
    <row r="80" spans="1:67" x14ac:dyDescent="0.15">
      <c r="A80" s="5" t="s">
        <v>96</v>
      </c>
      <c r="B80" s="38"/>
      <c r="C80" s="35"/>
      <c r="E80" s="54"/>
      <c r="F80" s="64"/>
      <c r="G80" s="69"/>
      <c r="H80" s="126"/>
      <c r="I80" s="127"/>
      <c r="K80" s="38"/>
      <c r="L80" s="83"/>
      <c r="M80" s="158"/>
      <c r="N80" s="174"/>
      <c r="O80" s="38"/>
      <c r="P80" s="35"/>
      <c r="R80" s="54"/>
      <c r="S80" s="64"/>
      <c r="T80" s="69"/>
      <c r="U80" s="126"/>
      <c r="V80" s="127"/>
      <c r="X80" s="38"/>
      <c r="Y80" s="83"/>
      <c r="Z80" s="158"/>
      <c r="AA80" s="174"/>
      <c r="AB80" s="38"/>
      <c r="AC80" s="35"/>
      <c r="AE80" s="54"/>
      <c r="AF80" s="64"/>
      <c r="AG80" s="69"/>
      <c r="AH80" s="126"/>
      <c r="AI80" s="127"/>
      <c r="AK80" s="38"/>
      <c r="AL80" s="83"/>
      <c r="AM80" s="158"/>
      <c r="AN80" s="174"/>
      <c r="AO80" s="38"/>
      <c r="AP80" s="35"/>
      <c r="AR80" s="54"/>
      <c r="AS80" s="64"/>
      <c r="AT80" s="69"/>
      <c r="AU80" s="126"/>
      <c r="AV80" s="127"/>
      <c r="AX80" s="38"/>
      <c r="AY80" s="83"/>
      <c r="AZ80" s="158"/>
      <c r="BA80" s="174"/>
      <c r="BB80" s="38"/>
      <c r="BC80" s="35"/>
      <c r="BE80" s="54"/>
      <c r="BF80" s="64"/>
      <c r="BG80" s="69"/>
      <c r="BH80" s="126"/>
      <c r="BI80" s="127"/>
      <c r="BK80" s="38"/>
      <c r="BL80" s="83"/>
      <c r="BM80" s="158"/>
      <c r="BN80" s="174"/>
      <c r="BO80">
        <f t="shared" si="3"/>
        <v>0</v>
      </c>
    </row>
    <row r="81" spans="1:67" x14ac:dyDescent="0.15">
      <c r="A81" s="2" t="s">
        <v>175</v>
      </c>
      <c r="B81" s="38"/>
      <c r="C81" s="35"/>
      <c r="E81" s="54"/>
      <c r="F81" s="64"/>
      <c r="G81" s="69"/>
      <c r="H81" s="126"/>
      <c r="I81" s="127"/>
      <c r="K81" s="38"/>
      <c r="L81" s="83"/>
      <c r="M81" s="158"/>
      <c r="N81" s="174"/>
      <c r="O81" s="38"/>
      <c r="P81" s="35"/>
      <c r="R81" s="54"/>
      <c r="S81" s="64"/>
      <c r="T81" s="69"/>
      <c r="U81" s="126"/>
      <c r="V81" s="127"/>
      <c r="X81" s="38"/>
      <c r="Y81" s="83"/>
      <c r="Z81" s="158"/>
      <c r="AA81" s="174"/>
      <c r="AB81" s="38"/>
      <c r="AC81" s="35"/>
      <c r="AE81" s="54"/>
      <c r="AF81" s="64"/>
      <c r="AG81" s="69"/>
      <c r="AH81" s="126"/>
      <c r="AI81" s="127"/>
      <c r="AK81" s="38"/>
      <c r="AL81" s="83"/>
      <c r="AM81" s="158"/>
      <c r="AN81" s="174"/>
      <c r="AO81" s="38"/>
      <c r="AP81" s="35"/>
      <c r="AR81" s="54"/>
      <c r="AS81" s="64"/>
      <c r="AT81" s="69"/>
      <c r="AU81" s="126"/>
      <c r="AV81" s="127"/>
      <c r="AX81" s="38"/>
      <c r="AY81" s="83"/>
      <c r="AZ81" s="158"/>
      <c r="BA81" s="174"/>
      <c r="BB81" s="38"/>
      <c r="BC81" s="35"/>
      <c r="BE81" s="54"/>
      <c r="BF81" s="64"/>
      <c r="BG81" s="69"/>
      <c r="BH81" s="126"/>
      <c r="BI81" s="127"/>
      <c r="BK81" s="38"/>
      <c r="BL81" s="83"/>
      <c r="BM81" s="158"/>
      <c r="BN81" s="174"/>
      <c r="BO81">
        <f t="shared" si="3"/>
        <v>0</v>
      </c>
    </row>
    <row r="82" spans="1:67" x14ac:dyDescent="0.15">
      <c r="A82" s="2" t="s">
        <v>24</v>
      </c>
      <c r="B82" s="38"/>
      <c r="C82" s="35"/>
      <c r="E82" s="54"/>
      <c r="F82" s="64"/>
      <c r="G82" s="69"/>
      <c r="H82" s="126"/>
      <c r="I82" s="127"/>
      <c r="K82" s="38"/>
      <c r="L82" s="83"/>
      <c r="M82" s="158"/>
      <c r="N82" s="174"/>
      <c r="O82" s="38"/>
      <c r="P82" s="35"/>
      <c r="R82" s="54"/>
      <c r="S82" s="64"/>
      <c r="T82" s="69"/>
      <c r="U82" s="126"/>
      <c r="V82" s="127"/>
      <c r="X82" s="38">
        <v>1</v>
      </c>
      <c r="Y82" s="83"/>
      <c r="Z82" s="158"/>
      <c r="AA82" s="174"/>
      <c r="AB82" s="38"/>
      <c r="AC82" s="35"/>
      <c r="AE82" s="54"/>
      <c r="AF82" s="64"/>
      <c r="AG82" s="69"/>
      <c r="AH82" s="126"/>
      <c r="AI82" s="127"/>
      <c r="AK82" s="38"/>
      <c r="AL82" s="83"/>
      <c r="AM82" s="158"/>
      <c r="AN82" s="174"/>
      <c r="AO82" s="38"/>
      <c r="AP82" s="35"/>
      <c r="AR82" s="54"/>
      <c r="AS82" s="64"/>
      <c r="AT82" s="69"/>
      <c r="AU82" s="126"/>
      <c r="AV82" s="127"/>
      <c r="AX82" s="38"/>
      <c r="AY82" s="83"/>
      <c r="AZ82" s="158"/>
      <c r="BA82" s="174"/>
      <c r="BB82" s="38"/>
      <c r="BC82" s="35"/>
      <c r="BE82" s="54"/>
      <c r="BF82" s="64"/>
      <c r="BG82" s="69"/>
      <c r="BH82" s="126"/>
      <c r="BI82" s="127"/>
      <c r="BK82" s="38"/>
      <c r="BL82" s="83"/>
      <c r="BM82" s="158"/>
      <c r="BN82" s="174"/>
      <c r="BO82">
        <f t="shared" si="3"/>
        <v>1</v>
      </c>
    </row>
    <row r="83" spans="1:67" x14ac:dyDescent="0.15">
      <c r="A83" s="2" t="s">
        <v>189</v>
      </c>
      <c r="B83" s="38"/>
      <c r="C83" s="35"/>
      <c r="E83" s="54"/>
      <c r="F83" s="64"/>
      <c r="G83" s="69"/>
      <c r="H83" s="126"/>
      <c r="I83" s="127"/>
      <c r="K83" s="38"/>
      <c r="L83" s="83"/>
      <c r="M83" s="158"/>
      <c r="N83" s="174"/>
      <c r="O83" s="38"/>
      <c r="P83" s="35">
        <v>1</v>
      </c>
      <c r="R83" s="54">
        <v>1</v>
      </c>
      <c r="S83" s="64">
        <v>1</v>
      </c>
      <c r="T83" s="69">
        <v>1</v>
      </c>
      <c r="U83" s="126">
        <v>1</v>
      </c>
      <c r="V83" s="127">
        <v>2</v>
      </c>
      <c r="W83" s="4">
        <v>2</v>
      </c>
      <c r="X83" s="38">
        <v>1</v>
      </c>
      <c r="Y83" s="83">
        <v>1</v>
      </c>
      <c r="Z83" s="158">
        <v>1</v>
      </c>
      <c r="AA83" s="174">
        <v>1</v>
      </c>
      <c r="AB83" s="38"/>
      <c r="AC83" s="35">
        <v>1</v>
      </c>
      <c r="AE83" s="54">
        <v>1</v>
      </c>
      <c r="AF83" s="64">
        <v>1</v>
      </c>
      <c r="AG83" s="69">
        <v>1</v>
      </c>
      <c r="AH83" s="126">
        <v>1</v>
      </c>
      <c r="AI83" s="127">
        <v>1</v>
      </c>
      <c r="AJ83" s="4">
        <v>1</v>
      </c>
      <c r="AK83" s="38">
        <v>1</v>
      </c>
      <c r="AL83" s="83">
        <v>1</v>
      </c>
      <c r="AM83" s="158">
        <v>1</v>
      </c>
      <c r="AN83" s="174">
        <v>1</v>
      </c>
      <c r="AO83" s="38"/>
      <c r="AP83" s="35"/>
      <c r="AR83" s="54"/>
      <c r="AS83" s="64"/>
      <c r="AT83" s="69"/>
      <c r="AU83" s="126"/>
      <c r="AV83" s="127"/>
      <c r="AX83" s="38"/>
      <c r="AY83" s="83"/>
      <c r="AZ83" s="158"/>
      <c r="BA83" s="174"/>
      <c r="BB83" s="38"/>
      <c r="BC83" s="35"/>
      <c r="BE83" s="54"/>
      <c r="BF83" s="64"/>
      <c r="BG83" s="69"/>
      <c r="BH83" s="126"/>
      <c r="BI83" s="127"/>
      <c r="BK83" s="38"/>
      <c r="BL83" s="83"/>
      <c r="BM83" s="158"/>
      <c r="BN83" s="174"/>
      <c r="BO83">
        <f t="shared" si="3"/>
        <v>22</v>
      </c>
    </row>
    <row r="84" spans="1:67" x14ac:dyDescent="0.15">
      <c r="A84" s="5" t="s">
        <v>202</v>
      </c>
      <c r="B84" s="38"/>
      <c r="C84" s="35"/>
      <c r="E84" s="54"/>
      <c r="F84" s="64"/>
      <c r="G84" s="69"/>
      <c r="H84" s="126"/>
      <c r="I84" s="127"/>
      <c r="K84" s="38"/>
      <c r="L84" s="83"/>
      <c r="M84" s="158"/>
      <c r="N84" s="174"/>
      <c r="O84" s="38"/>
      <c r="P84" s="35"/>
      <c r="R84" s="54"/>
      <c r="S84" s="64"/>
      <c r="T84" s="69"/>
      <c r="U84" s="126"/>
      <c r="V84" s="127"/>
      <c r="X84" s="38"/>
      <c r="Y84" s="83"/>
      <c r="Z84" s="158"/>
      <c r="AA84" s="174"/>
      <c r="AB84" s="38"/>
      <c r="AC84" s="35"/>
      <c r="AE84" s="54"/>
      <c r="AF84" s="64"/>
      <c r="AG84" s="69"/>
      <c r="AH84" s="126"/>
      <c r="AI84" s="127"/>
      <c r="AK84" s="38"/>
      <c r="AL84" s="83"/>
      <c r="AM84" s="158"/>
      <c r="AN84" s="174"/>
      <c r="AO84" s="38"/>
      <c r="AP84" s="35"/>
      <c r="AR84" s="54"/>
      <c r="AS84" s="64"/>
      <c r="AT84" s="69"/>
      <c r="AU84" s="126"/>
      <c r="AV84" s="127"/>
      <c r="AX84" s="38"/>
      <c r="AY84" s="83"/>
      <c r="AZ84" s="158"/>
      <c r="BA84" s="174"/>
      <c r="BB84" s="38"/>
      <c r="BC84" s="35"/>
      <c r="BE84" s="54"/>
      <c r="BF84" s="64"/>
      <c r="BG84" s="69"/>
      <c r="BH84" s="126"/>
      <c r="BI84" s="127"/>
      <c r="BK84" s="38"/>
      <c r="BL84" s="83"/>
      <c r="BM84" s="158"/>
      <c r="BN84" s="174"/>
      <c r="BO84">
        <f t="shared" si="3"/>
        <v>0</v>
      </c>
    </row>
    <row r="85" spans="1:67" x14ac:dyDescent="0.15">
      <c r="A85" t="s">
        <v>8</v>
      </c>
    </row>
    <row r="87" spans="1:67" x14ac:dyDescent="0.15">
      <c r="A87">
        <f>COUNTA(A6:A83)</f>
        <v>78</v>
      </c>
    </row>
    <row r="96" spans="1:67" x14ac:dyDescent="0.15">
      <c r="A96" s="3" t="s">
        <v>56</v>
      </c>
      <c r="B96" s="38"/>
      <c r="C96" s="35"/>
      <c r="E96" s="54"/>
      <c r="F96" s="64"/>
      <c r="G96" s="69"/>
      <c r="H96" s="72"/>
      <c r="I96" s="127"/>
      <c r="K96" s="38"/>
      <c r="L96" s="83"/>
      <c r="M96" s="83"/>
      <c r="N96" s="83"/>
      <c r="O96" s="38"/>
      <c r="P96" s="35"/>
      <c r="R96" s="54"/>
      <c r="S96" s="64"/>
      <c r="T96" s="69"/>
      <c r="U96" s="126"/>
      <c r="V96" s="127"/>
      <c r="X96" s="38"/>
      <c r="Y96" s="83"/>
      <c r="Z96" s="83"/>
      <c r="AA96" s="83"/>
      <c r="AB96" s="38"/>
      <c r="AC96" s="35"/>
      <c r="AE96" s="54"/>
      <c r="AF96" s="64"/>
      <c r="AG96" s="69"/>
      <c r="AH96" s="126"/>
      <c r="AI96" s="127"/>
      <c r="AK96" s="38"/>
      <c r="AL96" s="83"/>
      <c r="AM96" s="83"/>
      <c r="AN96" s="83"/>
      <c r="AO96" s="38"/>
      <c r="AP96" s="35"/>
      <c r="AR96" s="54"/>
      <c r="AS96" s="64"/>
      <c r="AT96" s="69"/>
      <c r="AU96" s="126"/>
      <c r="AV96" s="127"/>
      <c r="AX96" s="38"/>
      <c r="AY96" s="83"/>
      <c r="AZ96" s="83"/>
      <c r="BA96" s="83"/>
      <c r="BB96" s="38"/>
      <c r="BC96" s="35"/>
      <c r="BE96" s="54"/>
      <c r="BF96" s="64"/>
      <c r="BG96" s="69"/>
      <c r="BH96" s="126"/>
      <c r="BI96" s="127"/>
      <c r="BK96" s="38"/>
      <c r="BL96" s="83"/>
      <c r="BM96" s="83"/>
      <c r="BN96" s="83"/>
    </row>
    <row r="97" spans="1:66" x14ac:dyDescent="0.15">
      <c r="A97" s="5" t="s">
        <v>185</v>
      </c>
      <c r="B97" s="38"/>
      <c r="C97" s="35"/>
      <c r="E97" s="54"/>
      <c r="F97" s="64"/>
      <c r="G97" s="69"/>
      <c r="H97" s="72"/>
      <c r="I97" s="127"/>
      <c r="K97" s="38"/>
      <c r="L97" s="83"/>
      <c r="M97" s="83"/>
      <c r="N97" s="83"/>
      <c r="O97" s="38"/>
      <c r="P97" s="35"/>
      <c r="R97" s="54"/>
      <c r="S97" s="64"/>
      <c r="T97" s="69"/>
      <c r="U97" s="126"/>
      <c r="V97" s="127"/>
      <c r="X97" s="38"/>
      <c r="Y97" s="83"/>
      <c r="Z97" s="83"/>
      <c r="AA97" s="83"/>
      <c r="AB97" s="38"/>
      <c r="AC97" s="35"/>
      <c r="AE97" s="54"/>
      <c r="AF97" s="64"/>
      <c r="AG97" s="69"/>
      <c r="AH97" s="126"/>
      <c r="AI97" s="127"/>
      <c r="AK97" s="38"/>
      <c r="AL97" s="83"/>
      <c r="AM97" s="83"/>
      <c r="AN97" s="83"/>
      <c r="AO97" s="38"/>
      <c r="AP97" s="35"/>
      <c r="AR97" s="54"/>
      <c r="AS97" s="64"/>
      <c r="AT97" s="69"/>
      <c r="AU97" s="126"/>
      <c r="AV97" s="127"/>
      <c r="AX97" s="38"/>
      <c r="AY97" s="83"/>
      <c r="AZ97" s="83"/>
      <c r="BA97" s="83"/>
      <c r="BB97" s="38"/>
      <c r="BC97" s="35"/>
      <c r="BE97" s="54"/>
      <c r="BF97" s="64"/>
      <c r="BG97" s="69"/>
      <c r="BH97" s="126"/>
      <c r="BI97" s="127"/>
      <c r="BK97" s="38"/>
      <c r="BL97" s="83"/>
      <c r="BM97" s="83"/>
      <c r="BN97" s="83"/>
    </row>
    <row r="98" spans="1:66" x14ac:dyDescent="0.15">
      <c r="A98" s="7" t="s">
        <v>47</v>
      </c>
      <c r="B98" s="38"/>
      <c r="C98" s="35"/>
      <c r="E98" s="54"/>
      <c r="F98" s="64"/>
      <c r="G98" s="69"/>
      <c r="H98" s="72"/>
      <c r="I98" s="127"/>
      <c r="K98" s="38"/>
      <c r="L98" s="83"/>
      <c r="M98" s="83"/>
      <c r="N98" s="83"/>
      <c r="O98" s="38"/>
      <c r="P98" s="35"/>
      <c r="R98" s="54"/>
      <c r="S98" s="64"/>
      <c r="T98" s="69"/>
      <c r="U98" s="126"/>
      <c r="V98" s="127"/>
      <c r="X98" s="38"/>
      <c r="Y98" s="83"/>
      <c r="Z98" s="83"/>
      <c r="AA98" s="83"/>
      <c r="AB98" s="38"/>
      <c r="AC98" s="35"/>
      <c r="AE98" s="54"/>
      <c r="AF98" s="64"/>
      <c r="AG98" s="69"/>
      <c r="AH98" s="126"/>
      <c r="AI98" s="127"/>
      <c r="AK98" s="38"/>
      <c r="AL98" s="83"/>
      <c r="AM98" s="83"/>
      <c r="AN98" s="83"/>
      <c r="AO98" s="38"/>
      <c r="AP98" s="35"/>
      <c r="AR98" s="54"/>
      <c r="AS98" s="64"/>
      <c r="AT98" s="69"/>
      <c r="AU98" s="126"/>
      <c r="AV98" s="127"/>
      <c r="AX98" s="38"/>
      <c r="AY98" s="83"/>
      <c r="AZ98" s="83"/>
      <c r="BA98" s="83"/>
      <c r="BB98" s="38"/>
      <c r="BC98" s="35"/>
      <c r="BE98" s="54"/>
      <c r="BF98" s="64"/>
      <c r="BG98" s="69"/>
      <c r="BH98" s="126"/>
      <c r="BI98" s="127"/>
      <c r="BK98" s="38"/>
      <c r="BL98" s="83"/>
      <c r="BM98" s="83"/>
      <c r="BN98" s="83"/>
    </row>
    <row r="99" spans="1:66" x14ac:dyDescent="0.15">
      <c r="A99" s="39" t="s">
        <v>29</v>
      </c>
      <c r="B99" s="38"/>
      <c r="C99" s="35"/>
      <c r="E99" s="54"/>
      <c r="F99" s="64"/>
      <c r="G99" s="69"/>
      <c r="H99" s="72"/>
      <c r="I99" s="127"/>
      <c r="K99" s="38"/>
      <c r="L99" s="83"/>
      <c r="M99" s="83"/>
      <c r="N99" s="83"/>
      <c r="O99" s="38"/>
      <c r="P99" s="35"/>
      <c r="R99" s="54"/>
      <c r="S99" s="64"/>
      <c r="T99" s="69"/>
      <c r="U99" s="126"/>
      <c r="V99" s="127"/>
      <c r="X99" s="38"/>
      <c r="Y99" s="83"/>
      <c r="Z99" s="83"/>
      <c r="AA99" s="83"/>
      <c r="AB99" s="38"/>
      <c r="AC99" s="35"/>
      <c r="AE99" s="54"/>
      <c r="AF99" s="64"/>
      <c r="AG99" s="69"/>
      <c r="AH99" s="126"/>
      <c r="AI99" s="127"/>
      <c r="AK99" s="38"/>
      <c r="AL99" s="83"/>
      <c r="AM99" s="83"/>
      <c r="AN99" s="83"/>
      <c r="AO99" s="38"/>
      <c r="AP99" s="35"/>
      <c r="AR99" s="54"/>
      <c r="AS99" s="64"/>
      <c r="AT99" s="69"/>
      <c r="AU99" s="126"/>
      <c r="AV99" s="127"/>
      <c r="AX99" s="38"/>
      <c r="AY99" s="83"/>
      <c r="AZ99" s="83"/>
      <c r="BA99" s="83"/>
      <c r="BB99" s="38"/>
      <c r="BC99" s="35"/>
      <c r="BE99" s="54"/>
      <c r="BF99" s="64"/>
      <c r="BG99" s="69"/>
      <c r="BH99" s="126"/>
      <c r="BI99" s="127"/>
      <c r="BK99" s="38"/>
      <c r="BL99" s="83"/>
      <c r="BM99" s="83"/>
      <c r="BN99" s="83"/>
    </row>
    <row r="100" spans="1:66" x14ac:dyDescent="0.15">
      <c r="A100" s="5" t="s">
        <v>48</v>
      </c>
      <c r="B100" s="38"/>
      <c r="C100" s="35"/>
      <c r="E100" s="54"/>
      <c r="F100" s="64"/>
      <c r="G100" s="69"/>
      <c r="H100" s="72"/>
      <c r="I100" s="127"/>
      <c r="K100" s="38"/>
      <c r="L100" s="83"/>
      <c r="M100" s="83"/>
      <c r="N100" s="83"/>
      <c r="O100" s="38"/>
      <c r="P100" s="35"/>
      <c r="R100" s="54"/>
      <c r="S100" s="64"/>
      <c r="T100" s="69"/>
      <c r="U100" s="126"/>
      <c r="V100" s="127"/>
      <c r="X100" s="38"/>
      <c r="Y100" s="83"/>
      <c r="Z100" s="83"/>
      <c r="AA100" s="83"/>
      <c r="AB100" s="38"/>
      <c r="AC100" s="35"/>
      <c r="AE100" s="54"/>
      <c r="AF100" s="64"/>
      <c r="AG100" s="69"/>
      <c r="AH100" s="126"/>
      <c r="AI100" s="127"/>
      <c r="AK100" s="38"/>
      <c r="AL100" s="83"/>
      <c r="AM100" s="83"/>
      <c r="AN100" s="83"/>
      <c r="AO100" s="38"/>
      <c r="AP100" s="35"/>
      <c r="AR100" s="54"/>
      <c r="AS100" s="64"/>
      <c r="AT100" s="69"/>
      <c r="AU100" s="126"/>
      <c r="AV100" s="127"/>
      <c r="AX100" s="38"/>
      <c r="AY100" s="83"/>
      <c r="AZ100" s="83"/>
      <c r="BA100" s="83"/>
      <c r="BB100" s="38"/>
      <c r="BC100" s="35"/>
      <c r="BE100" s="54"/>
      <c r="BF100" s="64"/>
      <c r="BG100" s="69"/>
      <c r="BH100" s="126"/>
      <c r="BI100" s="127"/>
      <c r="BK100" s="38"/>
      <c r="BL100" s="83"/>
      <c r="BM100" s="83"/>
      <c r="BN100" s="83"/>
    </row>
    <row r="101" spans="1:66" x14ac:dyDescent="0.15">
      <c r="A101" s="5" t="s">
        <v>106</v>
      </c>
      <c r="B101" s="38"/>
      <c r="C101" s="35"/>
      <c r="E101" s="54"/>
      <c r="F101" s="64"/>
      <c r="G101" s="69"/>
      <c r="H101" s="72"/>
      <c r="I101" s="127"/>
      <c r="K101" s="38"/>
      <c r="L101" s="83"/>
      <c r="M101" s="83"/>
      <c r="N101" s="83"/>
      <c r="O101" s="38"/>
      <c r="P101" s="35"/>
      <c r="R101" s="54"/>
      <c r="S101" s="64"/>
      <c r="T101" s="69"/>
      <c r="U101" s="126"/>
      <c r="V101" s="127"/>
      <c r="X101" s="38"/>
      <c r="Y101" s="83"/>
      <c r="Z101" s="83"/>
      <c r="AA101" s="83"/>
      <c r="AB101" s="38"/>
      <c r="AC101" s="35"/>
      <c r="AE101" s="54"/>
      <c r="AF101" s="64"/>
      <c r="AG101" s="69"/>
      <c r="AH101" s="126"/>
      <c r="AI101" s="127"/>
      <c r="AK101" s="38"/>
      <c r="AL101" s="83"/>
      <c r="AM101" s="83"/>
      <c r="AN101" s="83"/>
      <c r="AO101" s="38"/>
      <c r="AP101" s="35"/>
      <c r="AR101" s="54"/>
      <c r="AS101" s="64"/>
      <c r="AT101" s="69"/>
      <c r="AU101" s="126"/>
      <c r="AV101" s="127"/>
      <c r="AX101" s="38"/>
      <c r="AY101" s="83"/>
      <c r="AZ101" s="83"/>
      <c r="BA101" s="83"/>
      <c r="BB101" s="38"/>
      <c r="BC101" s="35"/>
      <c r="BE101" s="54"/>
      <c r="BF101" s="64"/>
      <c r="BG101" s="69"/>
      <c r="BH101" s="126"/>
      <c r="BI101" s="127"/>
      <c r="BK101" s="38"/>
      <c r="BL101" s="83"/>
      <c r="BM101" s="83"/>
      <c r="BN101" s="83"/>
    </row>
    <row r="102" spans="1:66" x14ac:dyDescent="0.15">
      <c r="A102" s="7" t="s">
        <v>186</v>
      </c>
      <c r="B102" s="38"/>
      <c r="C102" s="35"/>
      <c r="E102" s="54"/>
      <c r="F102" s="64"/>
      <c r="G102" s="69"/>
      <c r="H102" s="72"/>
      <c r="I102" s="127"/>
      <c r="K102" s="38"/>
      <c r="L102" s="83"/>
      <c r="M102" s="83"/>
      <c r="N102" s="83"/>
      <c r="O102" s="38"/>
      <c r="P102" s="35"/>
      <c r="R102" s="54"/>
      <c r="S102" s="64"/>
      <c r="T102" s="69"/>
      <c r="U102" s="126"/>
      <c r="V102" s="127"/>
      <c r="X102" s="38"/>
      <c r="Y102" s="83"/>
      <c r="Z102" s="83"/>
      <c r="AA102" s="83"/>
      <c r="AB102" s="38"/>
      <c r="AC102" s="35"/>
      <c r="AE102" s="54"/>
      <c r="AF102" s="64"/>
      <c r="AG102" s="69"/>
      <c r="AH102" s="126"/>
      <c r="AI102" s="127"/>
      <c r="AK102" s="38"/>
      <c r="AL102" s="83"/>
      <c r="AM102" s="83"/>
      <c r="AN102" s="83"/>
      <c r="AO102" s="38"/>
      <c r="AP102" s="35"/>
      <c r="AR102" s="54"/>
      <c r="AS102" s="64"/>
      <c r="AT102" s="69"/>
      <c r="AU102" s="126"/>
      <c r="AV102" s="127"/>
      <c r="AX102" s="38"/>
      <c r="AY102" s="83"/>
      <c r="AZ102" s="83"/>
      <c r="BA102" s="83"/>
      <c r="BB102" s="38"/>
      <c r="BC102" s="35"/>
      <c r="BE102" s="54"/>
      <c r="BF102" s="64"/>
      <c r="BG102" s="69"/>
      <c r="BH102" s="126"/>
      <c r="BI102" s="127"/>
      <c r="BK102" s="38"/>
      <c r="BL102" s="83"/>
      <c r="BM102" s="83"/>
      <c r="BN102" s="83"/>
    </row>
    <row r="103" spans="1:66" x14ac:dyDescent="0.15">
      <c r="A103" s="36" t="s">
        <v>94</v>
      </c>
      <c r="B103" s="38"/>
      <c r="C103" s="35"/>
      <c r="E103" s="54"/>
      <c r="F103" s="64"/>
      <c r="G103" s="69"/>
      <c r="H103" s="72"/>
      <c r="I103" s="127"/>
      <c r="K103" s="38"/>
      <c r="L103" s="83"/>
      <c r="M103" s="83"/>
      <c r="N103" s="83"/>
      <c r="O103" s="38"/>
      <c r="P103" s="35">
        <v>1</v>
      </c>
      <c r="R103" s="54"/>
      <c r="S103" s="64"/>
      <c r="T103" s="69"/>
      <c r="U103" s="126"/>
      <c r="V103" s="127"/>
      <c r="X103" s="38"/>
      <c r="Y103" s="83"/>
      <c r="Z103" s="83"/>
      <c r="AA103" s="83"/>
      <c r="AB103" s="38"/>
      <c r="AC103" s="35"/>
      <c r="AE103" s="54"/>
      <c r="AF103" s="64"/>
      <c r="AG103" s="69"/>
      <c r="AH103" s="126"/>
      <c r="AI103" s="127"/>
      <c r="AK103" s="38"/>
      <c r="AL103" s="83"/>
      <c r="AM103" s="83"/>
      <c r="AN103" s="83"/>
      <c r="AO103" s="38"/>
      <c r="AP103" s="35"/>
      <c r="AR103" s="54"/>
      <c r="AS103" s="64"/>
      <c r="AT103" s="69"/>
      <c r="AU103" s="126"/>
      <c r="AV103" s="127"/>
      <c r="AX103" s="38"/>
      <c r="AY103" s="83"/>
      <c r="AZ103" s="83"/>
      <c r="BA103" s="83"/>
      <c r="BB103" s="38"/>
      <c r="BC103" s="35"/>
      <c r="BE103" s="54"/>
      <c r="BF103" s="64"/>
      <c r="BG103" s="69"/>
      <c r="BH103" s="126"/>
      <c r="BI103" s="127"/>
      <c r="BK103" s="38"/>
      <c r="BL103" s="83"/>
      <c r="BM103" s="83"/>
      <c r="BN103" s="83"/>
    </row>
    <row r="104" spans="1:66" x14ac:dyDescent="0.15">
      <c r="A104" s="40" t="s">
        <v>91</v>
      </c>
      <c r="B104" s="38"/>
      <c r="C104" s="35"/>
      <c r="E104" s="54"/>
      <c r="F104" s="64"/>
      <c r="G104" s="69"/>
      <c r="H104" s="72"/>
      <c r="I104" s="127"/>
      <c r="K104" s="38"/>
      <c r="L104" s="83"/>
      <c r="M104" s="83"/>
      <c r="N104" s="83"/>
      <c r="O104" s="38"/>
      <c r="P104" s="35"/>
      <c r="R104" s="54"/>
      <c r="S104" s="64"/>
      <c r="T104" s="69"/>
      <c r="U104" s="126"/>
      <c r="V104" s="127"/>
      <c r="X104" s="38"/>
      <c r="Y104" s="83"/>
      <c r="Z104" s="83"/>
      <c r="AA104" s="83"/>
      <c r="AB104" s="38"/>
      <c r="AC104" s="35"/>
      <c r="AE104" s="54"/>
      <c r="AF104" s="64"/>
      <c r="AG104" s="69"/>
      <c r="AH104" s="126"/>
      <c r="AI104" s="127"/>
      <c r="AK104" s="38"/>
      <c r="AL104" s="83"/>
      <c r="AM104" s="83"/>
      <c r="AN104" s="83"/>
      <c r="AO104" s="38"/>
      <c r="AP104" s="35"/>
      <c r="AR104" s="54"/>
      <c r="AS104" s="64"/>
      <c r="AT104" s="69"/>
      <c r="AU104" s="126"/>
      <c r="AV104" s="127"/>
      <c r="AX104" s="38"/>
      <c r="AY104" s="83"/>
      <c r="AZ104" s="83"/>
      <c r="BA104" s="83"/>
      <c r="BB104" s="38"/>
      <c r="BC104" s="35"/>
      <c r="BE104" s="54"/>
      <c r="BF104" s="64"/>
      <c r="BG104" s="69"/>
      <c r="BH104" s="126"/>
      <c r="BI104" s="127"/>
      <c r="BK104" s="38"/>
      <c r="BL104" s="83"/>
      <c r="BM104" s="83"/>
      <c r="BN104" s="83"/>
    </row>
    <row r="105" spans="1:66" x14ac:dyDescent="0.15">
      <c r="A105" s="39" t="s">
        <v>69</v>
      </c>
      <c r="B105" s="38"/>
      <c r="C105" s="35"/>
      <c r="E105" s="54"/>
      <c r="F105" s="64"/>
      <c r="G105" s="69"/>
      <c r="H105" s="72"/>
      <c r="I105" s="127"/>
      <c r="K105" s="38"/>
      <c r="L105" s="83"/>
      <c r="M105" s="83"/>
      <c r="N105" s="83"/>
      <c r="O105" s="38"/>
      <c r="P105" s="35"/>
      <c r="R105" s="54"/>
      <c r="S105" s="64"/>
      <c r="T105" s="69"/>
      <c r="U105" s="126"/>
      <c r="V105" s="127"/>
      <c r="X105" s="38"/>
      <c r="Y105" s="83"/>
      <c r="Z105" s="83"/>
      <c r="AA105" s="83"/>
      <c r="AB105" s="38"/>
      <c r="AC105" s="35"/>
      <c r="AE105" s="54"/>
      <c r="AF105" s="64"/>
      <c r="AG105" s="69"/>
      <c r="AH105" s="126"/>
      <c r="AI105" s="127"/>
      <c r="AK105" s="38"/>
      <c r="AL105" s="83"/>
      <c r="AM105" s="83"/>
      <c r="AN105" s="83"/>
      <c r="AO105" s="38"/>
      <c r="AP105" s="35"/>
      <c r="AR105" s="54"/>
      <c r="AS105" s="64"/>
      <c r="AT105" s="69"/>
      <c r="AU105" s="126"/>
      <c r="AV105" s="127"/>
      <c r="AX105" s="38"/>
      <c r="AY105" s="83"/>
      <c r="AZ105" s="83"/>
      <c r="BA105" s="83"/>
      <c r="BB105" s="38"/>
      <c r="BC105" s="35"/>
      <c r="BE105" s="54"/>
      <c r="BF105" s="64"/>
      <c r="BG105" s="69"/>
      <c r="BH105" s="126"/>
      <c r="BI105" s="127"/>
      <c r="BK105" s="38"/>
      <c r="BL105" s="83"/>
      <c r="BM105" s="83"/>
      <c r="BN105" s="83"/>
    </row>
    <row r="106" spans="1:66" x14ac:dyDescent="0.15">
      <c r="A106" s="39" t="s">
        <v>67</v>
      </c>
      <c r="B106" s="38"/>
      <c r="C106" s="35"/>
      <c r="E106" s="54"/>
      <c r="F106" s="64"/>
      <c r="G106" s="69"/>
      <c r="H106" s="72"/>
      <c r="I106" s="127"/>
      <c r="K106" s="38"/>
      <c r="L106" s="83"/>
      <c r="M106" s="83"/>
      <c r="N106" s="83"/>
      <c r="O106" s="38"/>
      <c r="P106" s="35"/>
      <c r="R106" s="54"/>
      <c r="S106" s="64"/>
      <c r="T106" s="69"/>
      <c r="U106" s="126"/>
      <c r="V106" s="127"/>
      <c r="X106" s="38"/>
      <c r="Y106" s="83"/>
      <c r="Z106" s="83"/>
      <c r="AA106" s="83"/>
      <c r="AB106" s="38"/>
      <c r="AC106" s="35"/>
      <c r="AE106" s="54"/>
      <c r="AF106" s="64"/>
      <c r="AG106" s="69"/>
      <c r="AH106" s="126"/>
      <c r="AI106" s="127"/>
      <c r="AK106" s="38"/>
      <c r="AL106" s="83"/>
      <c r="AM106" s="83"/>
      <c r="AN106" s="83"/>
      <c r="AO106" s="38"/>
      <c r="AP106" s="35"/>
      <c r="AR106" s="54"/>
      <c r="AS106" s="64"/>
      <c r="AT106" s="69"/>
      <c r="AU106" s="126"/>
      <c r="AV106" s="127"/>
      <c r="AX106" s="38"/>
      <c r="AY106" s="83"/>
      <c r="AZ106" s="83"/>
      <c r="BA106" s="83"/>
      <c r="BB106" s="38"/>
      <c r="BC106" s="35"/>
      <c r="BE106" s="54"/>
      <c r="BF106" s="64"/>
      <c r="BG106" s="69"/>
      <c r="BH106" s="126"/>
      <c r="BI106" s="127"/>
      <c r="BK106" s="38"/>
      <c r="BL106" s="83"/>
      <c r="BM106" s="83"/>
      <c r="BN106" s="83"/>
    </row>
    <row r="107" spans="1:66" x14ac:dyDescent="0.15">
      <c r="A107" s="41" t="s">
        <v>66</v>
      </c>
      <c r="B107" s="38"/>
      <c r="C107" s="35"/>
      <c r="E107" s="54"/>
      <c r="F107" s="64"/>
      <c r="G107" s="69"/>
      <c r="H107" s="72"/>
      <c r="I107" s="127"/>
      <c r="K107" s="38"/>
      <c r="L107" s="83"/>
      <c r="M107" s="83"/>
      <c r="N107" s="83"/>
      <c r="O107" s="38"/>
      <c r="P107" s="35"/>
      <c r="R107" s="54"/>
      <c r="S107" s="64"/>
      <c r="T107" s="69"/>
      <c r="U107" s="126"/>
      <c r="V107" s="127"/>
      <c r="X107" s="38"/>
      <c r="Y107" s="83"/>
      <c r="Z107" s="83"/>
      <c r="AA107" s="83"/>
      <c r="AB107" s="38"/>
      <c r="AC107" s="35"/>
      <c r="AE107" s="54"/>
      <c r="AF107" s="64"/>
      <c r="AG107" s="69"/>
      <c r="AH107" s="126"/>
      <c r="AI107" s="127"/>
      <c r="AK107" s="38"/>
      <c r="AL107" s="83"/>
      <c r="AM107" s="83"/>
      <c r="AN107" s="83"/>
      <c r="AO107" s="38"/>
      <c r="AP107" s="35"/>
      <c r="AR107" s="54"/>
      <c r="AS107" s="64"/>
      <c r="AT107" s="69"/>
      <c r="AU107" s="126"/>
      <c r="AV107" s="127"/>
      <c r="AX107" s="38"/>
      <c r="AY107" s="83"/>
      <c r="AZ107" s="83"/>
      <c r="BA107" s="83"/>
      <c r="BB107" s="38"/>
      <c r="BC107" s="35"/>
      <c r="BE107" s="54"/>
      <c r="BF107" s="64"/>
      <c r="BG107" s="69"/>
      <c r="BH107" s="126"/>
      <c r="BI107" s="127"/>
      <c r="BK107" s="38"/>
      <c r="BL107" s="83"/>
      <c r="BM107" s="83"/>
      <c r="BN107" s="83"/>
    </row>
    <row r="108" spans="1:66" x14ac:dyDescent="0.15">
      <c r="A108" s="58" t="s">
        <v>104</v>
      </c>
      <c r="B108" s="38"/>
      <c r="C108" s="35"/>
      <c r="E108" s="54"/>
      <c r="F108" s="64"/>
      <c r="G108" s="69"/>
      <c r="H108" s="72"/>
      <c r="I108" s="127"/>
      <c r="K108" s="38"/>
      <c r="L108" s="83"/>
      <c r="M108" s="83"/>
      <c r="N108" s="83"/>
      <c r="O108" s="38"/>
      <c r="P108" s="35"/>
      <c r="R108" s="54"/>
      <c r="S108" s="64"/>
      <c r="T108" s="69"/>
      <c r="U108" s="126"/>
      <c r="V108" s="127"/>
      <c r="X108" s="38"/>
      <c r="Y108" s="83"/>
      <c r="Z108" s="83"/>
      <c r="AA108" s="83"/>
      <c r="AB108" s="38"/>
      <c r="AC108" s="35"/>
      <c r="AE108" s="54"/>
      <c r="AF108" s="64"/>
      <c r="AG108" s="69"/>
      <c r="AH108" s="126"/>
      <c r="AI108" s="127"/>
      <c r="AK108" s="38"/>
      <c r="AL108" s="83"/>
      <c r="AM108" s="83"/>
      <c r="AN108" s="83"/>
      <c r="AO108" s="38"/>
      <c r="AP108" s="35"/>
      <c r="AR108" s="54"/>
      <c r="AS108" s="64"/>
      <c r="AT108" s="69"/>
      <c r="AU108" s="126"/>
      <c r="AV108" s="127"/>
      <c r="AX108" s="38"/>
      <c r="AY108" s="83"/>
      <c r="AZ108" s="83"/>
      <c r="BA108" s="83"/>
      <c r="BB108" s="38"/>
      <c r="BC108" s="35"/>
      <c r="BE108" s="54"/>
      <c r="BF108" s="64"/>
      <c r="BG108" s="69"/>
      <c r="BH108" s="126"/>
      <c r="BI108" s="127"/>
      <c r="BK108" s="38"/>
      <c r="BL108" s="83"/>
      <c r="BM108" s="83"/>
      <c r="BN108" s="83"/>
    </row>
  </sheetData>
  <mergeCells count="10">
    <mergeCell ref="B2:N2"/>
    <mergeCell ref="O2:AA2"/>
    <mergeCell ref="AB2:AN2"/>
    <mergeCell ref="AO2:BA2"/>
    <mergeCell ref="BB2:BN2"/>
    <mergeCell ref="B3:N3"/>
    <mergeCell ref="O3:AA3"/>
    <mergeCell ref="AB3:AN3"/>
    <mergeCell ref="AO3:BA3"/>
    <mergeCell ref="BB3:BN3"/>
  </mergeCells>
  <phoneticPr fontId="1"/>
  <conditionalFormatting sqref="F84:I8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4:V8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84:AI8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84:AV8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6:BK8 BC75:BD83 BF75:BK83 BE76:BE81 BC9:BE9 BC10:BK7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97:BE105 BC99:BD108 BC96:BD96 BF99:BK108 BF96:BK96 BE10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84:BI8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6:BN8 BL10:BN8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99:BN108 BL96:BN9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M84:BN8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08E7-EFFA-4DFB-8825-ED6C62FB3ACF}">
  <dimension ref="A1:NF116"/>
  <sheetViews>
    <sheetView topLeftCell="A5" workbookViewId="0">
      <selection activeCell="J18" sqref="J18"/>
    </sheetView>
  </sheetViews>
  <sheetFormatPr defaultRowHeight="13.5" x14ac:dyDescent="0.15"/>
  <cols>
    <col min="7" max="7" width="21.5" customWidth="1"/>
    <col min="14" max="14" width="17.625" customWidth="1"/>
  </cols>
  <sheetData>
    <row r="1" spans="1:370" x14ac:dyDescent="0.15">
      <c r="A1" t="s">
        <v>258</v>
      </c>
    </row>
    <row r="3" spans="1:370" x14ac:dyDescent="0.15">
      <c r="A3" t="s">
        <v>0</v>
      </c>
      <c r="C3" s="242">
        <v>1</v>
      </c>
      <c r="D3" s="242"/>
      <c r="E3" s="242"/>
      <c r="F3" s="242"/>
      <c r="G3" s="242"/>
      <c r="H3" s="242">
        <v>2</v>
      </c>
      <c r="I3" s="242"/>
      <c r="J3" s="242"/>
      <c r="K3" s="242"/>
      <c r="L3" s="242"/>
      <c r="M3" s="242">
        <v>3</v>
      </c>
      <c r="N3" s="242"/>
      <c r="O3" s="242"/>
      <c r="P3" s="242"/>
      <c r="Q3" s="242"/>
      <c r="R3" s="242">
        <v>4</v>
      </c>
      <c r="S3" s="242"/>
      <c r="T3" s="242"/>
      <c r="U3" s="242"/>
      <c r="V3" s="242"/>
      <c r="W3" s="242">
        <v>5</v>
      </c>
      <c r="X3" s="242"/>
      <c r="Y3" s="242"/>
      <c r="Z3" s="242"/>
      <c r="AA3" s="242"/>
      <c r="AB3" s="242">
        <v>6</v>
      </c>
      <c r="AC3" s="242"/>
      <c r="AD3" s="242"/>
      <c r="AE3" s="242"/>
      <c r="AF3" s="242"/>
      <c r="AG3" s="242">
        <v>7</v>
      </c>
      <c r="AH3" s="242"/>
      <c r="AI3" s="242"/>
      <c r="AJ3" s="242"/>
      <c r="AK3" s="242"/>
      <c r="AL3" s="242">
        <v>8</v>
      </c>
      <c r="AM3" s="242"/>
      <c r="AN3" s="242"/>
      <c r="AO3" s="242"/>
      <c r="AP3" s="242"/>
      <c r="AQ3" s="242">
        <v>9</v>
      </c>
      <c r="AR3" s="242"/>
      <c r="AS3" s="242"/>
      <c r="AT3" s="242"/>
      <c r="AU3" s="242"/>
      <c r="AV3" s="242">
        <v>10</v>
      </c>
      <c r="AW3" s="242"/>
      <c r="AX3" s="242"/>
      <c r="AY3" s="242"/>
      <c r="AZ3" s="242"/>
      <c r="BA3" s="242" t="s">
        <v>39</v>
      </c>
      <c r="BB3" s="242"/>
      <c r="BC3" s="242"/>
      <c r="BD3" s="242"/>
      <c r="BE3" s="242"/>
      <c r="BF3" s="242" t="s">
        <v>40</v>
      </c>
      <c r="BG3" s="242"/>
      <c r="BH3" s="242">
        <v>12</v>
      </c>
      <c r="BI3" s="242"/>
      <c r="BJ3" s="242"/>
      <c r="BK3" s="242"/>
      <c r="BL3" s="242"/>
      <c r="BM3" s="242">
        <v>13</v>
      </c>
      <c r="BN3" s="242"/>
      <c r="BO3" s="242"/>
      <c r="BP3" s="242"/>
      <c r="BQ3" s="242"/>
      <c r="BS3" s="242">
        <v>51</v>
      </c>
      <c r="BT3" s="242"/>
      <c r="BU3" s="242"/>
      <c r="BV3" s="242"/>
      <c r="BW3" s="242"/>
      <c r="BX3" s="242"/>
      <c r="BY3" s="242"/>
      <c r="BZ3" s="242">
        <v>52</v>
      </c>
      <c r="CA3" s="242"/>
      <c r="CB3" s="242"/>
      <c r="CC3" s="242"/>
      <c r="CD3" s="242"/>
      <c r="CE3" s="242"/>
      <c r="CF3" s="242"/>
      <c r="CG3" s="242">
        <v>53</v>
      </c>
      <c r="CH3" s="242"/>
      <c r="CI3" s="242"/>
      <c r="CJ3" s="242"/>
      <c r="CK3" s="242"/>
      <c r="CL3" s="242"/>
      <c r="CM3" s="242"/>
      <c r="CN3" s="242">
        <v>54</v>
      </c>
      <c r="CO3" s="242"/>
      <c r="CP3" s="242"/>
      <c r="CQ3" s="242"/>
      <c r="CR3" s="242"/>
      <c r="CS3" s="242"/>
      <c r="CT3" s="242"/>
      <c r="CU3" s="242">
        <v>55</v>
      </c>
      <c r="CV3" s="242"/>
      <c r="CW3" s="242"/>
      <c r="CX3" s="242"/>
      <c r="CY3" s="242"/>
      <c r="CZ3" s="242"/>
      <c r="DA3" s="242"/>
    </row>
    <row r="4" spans="1:370" ht="36.75" customHeight="1" x14ac:dyDescent="0.15">
      <c r="A4" s="6" t="s">
        <v>1</v>
      </c>
      <c r="B4" s="6"/>
      <c r="C4" s="243" t="s">
        <v>2</v>
      </c>
      <c r="D4" s="243"/>
      <c r="E4" s="243"/>
      <c r="F4" s="243"/>
      <c r="G4" s="243"/>
      <c r="H4" s="243" t="s">
        <v>3</v>
      </c>
      <c r="I4" s="243"/>
      <c r="J4" s="243"/>
      <c r="K4" s="243"/>
      <c r="L4" s="243"/>
      <c r="M4" s="243" t="s">
        <v>9</v>
      </c>
      <c r="N4" s="243"/>
      <c r="O4" s="243"/>
      <c r="P4" s="243"/>
      <c r="Q4" s="243"/>
      <c r="R4" s="243" t="s">
        <v>113</v>
      </c>
      <c r="S4" s="243"/>
      <c r="T4" s="243"/>
      <c r="U4" s="243"/>
      <c r="V4" s="243"/>
      <c r="W4" s="243" t="s">
        <v>124</v>
      </c>
      <c r="X4" s="243"/>
      <c r="Y4" s="243"/>
      <c r="Z4" s="243"/>
      <c r="AA4" s="243"/>
      <c r="AB4" s="243" t="s">
        <v>125</v>
      </c>
      <c r="AC4" s="243"/>
      <c r="AD4" s="243"/>
      <c r="AE4" s="243"/>
      <c r="AF4" s="243"/>
      <c r="AG4" s="243" t="s">
        <v>126</v>
      </c>
      <c r="AH4" s="243"/>
      <c r="AI4" s="243"/>
      <c r="AJ4" s="243"/>
      <c r="AK4" s="243"/>
      <c r="AL4" s="243" t="s">
        <v>127</v>
      </c>
      <c r="AM4" s="243"/>
      <c r="AN4" s="243"/>
      <c r="AO4" s="243"/>
      <c r="AP4" s="243"/>
      <c r="AQ4" s="243" t="s">
        <v>259</v>
      </c>
      <c r="AR4" s="243"/>
      <c r="AS4" s="243"/>
      <c r="AT4" s="243"/>
      <c r="AU4" s="243"/>
      <c r="AV4" s="243" t="s">
        <v>128</v>
      </c>
      <c r="AW4" s="243"/>
      <c r="AX4" s="243"/>
      <c r="AY4" s="243"/>
      <c r="AZ4" s="243"/>
      <c r="BA4" s="243" t="s">
        <v>129</v>
      </c>
      <c r="BB4" s="243"/>
      <c r="BC4" s="243"/>
      <c r="BD4" s="243"/>
      <c r="BE4" s="243"/>
      <c r="BF4" s="243" t="s">
        <v>31</v>
      </c>
      <c r="BG4" s="243"/>
      <c r="BH4" s="243" t="s">
        <v>130</v>
      </c>
      <c r="BI4" s="243"/>
      <c r="BJ4" s="243"/>
      <c r="BK4" s="243"/>
      <c r="BL4" s="243"/>
      <c r="BM4" s="249" t="s">
        <v>131</v>
      </c>
      <c r="BN4" s="249"/>
      <c r="BO4" s="249"/>
      <c r="BP4" s="249"/>
      <c r="BQ4" s="249"/>
      <c r="BS4" s="243" t="s">
        <v>115</v>
      </c>
      <c r="BT4" s="243"/>
      <c r="BU4" s="243"/>
      <c r="BV4" s="243"/>
      <c r="BW4" s="243"/>
      <c r="BX4" s="243"/>
      <c r="BY4" s="243"/>
      <c r="BZ4" s="243" t="s">
        <v>116</v>
      </c>
      <c r="CA4" s="243"/>
      <c r="CB4" s="243"/>
      <c r="CC4" s="243"/>
      <c r="CD4" s="243"/>
      <c r="CE4" s="243"/>
      <c r="CF4" s="243"/>
      <c r="CG4" s="243" t="s">
        <v>117</v>
      </c>
      <c r="CH4" s="243"/>
      <c r="CI4" s="243"/>
      <c r="CJ4" s="243"/>
      <c r="CK4" s="243"/>
      <c r="CL4" s="243"/>
      <c r="CM4" s="243"/>
      <c r="CN4" s="243" t="s">
        <v>118</v>
      </c>
      <c r="CO4" s="243"/>
      <c r="CP4" s="243"/>
      <c r="CQ4" s="243"/>
      <c r="CR4" s="243"/>
      <c r="CS4" s="243"/>
      <c r="CT4" s="243"/>
      <c r="CU4" s="249" t="s">
        <v>119</v>
      </c>
      <c r="CV4" s="249"/>
      <c r="CW4" s="249"/>
      <c r="CX4" s="249"/>
      <c r="CY4" s="249"/>
      <c r="CZ4" s="249"/>
      <c r="DA4" s="249"/>
    </row>
    <row r="5" spans="1:370" ht="23.25" customHeight="1" x14ac:dyDescent="0.15">
      <c r="C5" s="94" t="s">
        <v>65</v>
      </c>
      <c r="D5" s="95" t="s">
        <v>63</v>
      </c>
      <c r="E5" s="227" t="s">
        <v>64</v>
      </c>
      <c r="F5" s="97" t="s">
        <v>100</v>
      </c>
      <c r="G5" s="98" t="s">
        <v>114</v>
      </c>
      <c r="H5" s="94" t="s">
        <v>65</v>
      </c>
      <c r="I5" s="95" t="s">
        <v>63</v>
      </c>
      <c r="J5" s="227" t="s">
        <v>64</v>
      </c>
      <c r="K5" s="97" t="s">
        <v>100</v>
      </c>
      <c r="L5" s="98" t="s">
        <v>114</v>
      </c>
      <c r="M5" s="99" t="s">
        <v>65</v>
      </c>
      <c r="N5" s="95" t="s">
        <v>63</v>
      </c>
      <c r="O5" s="227" t="s">
        <v>64</v>
      </c>
      <c r="P5" s="97" t="s">
        <v>100</v>
      </c>
      <c r="Q5" s="98" t="s">
        <v>114</v>
      </c>
      <c r="R5" s="94" t="s">
        <v>65</v>
      </c>
      <c r="S5" s="95" t="s">
        <v>63</v>
      </c>
      <c r="T5" s="227" t="s">
        <v>64</v>
      </c>
      <c r="U5" s="97" t="s">
        <v>100</v>
      </c>
      <c r="V5" s="98" t="s">
        <v>114</v>
      </c>
      <c r="W5" s="94" t="s">
        <v>65</v>
      </c>
      <c r="X5" s="95" t="s">
        <v>63</v>
      </c>
      <c r="Y5" s="227" t="s">
        <v>64</v>
      </c>
      <c r="Z5" s="97" t="s">
        <v>100</v>
      </c>
      <c r="AA5" s="98" t="s">
        <v>114</v>
      </c>
      <c r="AB5" s="94" t="s">
        <v>65</v>
      </c>
      <c r="AC5" s="95" t="s">
        <v>63</v>
      </c>
      <c r="AD5" s="227" t="s">
        <v>64</v>
      </c>
      <c r="AE5" s="97" t="s">
        <v>100</v>
      </c>
      <c r="AF5" s="98" t="s">
        <v>114</v>
      </c>
      <c r="AG5" s="94" t="s">
        <v>65</v>
      </c>
      <c r="AH5" s="95" t="s">
        <v>63</v>
      </c>
      <c r="AI5" s="227" t="s">
        <v>64</v>
      </c>
      <c r="AJ5" s="97" t="s">
        <v>100</v>
      </c>
      <c r="AK5" s="98" t="s">
        <v>114</v>
      </c>
      <c r="AL5" s="94" t="s">
        <v>65</v>
      </c>
      <c r="AM5" s="95" t="s">
        <v>63</v>
      </c>
      <c r="AN5" s="227" t="s">
        <v>64</v>
      </c>
      <c r="AO5" s="97" t="s">
        <v>100</v>
      </c>
      <c r="AP5" s="98" t="s">
        <v>114</v>
      </c>
      <c r="AQ5" s="94" t="s">
        <v>65</v>
      </c>
      <c r="AR5" s="95" t="s">
        <v>63</v>
      </c>
      <c r="AS5" s="227" t="s">
        <v>64</v>
      </c>
      <c r="AT5" s="97" t="s">
        <v>100</v>
      </c>
      <c r="AU5" s="98" t="s">
        <v>114</v>
      </c>
      <c r="AV5" s="94" t="s">
        <v>65</v>
      </c>
      <c r="AW5" s="95" t="s">
        <v>63</v>
      </c>
      <c r="AX5" s="227" t="s">
        <v>64</v>
      </c>
      <c r="AY5" s="97" t="s">
        <v>100</v>
      </c>
      <c r="AZ5" s="98" t="s">
        <v>114</v>
      </c>
      <c r="BA5" s="94" t="s">
        <v>65</v>
      </c>
      <c r="BB5" s="95" t="s">
        <v>63</v>
      </c>
      <c r="BC5" s="227" t="s">
        <v>64</v>
      </c>
      <c r="BD5" s="97" t="s">
        <v>100</v>
      </c>
      <c r="BE5" s="98" t="s">
        <v>114</v>
      </c>
      <c r="BF5" s="95" t="s">
        <v>63</v>
      </c>
      <c r="BG5" s="227" t="s">
        <v>64</v>
      </c>
      <c r="BH5" s="94" t="s">
        <v>65</v>
      </c>
      <c r="BI5" s="95" t="s">
        <v>63</v>
      </c>
      <c r="BJ5" s="227" t="s">
        <v>64</v>
      </c>
      <c r="BK5" s="97" t="s">
        <v>100</v>
      </c>
      <c r="BL5" s="98" t="s">
        <v>114</v>
      </c>
      <c r="BM5" s="94" t="s">
        <v>65</v>
      </c>
      <c r="BN5" s="95" t="s">
        <v>63</v>
      </c>
      <c r="BO5" s="227" t="s">
        <v>64</v>
      </c>
      <c r="BP5" s="97" t="s">
        <v>100</v>
      </c>
      <c r="BQ5" s="98" t="s">
        <v>114</v>
      </c>
      <c r="BS5" s="228" t="s">
        <v>64</v>
      </c>
      <c r="BT5" s="229" t="s">
        <v>92</v>
      </c>
      <c r="BU5" s="94" t="s">
        <v>101</v>
      </c>
      <c r="BV5" s="97" t="s">
        <v>100</v>
      </c>
      <c r="BW5" s="98" t="s">
        <v>121</v>
      </c>
      <c r="BX5" s="144" t="s">
        <v>122</v>
      </c>
      <c r="BY5" s="230" t="s">
        <v>114</v>
      </c>
      <c r="BZ5" s="228" t="s">
        <v>64</v>
      </c>
      <c r="CA5" s="229" t="s">
        <v>92</v>
      </c>
      <c r="CB5" s="94" t="s">
        <v>101</v>
      </c>
      <c r="CC5" s="97" t="s">
        <v>100</v>
      </c>
      <c r="CD5" s="98" t="s">
        <v>121</v>
      </c>
      <c r="CE5" s="144" t="s">
        <v>122</v>
      </c>
      <c r="CF5" s="230" t="s">
        <v>114</v>
      </c>
      <c r="CG5" s="228" t="s">
        <v>64</v>
      </c>
      <c r="CH5" s="229" t="s">
        <v>92</v>
      </c>
      <c r="CI5" s="94" t="s">
        <v>101</v>
      </c>
      <c r="CJ5" s="97" t="s">
        <v>100</v>
      </c>
      <c r="CK5" s="98" t="s">
        <v>121</v>
      </c>
      <c r="CL5" s="144" t="s">
        <v>122</v>
      </c>
      <c r="CM5" s="230" t="s">
        <v>114</v>
      </c>
      <c r="CN5" s="228" t="s">
        <v>64</v>
      </c>
      <c r="CO5" s="229" t="s">
        <v>92</v>
      </c>
      <c r="CP5" s="94" t="s">
        <v>101</v>
      </c>
      <c r="CQ5" s="97" t="s">
        <v>100</v>
      </c>
      <c r="CR5" s="98" t="s">
        <v>121</v>
      </c>
      <c r="CS5" s="144" t="s">
        <v>122</v>
      </c>
      <c r="CT5" s="230" t="s">
        <v>114</v>
      </c>
      <c r="CU5" s="228" t="s">
        <v>64</v>
      </c>
      <c r="CV5" s="229" t="s">
        <v>92</v>
      </c>
      <c r="CW5" s="94" t="s">
        <v>101</v>
      </c>
      <c r="CX5" s="97" t="s">
        <v>100</v>
      </c>
      <c r="CY5" s="98" t="s">
        <v>121</v>
      </c>
      <c r="CZ5" s="144" t="s">
        <v>122</v>
      </c>
      <c r="DA5" s="230" t="s">
        <v>114</v>
      </c>
    </row>
    <row r="6" spans="1:370" ht="23.25" customHeight="1" x14ac:dyDescent="0.15">
      <c r="C6" s="94"/>
      <c r="D6" s="95"/>
      <c r="E6" s="227"/>
      <c r="F6" s="97"/>
      <c r="G6" s="98"/>
      <c r="H6" s="94"/>
      <c r="I6" s="95"/>
      <c r="J6" s="227"/>
      <c r="K6" s="97"/>
      <c r="L6" s="98"/>
      <c r="M6" s="99"/>
      <c r="N6" s="95"/>
      <c r="O6" s="227"/>
      <c r="P6" s="97"/>
      <c r="Q6" s="98"/>
      <c r="R6" s="94"/>
      <c r="S6" s="95"/>
      <c r="T6" s="227"/>
      <c r="U6" s="97"/>
      <c r="V6" s="98"/>
      <c r="W6" s="94"/>
      <c r="X6" s="95"/>
      <c r="Y6" s="227"/>
      <c r="Z6" s="97"/>
      <c r="AA6" s="98"/>
      <c r="AB6" s="94"/>
      <c r="AC6" s="95"/>
      <c r="AD6" s="227"/>
      <c r="AE6" s="97"/>
      <c r="AF6" s="98"/>
      <c r="AG6" s="94"/>
      <c r="AH6" s="95"/>
      <c r="AI6" s="227"/>
      <c r="AJ6" s="97"/>
      <c r="AK6" s="98"/>
      <c r="AL6" s="94"/>
      <c r="AM6" s="95"/>
      <c r="AN6" s="227"/>
      <c r="AO6" s="97"/>
      <c r="AP6" s="98"/>
      <c r="AQ6" s="94"/>
      <c r="AR6" s="95"/>
      <c r="AS6" s="227"/>
      <c r="AT6" s="97"/>
      <c r="AU6" s="98"/>
      <c r="AV6" s="94"/>
      <c r="AW6" s="95"/>
      <c r="AX6" s="227"/>
      <c r="AY6" s="97"/>
      <c r="AZ6" s="98"/>
      <c r="BA6" s="94"/>
      <c r="BB6" s="95"/>
      <c r="BC6" s="227"/>
      <c r="BD6" s="97"/>
      <c r="BE6" s="98"/>
      <c r="BF6" s="95"/>
      <c r="BG6" s="227"/>
      <c r="BH6" s="94"/>
      <c r="BI6" s="95"/>
      <c r="BJ6" s="227"/>
      <c r="BK6" s="97"/>
      <c r="BL6" s="98"/>
      <c r="BM6" s="94"/>
      <c r="BN6" s="95"/>
      <c r="BO6" s="227"/>
      <c r="BP6" s="97"/>
      <c r="BQ6" s="98"/>
      <c r="BS6" s="228"/>
      <c r="BT6" s="229"/>
      <c r="BU6" s="94"/>
      <c r="BV6" s="97"/>
      <c r="BW6" s="98"/>
      <c r="BX6" s="144"/>
      <c r="BY6" s="230"/>
      <c r="BZ6" s="228"/>
      <c r="CA6" s="229"/>
      <c r="CB6" s="94"/>
      <c r="CC6" s="97"/>
      <c r="CD6" s="98"/>
      <c r="CE6" s="144"/>
      <c r="CF6" s="230"/>
      <c r="CG6" s="228"/>
      <c r="CH6" s="229"/>
      <c r="CI6" s="94"/>
      <c r="CJ6" s="97"/>
      <c r="CK6" s="98"/>
      <c r="CL6" s="144"/>
      <c r="CM6" s="230"/>
      <c r="CN6" s="228"/>
      <c r="CO6" s="229"/>
      <c r="CP6" s="94"/>
      <c r="CQ6" s="97"/>
      <c r="CR6" s="98"/>
      <c r="CS6" s="144"/>
      <c r="CT6" s="230"/>
      <c r="CU6" s="228"/>
      <c r="CV6" s="229"/>
      <c r="CW6" s="94"/>
      <c r="CX6" s="97"/>
      <c r="CY6" s="98"/>
      <c r="CZ6" s="144"/>
      <c r="DA6" s="230"/>
    </row>
    <row r="8" spans="1:370" x14ac:dyDescent="0.15">
      <c r="B8" t="s">
        <v>260</v>
      </c>
      <c r="C8">
        <v>1</v>
      </c>
      <c r="D8">
        <v>1</v>
      </c>
      <c r="E8">
        <v>1</v>
      </c>
      <c r="F8">
        <v>1</v>
      </c>
      <c r="G8">
        <v>1</v>
      </c>
      <c r="H8">
        <v>2</v>
      </c>
      <c r="I8">
        <v>2</v>
      </c>
      <c r="J8">
        <v>2</v>
      </c>
      <c r="K8">
        <v>2</v>
      </c>
      <c r="L8">
        <v>2</v>
      </c>
      <c r="M8">
        <v>3</v>
      </c>
      <c r="N8">
        <v>3</v>
      </c>
      <c r="O8">
        <v>3</v>
      </c>
      <c r="P8">
        <v>3</v>
      </c>
      <c r="Q8">
        <v>3</v>
      </c>
      <c r="R8">
        <v>4</v>
      </c>
      <c r="S8">
        <v>4</v>
      </c>
      <c r="T8">
        <v>4</v>
      </c>
      <c r="U8">
        <v>4</v>
      </c>
      <c r="V8">
        <v>4</v>
      </c>
      <c r="W8">
        <v>5</v>
      </c>
      <c r="X8">
        <v>5</v>
      </c>
      <c r="Y8">
        <v>5</v>
      </c>
      <c r="Z8">
        <v>5</v>
      </c>
      <c r="AA8">
        <v>5</v>
      </c>
      <c r="AB8">
        <v>6</v>
      </c>
      <c r="AC8">
        <v>6</v>
      </c>
      <c r="AD8">
        <v>6</v>
      </c>
      <c r="AE8">
        <v>6</v>
      </c>
      <c r="AF8">
        <v>6</v>
      </c>
      <c r="AG8">
        <v>7</v>
      </c>
      <c r="AH8">
        <v>7</v>
      </c>
      <c r="AI8">
        <v>7</v>
      </c>
      <c r="AJ8">
        <v>7</v>
      </c>
      <c r="AK8">
        <v>7</v>
      </c>
      <c r="AL8">
        <v>8</v>
      </c>
      <c r="AM8">
        <v>8</v>
      </c>
      <c r="AN8">
        <v>8</v>
      </c>
      <c r="AO8">
        <v>8</v>
      </c>
      <c r="AP8">
        <v>8</v>
      </c>
      <c r="AQ8">
        <v>9</v>
      </c>
      <c r="AR8">
        <v>9</v>
      </c>
      <c r="AS8">
        <v>9</v>
      </c>
      <c r="AT8">
        <v>9</v>
      </c>
      <c r="AU8">
        <v>9</v>
      </c>
      <c r="AV8">
        <v>10</v>
      </c>
      <c r="AW8">
        <v>10</v>
      </c>
      <c r="AX8">
        <v>10</v>
      </c>
      <c r="AY8">
        <v>10</v>
      </c>
      <c r="AZ8">
        <v>10</v>
      </c>
      <c r="BA8" t="s">
        <v>261</v>
      </c>
      <c r="BB8" t="s">
        <v>261</v>
      </c>
      <c r="BC8" t="s">
        <v>261</v>
      </c>
      <c r="BD8" t="s">
        <v>261</v>
      </c>
      <c r="BE8" t="s">
        <v>261</v>
      </c>
      <c r="BF8" t="s">
        <v>262</v>
      </c>
      <c r="BG8" t="s">
        <v>262</v>
      </c>
      <c r="BH8">
        <v>12</v>
      </c>
      <c r="BI8">
        <v>12</v>
      </c>
      <c r="BJ8">
        <v>12</v>
      </c>
      <c r="BK8">
        <v>12</v>
      </c>
      <c r="BL8">
        <v>12</v>
      </c>
      <c r="BM8">
        <v>13</v>
      </c>
      <c r="BN8">
        <v>13</v>
      </c>
      <c r="BO8">
        <v>13</v>
      </c>
      <c r="BP8">
        <v>13</v>
      </c>
      <c r="BQ8">
        <v>13</v>
      </c>
      <c r="BS8">
        <v>51</v>
      </c>
      <c r="BT8">
        <v>51</v>
      </c>
      <c r="BU8">
        <v>51</v>
      </c>
      <c r="BV8">
        <v>51</v>
      </c>
      <c r="BW8">
        <v>51</v>
      </c>
      <c r="BX8">
        <v>51</v>
      </c>
      <c r="BY8">
        <v>51</v>
      </c>
      <c r="BZ8">
        <v>52</v>
      </c>
      <c r="CA8">
        <v>52</v>
      </c>
      <c r="CB8">
        <v>52</v>
      </c>
      <c r="CC8">
        <v>52</v>
      </c>
      <c r="CD8">
        <v>52</v>
      </c>
      <c r="CE8">
        <v>52</v>
      </c>
      <c r="CF8">
        <v>52</v>
      </c>
      <c r="CG8">
        <v>53</v>
      </c>
      <c r="CH8">
        <v>53</v>
      </c>
      <c r="CI8">
        <v>53</v>
      </c>
      <c r="CJ8">
        <v>53</v>
      </c>
      <c r="CK8">
        <v>53</v>
      </c>
      <c r="CL8">
        <v>53</v>
      </c>
      <c r="CM8">
        <v>53</v>
      </c>
      <c r="CN8">
        <v>54</v>
      </c>
      <c r="CO8">
        <v>54</v>
      </c>
      <c r="CP8">
        <v>54</v>
      </c>
      <c r="CQ8">
        <v>54</v>
      </c>
      <c r="CR8">
        <v>54</v>
      </c>
      <c r="CS8">
        <v>54</v>
      </c>
      <c r="CT8">
        <v>54</v>
      </c>
      <c r="CU8">
        <v>55</v>
      </c>
      <c r="CV8">
        <v>55</v>
      </c>
      <c r="CW8">
        <v>55</v>
      </c>
      <c r="CX8">
        <v>55</v>
      </c>
      <c r="CY8">
        <v>55</v>
      </c>
      <c r="CZ8">
        <v>55</v>
      </c>
      <c r="DA8">
        <v>55</v>
      </c>
    </row>
    <row r="9" spans="1:370" x14ac:dyDescent="0.15">
      <c r="B9" t="s">
        <v>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126</v>
      </c>
      <c r="AH9" t="s">
        <v>126</v>
      </c>
      <c r="AI9" t="s">
        <v>126</v>
      </c>
      <c r="AJ9" t="s">
        <v>126</v>
      </c>
      <c r="AK9" t="s">
        <v>126</v>
      </c>
      <c r="AL9" t="s">
        <v>127</v>
      </c>
      <c r="AM9" t="s">
        <v>127</v>
      </c>
      <c r="AN9" t="s">
        <v>127</v>
      </c>
      <c r="AO9" t="s">
        <v>127</v>
      </c>
      <c r="AP9" t="s">
        <v>127</v>
      </c>
      <c r="AQ9" t="s">
        <v>263</v>
      </c>
      <c r="AR9" t="s">
        <v>263</v>
      </c>
      <c r="AS9" t="s">
        <v>263</v>
      </c>
      <c r="AT9" t="s">
        <v>263</v>
      </c>
      <c r="AU9" t="s">
        <v>263</v>
      </c>
      <c r="AV9" t="s">
        <v>128</v>
      </c>
      <c r="AW9" t="s">
        <v>128</v>
      </c>
      <c r="AX9" t="s">
        <v>128</v>
      </c>
      <c r="AY9" t="s">
        <v>128</v>
      </c>
      <c r="AZ9" t="s">
        <v>128</v>
      </c>
      <c r="BA9" t="s">
        <v>129</v>
      </c>
      <c r="BB9" t="s">
        <v>129</v>
      </c>
      <c r="BC9" t="s">
        <v>129</v>
      </c>
      <c r="BD9" t="s">
        <v>129</v>
      </c>
      <c r="BE9" t="s">
        <v>129</v>
      </c>
      <c r="BF9" t="s">
        <v>31</v>
      </c>
      <c r="BH9" t="s">
        <v>130</v>
      </c>
      <c r="BI9" t="s">
        <v>130</v>
      </c>
      <c r="BJ9" t="s">
        <v>130</v>
      </c>
      <c r="BK9" t="s">
        <v>130</v>
      </c>
      <c r="BL9" t="s">
        <v>130</v>
      </c>
      <c r="BM9" t="s">
        <v>131</v>
      </c>
      <c r="BN9" t="s">
        <v>131</v>
      </c>
      <c r="BO9" t="s">
        <v>131</v>
      </c>
      <c r="BP9" t="s">
        <v>131</v>
      </c>
      <c r="BQ9" t="s">
        <v>131</v>
      </c>
      <c r="BS9" t="s">
        <v>115</v>
      </c>
      <c r="BZ9" t="s">
        <v>116</v>
      </c>
      <c r="CG9" t="s">
        <v>117</v>
      </c>
      <c r="CN9" t="s">
        <v>118</v>
      </c>
      <c r="CU9" t="s">
        <v>119</v>
      </c>
    </row>
    <row r="10" spans="1:370" x14ac:dyDescent="0.15">
      <c r="B10" t="s">
        <v>264</v>
      </c>
      <c r="C10" t="s">
        <v>265</v>
      </c>
      <c r="D10" t="s">
        <v>266</v>
      </c>
      <c r="E10" t="s">
        <v>267</v>
      </c>
      <c r="F10" t="s">
        <v>268</v>
      </c>
      <c r="G10" t="s">
        <v>269</v>
      </c>
      <c r="H10" t="s">
        <v>265</v>
      </c>
      <c r="I10" t="s">
        <v>266</v>
      </c>
      <c r="J10" t="s">
        <v>267</v>
      </c>
      <c r="K10" t="s">
        <v>268</v>
      </c>
      <c r="L10" t="s">
        <v>269</v>
      </c>
      <c r="M10" t="s">
        <v>265</v>
      </c>
      <c r="N10" t="s">
        <v>266</v>
      </c>
      <c r="O10" t="s">
        <v>267</v>
      </c>
      <c r="P10" t="s">
        <v>268</v>
      </c>
      <c r="Q10" t="s">
        <v>269</v>
      </c>
      <c r="R10" t="s">
        <v>265</v>
      </c>
      <c r="S10" t="s">
        <v>266</v>
      </c>
      <c r="T10" t="s">
        <v>267</v>
      </c>
      <c r="U10" t="s">
        <v>268</v>
      </c>
      <c r="V10" t="s">
        <v>269</v>
      </c>
      <c r="W10" t="s">
        <v>265</v>
      </c>
      <c r="X10" t="s">
        <v>266</v>
      </c>
      <c r="Y10" t="s">
        <v>267</v>
      </c>
      <c r="Z10" t="s">
        <v>268</v>
      </c>
      <c r="AA10" t="s">
        <v>269</v>
      </c>
      <c r="AB10" t="s">
        <v>265</v>
      </c>
      <c r="AC10" t="s">
        <v>266</v>
      </c>
      <c r="AD10" t="s">
        <v>267</v>
      </c>
      <c r="AE10" t="s">
        <v>268</v>
      </c>
      <c r="AF10" t="s">
        <v>269</v>
      </c>
      <c r="AG10" t="s">
        <v>265</v>
      </c>
      <c r="AH10" t="s">
        <v>266</v>
      </c>
      <c r="AI10" t="s">
        <v>267</v>
      </c>
      <c r="AJ10" t="s">
        <v>268</v>
      </c>
      <c r="AK10" t="s">
        <v>269</v>
      </c>
      <c r="AL10" t="s">
        <v>265</v>
      </c>
      <c r="AM10" t="s">
        <v>266</v>
      </c>
      <c r="AN10" t="s">
        <v>267</v>
      </c>
      <c r="AO10" t="s">
        <v>268</v>
      </c>
      <c r="AP10" t="s">
        <v>269</v>
      </c>
      <c r="AQ10" t="s">
        <v>265</v>
      </c>
      <c r="AR10" t="s">
        <v>266</v>
      </c>
      <c r="AS10" t="s">
        <v>267</v>
      </c>
      <c r="AT10" t="s">
        <v>268</v>
      </c>
      <c r="AU10" t="s">
        <v>269</v>
      </c>
      <c r="AV10" t="s">
        <v>265</v>
      </c>
      <c r="AW10" t="s">
        <v>266</v>
      </c>
      <c r="AX10" t="s">
        <v>267</v>
      </c>
      <c r="AY10" t="s">
        <v>268</v>
      </c>
      <c r="AZ10" t="s">
        <v>269</v>
      </c>
      <c r="BA10" t="s">
        <v>265</v>
      </c>
      <c r="BB10" t="s">
        <v>266</v>
      </c>
      <c r="BC10" t="s">
        <v>267</v>
      </c>
      <c r="BD10" t="s">
        <v>268</v>
      </c>
      <c r="BE10" t="s">
        <v>269</v>
      </c>
      <c r="BF10" t="s">
        <v>266</v>
      </c>
      <c r="BG10" t="s">
        <v>267</v>
      </c>
      <c r="BH10" t="s">
        <v>265</v>
      </c>
      <c r="BI10" t="s">
        <v>266</v>
      </c>
      <c r="BJ10" t="s">
        <v>267</v>
      </c>
      <c r="BK10" t="s">
        <v>268</v>
      </c>
      <c r="BL10" t="s">
        <v>269</v>
      </c>
      <c r="BM10" t="s">
        <v>265</v>
      </c>
      <c r="BN10" t="s">
        <v>266</v>
      </c>
      <c r="BO10" t="s">
        <v>267</v>
      </c>
      <c r="BP10" t="s">
        <v>268</v>
      </c>
      <c r="BQ10" t="s">
        <v>269</v>
      </c>
      <c r="BS10" t="s">
        <v>267</v>
      </c>
      <c r="BT10" t="s">
        <v>270</v>
      </c>
      <c r="BU10" t="s">
        <v>271</v>
      </c>
      <c r="BV10" t="s">
        <v>268</v>
      </c>
      <c r="BW10" t="s">
        <v>272</v>
      </c>
      <c r="BX10" t="s">
        <v>273</v>
      </c>
      <c r="BY10" t="s">
        <v>269</v>
      </c>
      <c r="BZ10" t="s">
        <v>267</v>
      </c>
      <c r="CA10" t="s">
        <v>270</v>
      </c>
      <c r="CB10" t="s">
        <v>271</v>
      </c>
      <c r="CC10" t="s">
        <v>268</v>
      </c>
      <c r="CD10" t="s">
        <v>272</v>
      </c>
      <c r="CE10" t="s">
        <v>273</v>
      </c>
      <c r="CF10" t="s">
        <v>269</v>
      </c>
      <c r="CG10" t="s">
        <v>267</v>
      </c>
      <c r="CH10" t="s">
        <v>270</v>
      </c>
      <c r="CI10" t="s">
        <v>271</v>
      </c>
      <c r="CJ10" t="s">
        <v>268</v>
      </c>
      <c r="CK10" t="s">
        <v>272</v>
      </c>
      <c r="CL10" t="s">
        <v>273</v>
      </c>
      <c r="CM10" t="s">
        <v>269</v>
      </c>
      <c r="CN10" t="s">
        <v>267</v>
      </c>
      <c r="CO10" t="s">
        <v>270</v>
      </c>
      <c r="CP10" t="s">
        <v>271</v>
      </c>
      <c r="CQ10" t="s">
        <v>268</v>
      </c>
      <c r="CR10" t="s">
        <v>272</v>
      </c>
      <c r="CS10" t="s">
        <v>273</v>
      </c>
      <c r="CT10" t="s">
        <v>269</v>
      </c>
      <c r="CU10" t="s">
        <v>267</v>
      </c>
      <c r="CV10" t="s">
        <v>270</v>
      </c>
      <c r="CW10" t="s">
        <v>271</v>
      </c>
      <c r="CX10" t="s">
        <v>268</v>
      </c>
      <c r="CY10" t="s">
        <v>272</v>
      </c>
      <c r="CZ10" t="s">
        <v>273</v>
      </c>
      <c r="DA10" t="s">
        <v>269</v>
      </c>
    </row>
    <row r="11" spans="1:370" x14ac:dyDescent="0.15">
      <c r="B11" t="s">
        <v>59</v>
      </c>
      <c r="C11">
        <v>9</v>
      </c>
      <c r="D11">
        <v>12</v>
      </c>
      <c r="E11">
        <v>25</v>
      </c>
      <c r="F11">
        <v>23</v>
      </c>
      <c r="G11">
        <v>26</v>
      </c>
      <c r="H11">
        <v>9</v>
      </c>
      <c r="I11">
        <v>14</v>
      </c>
      <c r="J11">
        <v>20</v>
      </c>
      <c r="K11">
        <v>24</v>
      </c>
      <c r="L11">
        <v>25</v>
      </c>
      <c r="M11">
        <v>8</v>
      </c>
      <c r="N11">
        <v>9</v>
      </c>
      <c r="O11">
        <v>15</v>
      </c>
      <c r="P11">
        <v>19</v>
      </c>
      <c r="Q11">
        <v>20</v>
      </c>
      <c r="R11">
        <v>11</v>
      </c>
      <c r="S11">
        <v>14</v>
      </c>
      <c r="T11">
        <v>16</v>
      </c>
      <c r="U11">
        <v>20</v>
      </c>
      <c r="V11">
        <v>21</v>
      </c>
      <c r="W11">
        <v>9</v>
      </c>
      <c r="X11">
        <v>13</v>
      </c>
      <c r="Y11">
        <v>17</v>
      </c>
      <c r="Z11">
        <v>16</v>
      </c>
      <c r="AA11">
        <v>23</v>
      </c>
      <c r="AB11">
        <v>15</v>
      </c>
      <c r="AC11">
        <v>24</v>
      </c>
      <c r="AD11">
        <v>18</v>
      </c>
      <c r="AE11">
        <v>26</v>
      </c>
      <c r="AF11">
        <v>28</v>
      </c>
      <c r="AG11">
        <v>7</v>
      </c>
      <c r="AH11">
        <v>10</v>
      </c>
      <c r="AI11">
        <v>13</v>
      </c>
      <c r="AJ11">
        <v>16</v>
      </c>
      <c r="AK11">
        <v>18</v>
      </c>
      <c r="AL11">
        <v>7</v>
      </c>
      <c r="AM11">
        <v>12</v>
      </c>
      <c r="AN11">
        <v>14</v>
      </c>
      <c r="AO11">
        <v>19</v>
      </c>
      <c r="AP11">
        <v>21</v>
      </c>
      <c r="AQ11">
        <v>16</v>
      </c>
      <c r="AR11">
        <v>11</v>
      </c>
      <c r="AS11">
        <v>13</v>
      </c>
      <c r="AT11">
        <v>17</v>
      </c>
      <c r="AU11">
        <v>18</v>
      </c>
      <c r="AV11">
        <v>2</v>
      </c>
      <c r="AW11">
        <v>5</v>
      </c>
      <c r="AX11">
        <v>10</v>
      </c>
      <c r="AY11">
        <v>8</v>
      </c>
      <c r="AZ11">
        <v>16</v>
      </c>
      <c r="BA11">
        <v>8</v>
      </c>
      <c r="BB11">
        <v>11</v>
      </c>
      <c r="BC11">
        <v>18</v>
      </c>
      <c r="BD11">
        <v>23</v>
      </c>
      <c r="BE11">
        <v>24</v>
      </c>
      <c r="BF11">
        <v>9</v>
      </c>
      <c r="BG11">
        <v>14</v>
      </c>
      <c r="BH11">
        <v>10</v>
      </c>
      <c r="BI11">
        <v>18</v>
      </c>
      <c r="BJ11">
        <v>17</v>
      </c>
      <c r="BK11">
        <v>16</v>
      </c>
      <c r="BL11">
        <v>18</v>
      </c>
      <c r="BM11">
        <v>8</v>
      </c>
      <c r="BN11">
        <v>11</v>
      </c>
      <c r="BO11">
        <v>11</v>
      </c>
      <c r="BP11">
        <v>13</v>
      </c>
      <c r="BQ11">
        <v>13</v>
      </c>
      <c r="BS11">
        <v>2</v>
      </c>
      <c r="BT11">
        <v>2</v>
      </c>
      <c r="BU11">
        <v>3</v>
      </c>
      <c r="BV11">
        <v>3</v>
      </c>
      <c r="BW11">
        <v>3</v>
      </c>
      <c r="BX11">
        <v>3</v>
      </c>
      <c r="BY11">
        <v>3</v>
      </c>
      <c r="BZ11">
        <v>2</v>
      </c>
      <c r="CA11">
        <v>10</v>
      </c>
      <c r="CB11">
        <v>10</v>
      </c>
      <c r="CC11">
        <v>10</v>
      </c>
      <c r="CD11">
        <v>9</v>
      </c>
      <c r="CE11">
        <v>10</v>
      </c>
      <c r="CF11">
        <v>12</v>
      </c>
      <c r="CG11">
        <v>3</v>
      </c>
      <c r="CH11">
        <v>8</v>
      </c>
      <c r="CI11">
        <v>8</v>
      </c>
      <c r="CJ11">
        <v>12</v>
      </c>
      <c r="CK11">
        <v>12</v>
      </c>
      <c r="CL11">
        <v>14</v>
      </c>
      <c r="CM11">
        <v>16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2</v>
      </c>
      <c r="CT11">
        <v>2</v>
      </c>
      <c r="CU11">
        <v>0</v>
      </c>
      <c r="CV11">
        <v>1</v>
      </c>
      <c r="CW11">
        <v>1</v>
      </c>
      <c r="CX11">
        <v>2</v>
      </c>
      <c r="CY11">
        <v>2</v>
      </c>
      <c r="CZ11">
        <v>2</v>
      </c>
      <c r="DA11">
        <v>1</v>
      </c>
    </row>
    <row r="12" spans="1:370" x14ac:dyDescent="0.15">
      <c r="B12" t="s">
        <v>274</v>
      </c>
      <c r="AA12">
        <v>1</v>
      </c>
      <c r="AC12">
        <v>2</v>
      </c>
      <c r="AD12">
        <v>2</v>
      </c>
      <c r="AE12">
        <v>2</v>
      </c>
      <c r="AF12">
        <v>3</v>
      </c>
      <c r="AX12">
        <v>1</v>
      </c>
      <c r="AY12">
        <v>1</v>
      </c>
    </row>
    <row r="14" spans="1:370" x14ac:dyDescent="0.15">
      <c r="B14" t="s">
        <v>260</v>
      </c>
      <c r="C14">
        <v>1</v>
      </c>
      <c r="J14">
        <v>2</v>
      </c>
      <c r="Q14">
        <v>3</v>
      </c>
      <c r="X14">
        <v>4</v>
      </c>
      <c r="AE14">
        <v>5</v>
      </c>
      <c r="AL14">
        <v>6</v>
      </c>
      <c r="AS14">
        <v>7</v>
      </c>
      <c r="AZ14">
        <v>8</v>
      </c>
      <c r="BG14">
        <v>9</v>
      </c>
      <c r="BN14">
        <v>10</v>
      </c>
      <c r="BU14">
        <v>11</v>
      </c>
      <c r="CB14">
        <v>12</v>
      </c>
      <c r="CI14">
        <v>13</v>
      </c>
      <c r="CP14">
        <v>51</v>
      </c>
      <c r="DC14">
        <v>52</v>
      </c>
      <c r="DP14">
        <v>53</v>
      </c>
      <c r="EC14">
        <v>54</v>
      </c>
      <c r="EP14">
        <v>55</v>
      </c>
      <c r="FD14">
        <v>14</v>
      </c>
      <c r="FJ14">
        <v>15</v>
      </c>
      <c r="FP14">
        <v>16</v>
      </c>
      <c r="FV14">
        <v>17</v>
      </c>
      <c r="GB14">
        <v>18</v>
      </c>
      <c r="GH14">
        <v>19</v>
      </c>
      <c r="GN14">
        <v>20</v>
      </c>
      <c r="GT14">
        <v>21</v>
      </c>
      <c r="GZ14">
        <v>22</v>
      </c>
      <c r="HF14">
        <v>22</v>
      </c>
      <c r="HL14">
        <v>23</v>
      </c>
      <c r="HR14">
        <v>24</v>
      </c>
      <c r="HX14">
        <v>25</v>
      </c>
      <c r="ID14" t="s">
        <v>284</v>
      </c>
      <c r="IH14">
        <v>26</v>
      </c>
      <c r="IN14">
        <v>28</v>
      </c>
      <c r="IT14">
        <v>29</v>
      </c>
      <c r="IZ14">
        <v>30</v>
      </c>
      <c r="JF14">
        <v>31</v>
      </c>
      <c r="JL14">
        <v>32</v>
      </c>
      <c r="JR14">
        <v>33</v>
      </c>
      <c r="JX14">
        <v>34</v>
      </c>
      <c r="KD14">
        <v>35</v>
      </c>
      <c r="KJ14">
        <v>36</v>
      </c>
      <c r="KP14">
        <v>37</v>
      </c>
      <c r="KV14">
        <v>38</v>
      </c>
      <c r="KX14">
        <v>39</v>
      </c>
      <c r="LD14">
        <v>40</v>
      </c>
      <c r="LJ14">
        <v>41</v>
      </c>
      <c r="LP14">
        <v>42</v>
      </c>
      <c r="LV14">
        <v>43</v>
      </c>
      <c r="MB14">
        <v>44</v>
      </c>
      <c r="MH14">
        <v>45</v>
      </c>
      <c r="MN14">
        <v>46</v>
      </c>
      <c r="MU14" t="s">
        <v>156</v>
      </c>
      <c r="NC14">
        <v>27</v>
      </c>
    </row>
    <row r="15" spans="1:370" x14ac:dyDescent="0.15">
      <c r="B15" t="s">
        <v>1</v>
      </c>
      <c r="C15" t="s">
        <v>188</v>
      </c>
      <c r="J15" t="s">
        <v>223</v>
      </c>
      <c r="Q15" t="s">
        <v>224</v>
      </c>
      <c r="X15" t="s">
        <v>225</v>
      </c>
      <c r="AE15" t="s">
        <v>226</v>
      </c>
      <c r="AL15" t="s">
        <v>227</v>
      </c>
      <c r="AS15" t="s">
        <v>230</v>
      </c>
      <c r="AZ15" t="s">
        <v>127</v>
      </c>
      <c r="BG15" t="s">
        <v>233</v>
      </c>
      <c r="BN15" t="s">
        <v>128</v>
      </c>
      <c r="BU15" t="s">
        <v>129</v>
      </c>
      <c r="CB15" t="s">
        <v>234</v>
      </c>
      <c r="CI15" t="s">
        <v>235</v>
      </c>
      <c r="CP15" t="s">
        <v>165</v>
      </c>
      <c r="DC15" t="s">
        <v>214</v>
      </c>
      <c r="DP15" t="s">
        <v>215</v>
      </c>
      <c r="EC15" t="s">
        <v>166</v>
      </c>
      <c r="EP15" t="s">
        <v>167</v>
      </c>
      <c r="FD15" t="s">
        <v>135</v>
      </c>
      <c r="FJ15" t="s">
        <v>157</v>
      </c>
      <c r="FP15" t="s">
        <v>136</v>
      </c>
      <c r="FV15" t="s">
        <v>158</v>
      </c>
      <c r="GB15" t="s">
        <v>159</v>
      </c>
      <c r="GH15" t="s">
        <v>160</v>
      </c>
      <c r="GN15" t="s">
        <v>137</v>
      </c>
      <c r="GT15" t="s">
        <v>138</v>
      </c>
      <c r="GZ15" t="s">
        <v>206</v>
      </c>
      <c r="HF15" t="s">
        <v>207</v>
      </c>
      <c r="HL15" t="s">
        <v>139</v>
      </c>
      <c r="HR15" t="s">
        <v>140</v>
      </c>
      <c r="HX15" t="s">
        <v>141</v>
      </c>
      <c r="ID15" t="s">
        <v>257</v>
      </c>
      <c r="IH15" t="s">
        <v>142</v>
      </c>
      <c r="IN15" t="s">
        <v>143</v>
      </c>
      <c r="IT15" t="s">
        <v>144</v>
      </c>
      <c r="IZ15" t="s">
        <v>145</v>
      </c>
      <c r="JF15" t="s">
        <v>146</v>
      </c>
      <c r="JL15" t="s">
        <v>147</v>
      </c>
      <c r="JR15" t="s">
        <v>148</v>
      </c>
      <c r="JX15" t="s">
        <v>148</v>
      </c>
      <c r="KD15" t="s">
        <v>149</v>
      </c>
      <c r="KJ15" t="s">
        <v>150</v>
      </c>
      <c r="KP15" t="s">
        <v>151</v>
      </c>
      <c r="KV15" t="s">
        <v>161</v>
      </c>
      <c r="KX15" t="s">
        <v>162</v>
      </c>
      <c r="LD15" t="s">
        <v>162</v>
      </c>
      <c r="LJ15" t="s">
        <v>152</v>
      </c>
      <c r="LP15" t="s">
        <v>153</v>
      </c>
      <c r="LV15" t="s">
        <v>154</v>
      </c>
      <c r="MB15" t="s">
        <v>151</v>
      </c>
      <c r="MH15" t="s">
        <v>163</v>
      </c>
      <c r="MN15" t="s">
        <v>164</v>
      </c>
      <c r="NC15" t="s">
        <v>168</v>
      </c>
    </row>
    <row r="16" spans="1:370" x14ac:dyDescent="0.15">
      <c r="C16" t="s">
        <v>265</v>
      </c>
      <c r="D16" t="s">
        <v>266</v>
      </c>
      <c r="E16" t="s">
        <v>267</v>
      </c>
      <c r="F16" t="s">
        <v>268</v>
      </c>
      <c r="G16" t="s">
        <v>269</v>
      </c>
      <c r="H16" t="s">
        <v>285</v>
      </c>
      <c r="I16" t="s">
        <v>286</v>
      </c>
      <c r="J16" t="s">
        <v>265</v>
      </c>
      <c r="K16" t="s">
        <v>266</v>
      </c>
      <c r="L16" t="s">
        <v>267</v>
      </c>
      <c r="M16" t="s">
        <v>268</v>
      </c>
      <c r="N16" t="s">
        <v>269</v>
      </c>
      <c r="O16" t="s">
        <v>285</v>
      </c>
      <c r="P16" t="s">
        <v>286</v>
      </c>
      <c r="Q16" t="s">
        <v>265</v>
      </c>
      <c r="R16" t="s">
        <v>266</v>
      </c>
      <c r="S16" t="s">
        <v>267</v>
      </c>
      <c r="T16" t="s">
        <v>268</v>
      </c>
      <c r="U16" t="s">
        <v>269</v>
      </c>
      <c r="V16" t="s">
        <v>285</v>
      </c>
      <c r="W16" t="s">
        <v>286</v>
      </c>
      <c r="X16" t="s">
        <v>265</v>
      </c>
      <c r="Y16" t="s">
        <v>266</v>
      </c>
      <c r="Z16" t="s">
        <v>267</v>
      </c>
      <c r="AA16" t="s">
        <v>268</v>
      </c>
      <c r="AB16" t="s">
        <v>269</v>
      </c>
      <c r="AC16" t="s">
        <v>285</v>
      </c>
      <c r="AD16" t="s">
        <v>286</v>
      </c>
      <c r="AE16" t="s">
        <v>265</v>
      </c>
      <c r="AF16" t="s">
        <v>266</v>
      </c>
      <c r="AG16" t="s">
        <v>267</v>
      </c>
      <c r="AH16" t="s">
        <v>268</v>
      </c>
      <c r="AI16" t="s">
        <v>269</v>
      </c>
      <c r="AJ16" t="s">
        <v>285</v>
      </c>
      <c r="AK16" t="s">
        <v>286</v>
      </c>
      <c r="AL16" t="s">
        <v>265</v>
      </c>
      <c r="AM16" t="s">
        <v>266</v>
      </c>
      <c r="AN16" t="s">
        <v>267</v>
      </c>
      <c r="AO16" t="s">
        <v>268</v>
      </c>
      <c r="AP16" t="s">
        <v>269</v>
      </c>
      <c r="AQ16" t="s">
        <v>285</v>
      </c>
      <c r="AR16" t="s">
        <v>286</v>
      </c>
      <c r="AS16" t="s">
        <v>265</v>
      </c>
      <c r="AT16" t="s">
        <v>266</v>
      </c>
      <c r="AU16" t="s">
        <v>267</v>
      </c>
      <c r="AV16" t="s">
        <v>268</v>
      </c>
      <c r="AW16" t="s">
        <v>269</v>
      </c>
      <c r="AX16" t="s">
        <v>285</v>
      </c>
      <c r="AY16" t="s">
        <v>286</v>
      </c>
      <c r="AZ16" t="s">
        <v>265</v>
      </c>
      <c r="BA16" t="s">
        <v>266</v>
      </c>
      <c r="BB16" t="s">
        <v>267</v>
      </c>
      <c r="BC16" t="s">
        <v>268</v>
      </c>
      <c r="BD16" t="s">
        <v>269</v>
      </c>
      <c r="BE16" t="s">
        <v>285</v>
      </c>
      <c r="BF16" t="s">
        <v>286</v>
      </c>
      <c r="BG16" t="s">
        <v>265</v>
      </c>
      <c r="BH16" t="s">
        <v>266</v>
      </c>
      <c r="BI16" t="s">
        <v>267</v>
      </c>
      <c r="BJ16" t="s">
        <v>268</v>
      </c>
      <c r="BK16" t="s">
        <v>269</v>
      </c>
      <c r="BL16" t="s">
        <v>285</v>
      </c>
      <c r="BM16" t="s">
        <v>286</v>
      </c>
      <c r="BN16" t="s">
        <v>265</v>
      </c>
      <c r="BO16" t="s">
        <v>266</v>
      </c>
      <c r="BP16" t="s">
        <v>267</v>
      </c>
      <c r="BQ16" t="s">
        <v>268</v>
      </c>
      <c r="BR16" t="s">
        <v>269</v>
      </c>
      <c r="BS16" t="s">
        <v>285</v>
      </c>
      <c r="BT16" t="s">
        <v>286</v>
      </c>
      <c r="BU16" t="s">
        <v>265</v>
      </c>
      <c r="BV16" t="s">
        <v>266</v>
      </c>
      <c r="BW16" t="s">
        <v>267</v>
      </c>
      <c r="BX16" t="s">
        <v>268</v>
      </c>
      <c r="BY16" t="s">
        <v>269</v>
      </c>
      <c r="BZ16" t="s">
        <v>285</v>
      </c>
      <c r="CA16" t="s">
        <v>286</v>
      </c>
      <c r="CB16" t="s">
        <v>265</v>
      </c>
      <c r="CC16" t="s">
        <v>266</v>
      </c>
      <c r="CD16" t="s">
        <v>267</v>
      </c>
      <c r="CE16" t="s">
        <v>268</v>
      </c>
      <c r="CF16" t="s">
        <v>269</v>
      </c>
      <c r="CG16" t="s">
        <v>285</v>
      </c>
      <c r="CH16" t="s">
        <v>286</v>
      </c>
      <c r="CI16" t="s">
        <v>265</v>
      </c>
      <c r="CJ16" t="s">
        <v>266</v>
      </c>
      <c r="CK16" t="s">
        <v>267</v>
      </c>
      <c r="CL16" t="s">
        <v>268</v>
      </c>
      <c r="CM16" t="s">
        <v>269</v>
      </c>
      <c r="CN16" t="s">
        <v>285</v>
      </c>
      <c r="CO16" t="s">
        <v>286</v>
      </c>
      <c r="CP16" t="s">
        <v>267</v>
      </c>
      <c r="CQ16" t="s">
        <v>270</v>
      </c>
      <c r="CR16" t="s">
        <v>271</v>
      </c>
      <c r="CS16" t="s">
        <v>268</v>
      </c>
      <c r="CT16" t="s">
        <v>272</v>
      </c>
      <c r="CU16" t="s">
        <v>273</v>
      </c>
      <c r="CV16" t="s">
        <v>269</v>
      </c>
      <c r="CW16" t="s">
        <v>289</v>
      </c>
      <c r="CX16" t="s">
        <v>292</v>
      </c>
      <c r="CY16" t="s">
        <v>285</v>
      </c>
      <c r="CZ16" t="s">
        <v>290</v>
      </c>
      <c r="DA16" t="s">
        <v>293</v>
      </c>
      <c r="DB16" t="s">
        <v>286</v>
      </c>
      <c r="DC16" t="s">
        <v>267</v>
      </c>
      <c r="DD16" t="s">
        <v>270</v>
      </c>
      <c r="DE16" t="s">
        <v>271</v>
      </c>
      <c r="DF16" t="s">
        <v>268</v>
      </c>
      <c r="DG16" t="s">
        <v>272</v>
      </c>
      <c r="DH16" t="s">
        <v>273</v>
      </c>
      <c r="DI16" t="s">
        <v>269</v>
      </c>
      <c r="DJ16" t="s">
        <v>289</v>
      </c>
      <c r="DK16" t="s">
        <v>292</v>
      </c>
      <c r="DL16" t="s">
        <v>285</v>
      </c>
      <c r="DM16" t="s">
        <v>290</v>
      </c>
      <c r="DN16" t="s">
        <v>293</v>
      </c>
      <c r="DO16" t="s">
        <v>286</v>
      </c>
      <c r="DP16" t="s">
        <v>267</v>
      </c>
      <c r="DQ16" t="s">
        <v>270</v>
      </c>
      <c r="DR16" t="s">
        <v>271</v>
      </c>
      <c r="DS16" t="s">
        <v>268</v>
      </c>
      <c r="DT16" t="s">
        <v>272</v>
      </c>
      <c r="DU16" t="s">
        <v>273</v>
      </c>
      <c r="DV16" t="s">
        <v>269</v>
      </c>
      <c r="DW16" t="s">
        <v>289</v>
      </c>
      <c r="DX16" t="s">
        <v>292</v>
      </c>
      <c r="DY16" t="s">
        <v>285</v>
      </c>
      <c r="DZ16" t="s">
        <v>290</v>
      </c>
      <c r="EA16" t="s">
        <v>293</v>
      </c>
      <c r="EB16" t="s">
        <v>286</v>
      </c>
      <c r="EC16" t="s">
        <v>267</v>
      </c>
      <c r="ED16" t="s">
        <v>270</v>
      </c>
      <c r="EE16" t="s">
        <v>271</v>
      </c>
      <c r="EF16" t="s">
        <v>268</v>
      </c>
      <c r="EG16" t="s">
        <v>272</v>
      </c>
      <c r="EH16" t="s">
        <v>273</v>
      </c>
      <c r="EI16" t="s">
        <v>269</v>
      </c>
      <c r="EJ16" t="s">
        <v>289</v>
      </c>
      <c r="EK16" t="s">
        <v>292</v>
      </c>
      <c r="EL16" t="s">
        <v>285</v>
      </c>
      <c r="EM16" t="s">
        <v>290</v>
      </c>
      <c r="EN16" t="s">
        <v>293</v>
      </c>
      <c r="EO16" t="s">
        <v>286</v>
      </c>
      <c r="EP16" t="s">
        <v>267</v>
      </c>
      <c r="EQ16" t="s">
        <v>270</v>
      </c>
      <c r="ER16" t="s">
        <v>271</v>
      </c>
      <c r="ES16" t="s">
        <v>268</v>
      </c>
      <c r="ET16" t="s">
        <v>272</v>
      </c>
      <c r="EU16" t="s">
        <v>273</v>
      </c>
      <c r="EV16" t="s">
        <v>269</v>
      </c>
      <c r="EW16" t="s">
        <v>289</v>
      </c>
      <c r="EX16" t="s">
        <v>292</v>
      </c>
      <c r="EY16" t="s">
        <v>285</v>
      </c>
      <c r="EZ16" t="s">
        <v>290</v>
      </c>
      <c r="FA16" t="s">
        <v>293</v>
      </c>
      <c r="FB16" t="s">
        <v>286</v>
      </c>
      <c r="FD16" t="s">
        <v>287</v>
      </c>
      <c r="FE16" t="s">
        <v>288</v>
      </c>
      <c r="FF16" t="s">
        <v>270</v>
      </c>
      <c r="FG16" t="s">
        <v>272</v>
      </c>
      <c r="FH16" t="s">
        <v>289</v>
      </c>
      <c r="FI16" t="s">
        <v>290</v>
      </c>
      <c r="FJ16" t="s">
        <v>287</v>
      </c>
      <c r="FK16" t="s">
        <v>288</v>
      </c>
      <c r="FL16" t="s">
        <v>270</v>
      </c>
      <c r="FM16" t="s">
        <v>272</v>
      </c>
      <c r="FN16" t="s">
        <v>289</v>
      </c>
      <c r="FO16" t="s">
        <v>290</v>
      </c>
      <c r="FP16" t="s">
        <v>287</v>
      </c>
      <c r="FQ16" t="s">
        <v>288</v>
      </c>
      <c r="FR16" t="s">
        <v>270</v>
      </c>
      <c r="FS16" t="s">
        <v>272</v>
      </c>
      <c r="FT16" t="s">
        <v>289</v>
      </c>
      <c r="FU16" t="s">
        <v>290</v>
      </c>
      <c r="FV16" t="s">
        <v>287</v>
      </c>
      <c r="FW16" t="s">
        <v>288</v>
      </c>
      <c r="FX16" t="s">
        <v>270</v>
      </c>
      <c r="FY16" t="s">
        <v>272</v>
      </c>
      <c r="FZ16" t="s">
        <v>289</v>
      </c>
      <c r="GA16" t="s">
        <v>290</v>
      </c>
      <c r="GB16" t="s">
        <v>287</v>
      </c>
      <c r="GC16" t="s">
        <v>288</v>
      </c>
      <c r="GD16" t="s">
        <v>270</v>
      </c>
      <c r="GE16" t="s">
        <v>272</v>
      </c>
      <c r="GF16" t="s">
        <v>289</v>
      </c>
      <c r="GG16" t="s">
        <v>290</v>
      </c>
      <c r="GH16" t="s">
        <v>287</v>
      </c>
      <c r="GI16" t="s">
        <v>288</v>
      </c>
      <c r="GJ16" t="s">
        <v>270</v>
      </c>
      <c r="GK16" t="s">
        <v>272</v>
      </c>
      <c r="GL16" t="s">
        <v>289</v>
      </c>
      <c r="GM16" t="s">
        <v>290</v>
      </c>
      <c r="GN16" t="s">
        <v>287</v>
      </c>
      <c r="GO16" t="s">
        <v>288</v>
      </c>
      <c r="GP16" t="s">
        <v>270</v>
      </c>
      <c r="GQ16" t="s">
        <v>272</v>
      </c>
      <c r="GR16" t="s">
        <v>289</v>
      </c>
      <c r="GS16" t="s">
        <v>290</v>
      </c>
      <c r="GT16" t="s">
        <v>287</v>
      </c>
      <c r="GU16" t="s">
        <v>288</v>
      </c>
      <c r="GV16" t="s">
        <v>270</v>
      </c>
      <c r="GW16" t="s">
        <v>272</v>
      </c>
      <c r="GX16" t="s">
        <v>289</v>
      </c>
      <c r="GY16" t="s">
        <v>290</v>
      </c>
      <c r="GZ16" t="s">
        <v>287</v>
      </c>
      <c r="HA16" t="s">
        <v>288</v>
      </c>
      <c r="HB16" t="s">
        <v>270</v>
      </c>
      <c r="HC16" t="s">
        <v>272</v>
      </c>
      <c r="HD16" t="s">
        <v>289</v>
      </c>
      <c r="HE16" t="s">
        <v>290</v>
      </c>
      <c r="HF16" t="s">
        <v>287</v>
      </c>
      <c r="HG16" t="s">
        <v>288</v>
      </c>
      <c r="HH16" t="s">
        <v>270</v>
      </c>
      <c r="HI16" t="s">
        <v>272</v>
      </c>
      <c r="HJ16" t="s">
        <v>289</v>
      </c>
      <c r="HK16" t="s">
        <v>290</v>
      </c>
      <c r="HL16" t="s">
        <v>287</v>
      </c>
      <c r="HM16" t="s">
        <v>288</v>
      </c>
      <c r="HN16" t="s">
        <v>270</v>
      </c>
      <c r="HO16" t="s">
        <v>272</v>
      </c>
      <c r="HP16" t="s">
        <v>289</v>
      </c>
      <c r="HQ16" t="s">
        <v>290</v>
      </c>
      <c r="HR16" t="s">
        <v>287</v>
      </c>
      <c r="HS16" t="s">
        <v>288</v>
      </c>
      <c r="HT16" t="s">
        <v>270</v>
      </c>
      <c r="HU16" t="s">
        <v>272</v>
      </c>
      <c r="HV16" t="s">
        <v>289</v>
      </c>
      <c r="HW16" t="s">
        <v>290</v>
      </c>
      <c r="HX16" t="s">
        <v>287</v>
      </c>
      <c r="HY16" t="s">
        <v>288</v>
      </c>
      <c r="HZ16" t="s">
        <v>270</v>
      </c>
      <c r="IA16" t="s">
        <v>272</v>
      </c>
      <c r="IB16" t="s">
        <v>289</v>
      </c>
      <c r="IC16" t="s">
        <v>290</v>
      </c>
      <c r="ID16" t="s">
        <v>270</v>
      </c>
      <c r="IE16" t="s">
        <v>272</v>
      </c>
      <c r="IF16" t="s">
        <v>289</v>
      </c>
      <c r="IG16" t="s">
        <v>290</v>
      </c>
      <c r="IH16" t="s">
        <v>287</v>
      </c>
      <c r="II16" t="s">
        <v>288</v>
      </c>
      <c r="IJ16" t="s">
        <v>270</v>
      </c>
      <c r="IK16" t="s">
        <v>272</v>
      </c>
      <c r="IL16" t="s">
        <v>289</v>
      </c>
      <c r="IM16" t="s">
        <v>290</v>
      </c>
      <c r="IN16" t="s">
        <v>287</v>
      </c>
      <c r="IO16" t="s">
        <v>288</v>
      </c>
      <c r="IP16" t="s">
        <v>270</v>
      </c>
      <c r="IQ16" t="s">
        <v>272</v>
      </c>
      <c r="IR16" t="s">
        <v>289</v>
      </c>
      <c r="IS16" t="s">
        <v>290</v>
      </c>
      <c r="IT16" t="s">
        <v>287</v>
      </c>
      <c r="IU16" t="s">
        <v>291</v>
      </c>
      <c r="IV16" t="s">
        <v>271</v>
      </c>
      <c r="IW16" t="s">
        <v>273</v>
      </c>
      <c r="IX16" t="s">
        <v>292</v>
      </c>
      <c r="IY16" t="s">
        <v>293</v>
      </c>
      <c r="IZ16" t="s">
        <v>287</v>
      </c>
      <c r="JA16" t="s">
        <v>291</v>
      </c>
      <c r="JB16" t="s">
        <v>271</v>
      </c>
      <c r="JC16" t="s">
        <v>273</v>
      </c>
      <c r="JD16" t="s">
        <v>292</v>
      </c>
      <c r="JE16" t="s">
        <v>293</v>
      </c>
      <c r="JF16" t="s">
        <v>287</v>
      </c>
      <c r="JG16" t="s">
        <v>291</v>
      </c>
      <c r="JH16" t="s">
        <v>271</v>
      </c>
      <c r="JI16" t="s">
        <v>273</v>
      </c>
      <c r="JJ16" t="s">
        <v>292</v>
      </c>
      <c r="JK16" t="s">
        <v>293</v>
      </c>
      <c r="JL16" t="s">
        <v>287</v>
      </c>
      <c r="JM16" t="s">
        <v>291</v>
      </c>
      <c r="JN16" t="s">
        <v>271</v>
      </c>
      <c r="JO16" t="s">
        <v>273</v>
      </c>
      <c r="JP16" t="s">
        <v>292</v>
      </c>
      <c r="JQ16" t="s">
        <v>293</v>
      </c>
      <c r="JR16" t="s">
        <v>287</v>
      </c>
      <c r="JS16" t="s">
        <v>291</v>
      </c>
      <c r="JT16" t="s">
        <v>271</v>
      </c>
      <c r="JU16" t="s">
        <v>273</v>
      </c>
      <c r="JV16" t="s">
        <v>292</v>
      </c>
      <c r="JW16" t="s">
        <v>293</v>
      </c>
      <c r="JX16" t="s">
        <v>287</v>
      </c>
      <c r="JY16" t="s">
        <v>291</v>
      </c>
      <c r="JZ16" t="s">
        <v>271</v>
      </c>
      <c r="KA16" t="s">
        <v>273</v>
      </c>
      <c r="KB16" t="s">
        <v>292</v>
      </c>
      <c r="KC16" t="s">
        <v>293</v>
      </c>
      <c r="KD16" t="s">
        <v>287</v>
      </c>
      <c r="KE16" t="s">
        <v>291</v>
      </c>
      <c r="KF16" t="s">
        <v>271</v>
      </c>
      <c r="KG16" t="s">
        <v>273</v>
      </c>
      <c r="KH16" t="s">
        <v>292</v>
      </c>
      <c r="KI16" t="s">
        <v>293</v>
      </c>
      <c r="KJ16" t="s">
        <v>287</v>
      </c>
      <c r="KK16" t="s">
        <v>291</v>
      </c>
      <c r="KL16" t="s">
        <v>271</v>
      </c>
      <c r="KM16" t="s">
        <v>273</v>
      </c>
      <c r="KN16" t="s">
        <v>292</v>
      </c>
      <c r="KO16" t="s">
        <v>294</v>
      </c>
      <c r="KP16" t="s">
        <v>287</v>
      </c>
      <c r="KQ16" t="s">
        <v>291</v>
      </c>
      <c r="KR16" t="s">
        <v>271</v>
      </c>
      <c r="KS16" t="s">
        <v>273</v>
      </c>
      <c r="KT16" t="s">
        <v>292</v>
      </c>
      <c r="KU16" t="s">
        <v>293</v>
      </c>
      <c r="KV16" t="s">
        <v>287</v>
      </c>
      <c r="KW16" t="s">
        <v>291</v>
      </c>
      <c r="KX16" t="s">
        <v>287</v>
      </c>
      <c r="KY16" t="s">
        <v>291</v>
      </c>
      <c r="KZ16" t="s">
        <v>271</v>
      </c>
      <c r="LA16" t="s">
        <v>273</v>
      </c>
      <c r="LB16" t="s">
        <v>292</v>
      </c>
      <c r="LC16" t="s">
        <v>293</v>
      </c>
      <c r="LD16" t="s">
        <v>287</v>
      </c>
      <c r="LE16" t="s">
        <v>291</v>
      </c>
      <c r="LF16" t="s">
        <v>271</v>
      </c>
      <c r="LG16" t="s">
        <v>273</v>
      </c>
      <c r="LH16" t="s">
        <v>292</v>
      </c>
      <c r="LI16" t="s">
        <v>293</v>
      </c>
      <c r="LJ16" t="s">
        <v>287</v>
      </c>
      <c r="LK16" t="s">
        <v>291</v>
      </c>
      <c r="LL16" t="s">
        <v>271</v>
      </c>
      <c r="LM16" t="s">
        <v>273</v>
      </c>
      <c r="LN16" t="s">
        <v>292</v>
      </c>
      <c r="LO16" t="s">
        <v>293</v>
      </c>
      <c r="LP16" t="s">
        <v>287</v>
      </c>
      <c r="LQ16" t="s">
        <v>291</v>
      </c>
      <c r="LR16" t="s">
        <v>271</v>
      </c>
      <c r="LS16" t="s">
        <v>273</v>
      </c>
      <c r="LT16" t="s">
        <v>292</v>
      </c>
      <c r="LU16" t="s">
        <v>293</v>
      </c>
      <c r="LV16" t="s">
        <v>287</v>
      </c>
      <c r="LW16" t="s">
        <v>291</v>
      </c>
      <c r="LX16" t="s">
        <v>271</v>
      </c>
      <c r="LY16" t="s">
        <v>273</v>
      </c>
      <c r="LZ16" t="s">
        <v>292</v>
      </c>
      <c r="MA16" t="s">
        <v>293</v>
      </c>
      <c r="MB16" t="s">
        <v>287</v>
      </c>
      <c r="MC16" t="s">
        <v>291</v>
      </c>
      <c r="MD16" t="s">
        <v>271</v>
      </c>
      <c r="ME16" t="s">
        <v>273</v>
      </c>
      <c r="MF16" t="s">
        <v>292</v>
      </c>
      <c r="MG16" t="s">
        <v>293</v>
      </c>
      <c r="MH16" t="s">
        <v>287</v>
      </c>
      <c r="MI16" t="s">
        <v>291</v>
      </c>
      <c r="MJ16" t="s">
        <v>271</v>
      </c>
      <c r="MK16" t="s">
        <v>273</v>
      </c>
      <c r="ML16" t="s">
        <v>292</v>
      </c>
      <c r="MM16" t="s">
        <v>293</v>
      </c>
      <c r="MN16" t="s">
        <v>287</v>
      </c>
      <c r="MO16" t="s">
        <v>291</v>
      </c>
      <c r="MP16" t="s">
        <v>271</v>
      </c>
      <c r="MQ16" t="s">
        <v>273</v>
      </c>
      <c r="MR16" t="s">
        <v>292</v>
      </c>
      <c r="MS16" t="s">
        <v>293</v>
      </c>
      <c r="NC16" t="s">
        <v>287</v>
      </c>
      <c r="ND16" t="s">
        <v>288</v>
      </c>
      <c r="NE16" t="s">
        <v>270</v>
      </c>
      <c r="NF16" t="s">
        <v>272</v>
      </c>
    </row>
    <row r="17" spans="2:370" x14ac:dyDescent="0.15">
      <c r="B17" t="s">
        <v>59</v>
      </c>
      <c r="C17">
        <v>9</v>
      </c>
      <c r="D17">
        <v>12</v>
      </c>
      <c r="E17">
        <v>25</v>
      </c>
      <c r="F17">
        <v>22</v>
      </c>
      <c r="G17">
        <v>26</v>
      </c>
      <c r="H17">
        <v>26</v>
      </c>
      <c r="I17">
        <v>24</v>
      </c>
      <c r="J17">
        <v>9</v>
      </c>
      <c r="K17">
        <v>14</v>
      </c>
      <c r="L17">
        <v>20</v>
      </c>
      <c r="M17">
        <v>24</v>
      </c>
      <c r="N17">
        <v>24</v>
      </c>
      <c r="O17">
        <v>23</v>
      </c>
      <c r="P17">
        <v>22</v>
      </c>
      <c r="Q17">
        <v>8</v>
      </c>
      <c r="R17">
        <v>10</v>
      </c>
      <c r="S17">
        <v>15</v>
      </c>
      <c r="T17">
        <v>19</v>
      </c>
      <c r="U17">
        <v>19</v>
      </c>
      <c r="V17">
        <v>15</v>
      </c>
      <c r="W17">
        <v>18</v>
      </c>
      <c r="X17">
        <v>12</v>
      </c>
      <c r="Y17">
        <v>15</v>
      </c>
      <c r="Z17">
        <v>17</v>
      </c>
      <c r="AA17">
        <v>21</v>
      </c>
      <c r="AB17">
        <v>21</v>
      </c>
      <c r="AC17">
        <v>18</v>
      </c>
      <c r="AD17">
        <v>25</v>
      </c>
      <c r="AE17">
        <v>9</v>
      </c>
      <c r="AF17">
        <v>13</v>
      </c>
      <c r="AG17">
        <v>17</v>
      </c>
      <c r="AH17">
        <v>17</v>
      </c>
      <c r="AI17">
        <v>21</v>
      </c>
      <c r="AJ17">
        <v>19</v>
      </c>
      <c r="AK17">
        <v>21</v>
      </c>
      <c r="AL17">
        <v>13</v>
      </c>
      <c r="AM17">
        <v>23</v>
      </c>
      <c r="AN17">
        <v>17</v>
      </c>
      <c r="AO17">
        <v>26</v>
      </c>
      <c r="AP17">
        <v>28</v>
      </c>
      <c r="AQ17">
        <v>32</v>
      </c>
      <c r="AR17">
        <v>27</v>
      </c>
      <c r="AS17">
        <v>6</v>
      </c>
      <c r="AT17">
        <v>11</v>
      </c>
      <c r="AU17">
        <v>13</v>
      </c>
      <c r="AV17">
        <v>15</v>
      </c>
      <c r="AW17">
        <v>18</v>
      </c>
      <c r="AX17">
        <v>22</v>
      </c>
      <c r="AY17">
        <v>23</v>
      </c>
      <c r="AZ17">
        <v>7</v>
      </c>
      <c r="BA17">
        <v>12</v>
      </c>
      <c r="BB17">
        <v>15</v>
      </c>
      <c r="BC17">
        <v>19</v>
      </c>
      <c r="BD17">
        <v>20</v>
      </c>
      <c r="BE17">
        <v>21</v>
      </c>
      <c r="BF17">
        <v>22</v>
      </c>
      <c r="BG17">
        <v>16</v>
      </c>
      <c r="BH17">
        <v>11</v>
      </c>
      <c r="BI17">
        <v>14</v>
      </c>
      <c r="BJ17">
        <v>17</v>
      </c>
      <c r="BK17">
        <v>18</v>
      </c>
      <c r="BL17">
        <v>17</v>
      </c>
      <c r="BM17">
        <v>19</v>
      </c>
      <c r="BN17">
        <v>2</v>
      </c>
      <c r="BO17">
        <v>5</v>
      </c>
      <c r="BP17">
        <v>9</v>
      </c>
      <c r="BQ17">
        <v>8</v>
      </c>
      <c r="BR17">
        <v>17</v>
      </c>
      <c r="BS17">
        <v>18</v>
      </c>
      <c r="BT17">
        <v>15</v>
      </c>
      <c r="BU17">
        <v>7</v>
      </c>
      <c r="BV17">
        <v>9</v>
      </c>
      <c r="BW17">
        <v>16</v>
      </c>
      <c r="BX17">
        <v>21</v>
      </c>
      <c r="BY17">
        <v>23</v>
      </c>
      <c r="BZ17">
        <v>22</v>
      </c>
      <c r="CA17">
        <v>21</v>
      </c>
      <c r="CB17">
        <v>10</v>
      </c>
      <c r="CC17">
        <v>17</v>
      </c>
      <c r="CD17">
        <v>18</v>
      </c>
      <c r="CE17">
        <v>17</v>
      </c>
      <c r="CF17">
        <v>17</v>
      </c>
      <c r="CG17">
        <v>17</v>
      </c>
      <c r="CH17">
        <v>19</v>
      </c>
      <c r="CI17">
        <v>8</v>
      </c>
      <c r="CJ17">
        <v>11</v>
      </c>
      <c r="CK17">
        <v>12</v>
      </c>
      <c r="CL17">
        <v>13</v>
      </c>
      <c r="CM17">
        <v>12</v>
      </c>
      <c r="CN17">
        <v>15</v>
      </c>
      <c r="CO17">
        <v>13</v>
      </c>
      <c r="CP17">
        <v>1</v>
      </c>
      <c r="CQ17">
        <v>1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3</v>
      </c>
      <c r="CY17">
        <v>2</v>
      </c>
      <c r="CZ17">
        <v>3</v>
      </c>
      <c r="DA17">
        <v>2</v>
      </c>
      <c r="DB17">
        <v>2</v>
      </c>
      <c r="DC17">
        <v>2</v>
      </c>
      <c r="DD17">
        <v>10</v>
      </c>
      <c r="DE17">
        <v>10</v>
      </c>
      <c r="DF17">
        <v>10</v>
      </c>
      <c r="DG17">
        <v>9</v>
      </c>
      <c r="DH17">
        <v>10</v>
      </c>
      <c r="DI17">
        <v>12</v>
      </c>
      <c r="DJ17">
        <v>16</v>
      </c>
      <c r="DK17">
        <v>16</v>
      </c>
      <c r="DL17">
        <v>18</v>
      </c>
      <c r="DM17">
        <v>17</v>
      </c>
      <c r="DN17">
        <v>18</v>
      </c>
      <c r="DO17">
        <v>18</v>
      </c>
      <c r="DP17">
        <v>3</v>
      </c>
      <c r="DQ17">
        <v>8</v>
      </c>
      <c r="DR17">
        <v>6</v>
      </c>
      <c r="DS17">
        <v>11</v>
      </c>
      <c r="DT17">
        <v>11</v>
      </c>
      <c r="DU17">
        <v>13</v>
      </c>
      <c r="DV17">
        <v>16</v>
      </c>
      <c r="DW17">
        <v>18</v>
      </c>
      <c r="DX17">
        <v>12</v>
      </c>
      <c r="DY17">
        <v>14</v>
      </c>
      <c r="DZ17">
        <v>12</v>
      </c>
      <c r="EA17">
        <v>12</v>
      </c>
      <c r="EB17">
        <v>14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2</v>
      </c>
      <c r="EI17">
        <v>2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0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D17">
        <v>6</v>
      </c>
      <c r="FE17">
        <v>9</v>
      </c>
      <c r="FF17">
        <v>7</v>
      </c>
      <c r="FG17">
        <v>11</v>
      </c>
      <c r="FH17">
        <v>12</v>
      </c>
      <c r="FI17">
        <v>11</v>
      </c>
      <c r="FJ17">
        <v>10</v>
      </c>
      <c r="FK17">
        <v>12</v>
      </c>
      <c r="FL17">
        <v>12</v>
      </c>
      <c r="FM17">
        <v>11</v>
      </c>
      <c r="FN17">
        <v>12</v>
      </c>
      <c r="FO17">
        <v>10</v>
      </c>
      <c r="FP17">
        <v>7</v>
      </c>
      <c r="FQ17">
        <v>10</v>
      </c>
      <c r="FR17">
        <v>16</v>
      </c>
      <c r="FS17">
        <v>14</v>
      </c>
      <c r="FT17">
        <v>17</v>
      </c>
      <c r="FU17">
        <v>19</v>
      </c>
      <c r="FV17">
        <v>8</v>
      </c>
      <c r="FW17">
        <v>8</v>
      </c>
      <c r="FX17">
        <v>10</v>
      </c>
      <c r="FY17">
        <v>14</v>
      </c>
      <c r="FZ17">
        <v>13</v>
      </c>
      <c r="GA17">
        <v>13</v>
      </c>
      <c r="GB17">
        <v>6</v>
      </c>
      <c r="GC17">
        <v>6</v>
      </c>
      <c r="GD17">
        <v>10</v>
      </c>
      <c r="GE17">
        <v>10</v>
      </c>
      <c r="GF17">
        <v>11</v>
      </c>
      <c r="GG17">
        <v>12</v>
      </c>
      <c r="GH17">
        <v>4</v>
      </c>
      <c r="GI17">
        <v>4</v>
      </c>
      <c r="GJ17">
        <v>6</v>
      </c>
      <c r="GK17">
        <v>6</v>
      </c>
      <c r="GL17">
        <v>8</v>
      </c>
      <c r="GM17">
        <v>8</v>
      </c>
      <c r="GN17">
        <v>9</v>
      </c>
      <c r="GO17">
        <v>7</v>
      </c>
      <c r="GP17">
        <v>11</v>
      </c>
      <c r="GQ17">
        <v>12</v>
      </c>
      <c r="GR17">
        <v>11</v>
      </c>
      <c r="GS17">
        <v>14</v>
      </c>
      <c r="GT17">
        <v>4</v>
      </c>
      <c r="GU17">
        <v>8</v>
      </c>
      <c r="GV17">
        <v>10</v>
      </c>
      <c r="GW17">
        <v>11</v>
      </c>
      <c r="GX17">
        <v>15</v>
      </c>
      <c r="GY17">
        <v>13</v>
      </c>
      <c r="GZ17">
        <v>4</v>
      </c>
      <c r="HA17">
        <v>2</v>
      </c>
      <c r="HB17">
        <v>1</v>
      </c>
      <c r="HC17">
        <v>2</v>
      </c>
      <c r="HD17">
        <v>2</v>
      </c>
      <c r="HE17">
        <v>1</v>
      </c>
      <c r="HF17">
        <v>0</v>
      </c>
      <c r="HG17">
        <v>4</v>
      </c>
      <c r="HH17">
        <v>4</v>
      </c>
      <c r="HI17">
        <v>3</v>
      </c>
      <c r="HJ17">
        <v>5</v>
      </c>
      <c r="HK17">
        <v>4</v>
      </c>
      <c r="HL17">
        <v>8</v>
      </c>
      <c r="HM17">
        <v>9</v>
      </c>
      <c r="HN17">
        <v>8</v>
      </c>
      <c r="HO17">
        <v>10</v>
      </c>
      <c r="HP17">
        <v>10</v>
      </c>
      <c r="HQ17">
        <v>11</v>
      </c>
      <c r="HR17">
        <v>8</v>
      </c>
      <c r="HS17">
        <v>7</v>
      </c>
      <c r="HT17">
        <v>10</v>
      </c>
      <c r="HU17">
        <v>11</v>
      </c>
      <c r="HV17">
        <v>12</v>
      </c>
      <c r="HW17">
        <v>15</v>
      </c>
      <c r="HX17">
        <v>5</v>
      </c>
      <c r="HY17">
        <v>6</v>
      </c>
      <c r="HZ17">
        <v>6</v>
      </c>
      <c r="IA17">
        <v>6</v>
      </c>
      <c r="IB17">
        <v>6</v>
      </c>
      <c r="IC17">
        <v>6</v>
      </c>
      <c r="ID17">
        <v>3</v>
      </c>
      <c r="IE17">
        <v>3</v>
      </c>
      <c r="IF17">
        <v>6</v>
      </c>
      <c r="IG17">
        <v>5</v>
      </c>
      <c r="IH17">
        <v>7</v>
      </c>
      <c r="II17">
        <v>5</v>
      </c>
      <c r="IJ17">
        <v>4</v>
      </c>
      <c r="IK17">
        <v>5</v>
      </c>
      <c r="IL17">
        <v>4</v>
      </c>
      <c r="IM17">
        <v>6</v>
      </c>
      <c r="IN17">
        <v>7</v>
      </c>
      <c r="IO17">
        <v>8</v>
      </c>
      <c r="IP17">
        <v>10</v>
      </c>
      <c r="IQ17">
        <v>10</v>
      </c>
      <c r="IR17">
        <v>11</v>
      </c>
      <c r="IS17">
        <v>13</v>
      </c>
      <c r="IT17">
        <v>9</v>
      </c>
      <c r="IU17">
        <v>15</v>
      </c>
      <c r="IV17">
        <v>14</v>
      </c>
      <c r="IW17">
        <v>14</v>
      </c>
      <c r="IX17">
        <v>10</v>
      </c>
      <c r="IY17">
        <v>10</v>
      </c>
      <c r="IZ17">
        <v>5</v>
      </c>
      <c r="JA17">
        <v>8</v>
      </c>
      <c r="JB17">
        <v>10</v>
      </c>
      <c r="JC17">
        <v>8</v>
      </c>
      <c r="JD17">
        <v>8</v>
      </c>
      <c r="JE17">
        <v>10</v>
      </c>
      <c r="JF17">
        <v>5</v>
      </c>
      <c r="JG17">
        <v>9</v>
      </c>
      <c r="JH17">
        <v>12</v>
      </c>
      <c r="JI17">
        <v>12</v>
      </c>
      <c r="JJ17">
        <v>13</v>
      </c>
      <c r="JK17">
        <v>14</v>
      </c>
      <c r="JL17">
        <v>6</v>
      </c>
      <c r="JM17">
        <v>8</v>
      </c>
      <c r="JN17">
        <v>9</v>
      </c>
      <c r="JO17">
        <v>13</v>
      </c>
      <c r="JP17">
        <v>10</v>
      </c>
      <c r="JQ17">
        <v>10</v>
      </c>
      <c r="JR17">
        <v>8</v>
      </c>
      <c r="JS17">
        <v>8</v>
      </c>
      <c r="JT17">
        <v>8</v>
      </c>
      <c r="JU17">
        <v>11</v>
      </c>
      <c r="JV17">
        <v>8</v>
      </c>
      <c r="JW17">
        <v>10</v>
      </c>
      <c r="JX17">
        <v>4</v>
      </c>
      <c r="JY17">
        <v>7</v>
      </c>
      <c r="JZ17">
        <v>6</v>
      </c>
      <c r="KA17">
        <v>6</v>
      </c>
      <c r="KB17">
        <v>6</v>
      </c>
      <c r="KC17">
        <v>6</v>
      </c>
      <c r="KD17">
        <v>3</v>
      </c>
      <c r="KE17">
        <v>6</v>
      </c>
      <c r="KF17">
        <v>4</v>
      </c>
      <c r="KG17">
        <v>4</v>
      </c>
      <c r="KH17">
        <v>6</v>
      </c>
      <c r="KI17">
        <v>3</v>
      </c>
      <c r="KJ17">
        <v>4</v>
      </c>
      <c r="KK17">
        <v>4</v>
      </c>
      <c r="KL17">
        <v>4</v>
      </c>
      <c r="KM17">
        <v>4</v>
      </c>
      <c r="KN17">
        <v>2</v>
      </c>
      <c r="KO17">
        <v>4</v>
      </c>
      <c r="KP17">
        <v>5</v>
      </c>
      <c r="KQ17">
        <v>7</v>
      </c>
      <c r="KR17">
        <v>6</v>
      </c>
      <c r="KS17">
        <v>6</v>
      </c>
      <c r="KT17">
        <v>8</v>
      </c>
      <c r="KU17">
        <v>8</v>
      </c>
      <c r="KV17">
        <v>2</v>
      </c>
      <c r="KW17">
        <v>0</v>
      </c>
      <c r="KX17">
        <v>3</v>
      </c>
      <c r="KY17">
        <v>7</v>
      </c>
      <c r="KZ17">
        <v>6</v>
      </c>
      <c r="LA17">
        <v>5</v>
      </c>
      <c r="LB17">
        <v>6</v>
      </c>
      <c r="LC17">
        <v>5</v>
      </c>
      <c r="LD17">
        <v>5</v>
      </c>
      <c r="LE17">
        <v>6</v>
      </c>
      <c r="LF17">
        <v>3</v>
      </c>
      <c r="LG17">
        <v>3</v>
      </c>
      <c r="LH17">
        <v>4</v>
      </c>
      <c r="LI17">
        <v>7</v>
      </c>
      <c r="LJ17">
        <v>4</v>
      </c>
      <c r="LK17">
        <v>4</v>
      </c>
      <c r="LL17">
        <v>2</v>
      </c>
      <c r="LM17">
        <v>3</v>
      </c>
      <c r="LN17">
        <v>4</v>
      </c>
      <c r="LO17">
        <v>3</v>
      </c>
      <c r="LP17">
        <v>2</v>
      </c>
      <c r="LQ17">
        <v>1</v>
      </c>
      <c r="LR17">
        <v>1</v>
      </c>
      <c r="LS17">
        <v>0</v>
      </c>
      <c r="LT17">
        <v>2</v>
      </c>
      <c r="LU17">
        <v>1</v>
      </c>
      <c r="LV17">
        <v>6</v>
      </c>
      <c r="LW17">
        <v>5</v>
      </c>
      <c r="LX17">
        <v>5</v>
      </c>
      <c r="LY17">
        <v>6</v>
      </c>
      <c r="LZ17">
        <v>6</v>
      </c>
      <c r="MA17">
        <v>6</v>
      </c>
      <c r="MB17">
        <v>9</v>
      </c>
      <c r="MC17">
        <v>8</v>
      </c>
      <c r="MD17">
        <v>8</v>
      </c>
      <c r="ME17">
        <v>8</v>
      </c>
      <c r="MF17">
        <v>9</v>
      </c>
      <c r="MG17">
        <v>6</v>
      </c>
      <c r="MH17">
        <v>8</v>
      </c>
      <c r="MI17">
        <v>4</v>
      </c>
      <c r="MJ17">
        <v>8</v>
      </c>
      <c r="MK17">
        <v>9</v>
      </c>
      <c r="ML17">
        <v>10</v>
      </c>
      <c r="MM17">
        <v>11</v>
      </c>
      <c r="MN17">
        <v>4</v>
      </c>
      <c r="MO17">
        <v>4</v>
      </c>
      <c r="MP17">
        <v>7</v>
      </c>
      <c r="MQ17">
        <v>7</v>
      </c>
      <c r="MR17">
        <v>5</v>
      </c>
      <c r="MS17">
        <v>5</v>
      </c>
      <c r="NC17">
        <v>4</v>
      </c>
      <c r="ND17">
        <v>2</v>
      </c>
      <c r="NE17">
        <v>2</v>
      </c>
      <c r="NF17">
        <v>5</v>
      </c>
    </row>
    <row r="23" spans="2:370" x14ac:dyDescent="0.15">
      <c r="F23" s="231" t="s">
        <v>260</v>
      </c>
      <c r="G23" t="s">
        <v>1</v>
      </c>
      <c r="H23" t="s">
        <v>264</v>
      </c>
      <c r="I23" t="s">
        <v>59</v>
      </c>
      <c r="M23" s="232" t="s">
        <v>264</v>
      </c>
      <c r="U23" s="4"/>
    </row>
    <row r="24" spans="2:370" x14ac:dyDescent="0.15">
      <c r="F24" s="231">
        <v>1</v>
      </c>
      <c r="G24" t="s">
        <v>2</v>
      </c>
      <c r="H24" t="s">
        <v>265</v>
      </c>
      <c r="I24">
        <v>9</v>
      </c>
      <c r="M24" s="232" t="s">
        <v>299</v>
      </c>
    </row>
    <row r="25" spans="2:370" x14ac:dyDescent="0.15">
      <c r="F25" s="231">
        <v>2</v>
      </c>
      <c r="G25" t="s">
        <v>3</v>
      </c>
      <c r="H25" t="s">
        <v>265</v>
      </c>
      <c r="I25">
        <v>9</v>
      </c>
    </row>
    <row r="26" spans="2:370" x14ac:dyDescent="0.15">
      <c r="F26" s="231">
        <v>3</v>
      </c>
      <c r="G26" t="s">
        <v>9</v>
      </c>
      <c r="H26" t="s">
        <v>265</v>
      </c>
      <c r="I26">
        <v>8</v>
      </c>
      <c r="M26" s="231" t="s">
        <v>260</v>
      </c>
      <c r="N26" t="s">
        <v>1</v>
      </c>
      <c r="O26" t="s">
        <v>59</v>
      </c>
    </row>
    <row r="27" spans="2:370" x14ac:dyDescent="0.15">
      <c r="F27" s="231">
        <v>4</v>
      </c>
      <c r="G27" t="s">
        <v>113</v>
      </c>
      <c r="H27" t="s">
        <v>265</v>
      </c>
      <c r="I27">
        <v>11</v>
      </c>
      <c r="M27" s="231">
        <v>1</v>
      </c>
      <c r="N27" t="s">
        <v>188</v>
      </c>
      <c r="O27">
        <v>24</v>
      </c>
      <c r="Y27" t="s">
        <v>0</v>
      </c>
      <c r="AA27" t="s">
        <v>275</v>
      </c>
    </row>
    <row r="28" spans="2:370" x14ac:dyDescent="0.15">
      <c r="F28" s="231">
        <v>5</v>
      </c>
      <c r="G28" t="s">
        <v>124</v>
      </c>
      <c r="H28" t="s">
        <v>265</v>
      </c>
      <c r="I28">
        <v>9</v>
      </c>
      <c r="M28" s="231">
        <v>2</v>
      </c>
      <c r="N28" t="s">
        <v>223</v>
      </c>
      <c r="O28">
        <v>22</v>
      </c>
      <c r="Y28" s="233">
        <v>13</v>
      </c>
      <c r="Z28" s="192"/>
      <c r="AA28" s="192"/>
      <c r="AB28" s="192"/>
      <c r="AC28" s="192"/>
      <c r="AD28" s="192"/>
    </row>
    <row r="29" spans="2:370" x14ac:dyDescent="0.15">
      <c r="F29" s="231">
        <v>6</v>
      </c>
      <c r="G29" t="s">
        <v>125</v>
      </c>
      <c r="H29" t="s">
        <v>265</v>
      </c>
      <c r="I29">
        <v>15</v>
      </c>
      <c r="M29" s="231">
        <v>3</v>
      </c>
      <c r="N29" t="s">
        <v>224</v>
      </c>
      <c r="O29">
        <v>18</v>
      </c>
      <c r="Y29" s="233">
        <v>12</v>
      </c>
      <c r="Z29" s="192"/>
      <c r="AA29" s="192"/>
      <c r="AB29" s="192"/>
      <c r="AC29" s="192"/>
      <c r="AD29" s="192"/>
    </row>
    <row r="30" spans="2:370" x14ac:dyDescent="0.15">
      <c r="F30" s="231">
        <v>7</v>
      </c>
      <c r="G30" t="s">
        <v>126</v>
      </c>
      <c r="H30" t="s">
        <v>265</v>
      </c>
      <c r="I30">
        <v>7</v>
      </c>
      <c r="M30" s="231">
        <v>4</v>
      </c>
      <c r="N30" t="s">
        <v>225</v>
      </c>
      <c r="O30">
        <v>25</v>
      </c>
      <c r="Y30" s="233">
        <v>11</v>
      </c>
      <c r="Z30" s="192"/>
      <c r="AA30" s="192"/>
      <c r="AB30" s="192"/>
      <c r="AC30" s="192"/>
      <c r="AD30" s="192"/>
    </row>
    <row r="31" spans="2:370" x14ac:dyDescent="0.15">
      <c r="F31" s="231">
        <v>8</v>
      </c>
      <c r="G31" t="s">
        <v>127</v>
      </c>
      <c r="H31" t="s">
        <v>265</v>
      </c>
      <c r="I31">
        <v>7</v>
      </c>
      <c r="M31" s="231">
        <v>5</v>
      </c>
      <c r="N31" t="s">
        <v>226</v>
      </c>
      <c r="O31">
        <v>21</v>
      </c>
      <c r="Y31" s="233">
        <v>10</v>
      </c>
      <c r="Z31" s="192"/>
      <c r="AA31" s="192"/>
      <c r="AB31" s="192">
        <v>1</v>
      </c>
      <c r="AC31" s="192">
        <v>1</v>
      </c>
      <c r="AD31" s="192" t="s">
        <v>276</v>
      </c>
    </row>
    <row r="32" spans="2:370" x14ac:dyDescent="0.15">
      <c r="F32" s="231">
        <v>9</v>
      </c>
      <c r="G32" t="s">
        <v>259</v>
      </c>
      <c r="H32" t="s">
        <v>265</v>
      </c>
      <c r="I32">
        <v>16</v>
      </c>
      <c r="M32" s="231">
        <v>6</v>
      </c>
      <c r="N32" t="s">
        <v>125</v>
      </c>
      <c r="O32">
        <v>27</v>
      </c>
      <c r="Y32" s="233">
        <v>9</v>
      </c>
      <c r="Z32" s="192"/>
      <c r="AA32" s="192"/>
      <c r="AB32" s="192"/>
      <c r="AC32" s="192"/>
      <c r="AD32" s="192"/>
    </row>
    <row r="33" spans="6:30" x14ac:dyDescent="0.15">
      <c r="F33" s="231">
        <v>10</v>
      </c>
      <c r="G33" t="s">
        <v>128</v>
      </c>
      <c r="H33" t="s">
        <v>265</v>
      </c>
      <c r="I33">
        <v>2</v>
      </c>
      <c r="M33" s="231">
        <v>7</v>
      </c>
      <c r="N33" t="s">
        <v>126</v>
      </c>
      <c r="O33">
        <v>17</v>
      </c>
      <c r="Y33" s="233">
        <v>8</v>
      </c>
      <c r="Z33" s="192"/>
      <c r="AA33" s="192"/>
      <c r="AB33" s="192"/>
      <c r="AC33" s="192"/>
      <c r="AD33" s="192"/>
    </row>
    <row r="34" spans="6:30" x14ac:dyDescent="0.15">
      <c r="F34" s="231">
        <v>12</v>
      </c>
      <c r="G34" t="s">
        <v>130</v>
      </c>
      <c r="H34" t="s">
        <v>265</v>
      </c>
      <c r="I34">
        <v>10</v>
      </c>
      <c r="M34" s="231">
        <v>8</v>
      </c>
      <c r="N34" t="s">
        <v>127</v>
      </c>
      <c r="O34">
        <v>22</v>
      </c>
      <c r="Y34" s="233">
        <v>7</v>
      </c>
      <c r="Z34" s="192"/>
      <c r="AA34" s="192"/>
      <c r="AB34" s="192"/>
      <c r="AC34" s="192"/>
      <c r="AD34" s="192"/>
    </row>
    <row r="35" spans="6:30" x14ac:dyDescent="0.15">
      <c r="F35" s="231">
        <v>13</v>
      </c>
      <c r="G35" t="s">
        <v>131</v>
      </c>
      <c r="H35" t="s">
        <v>265</v>
      </c>
      <c r="I35">
        <v>8</v>
      </c>
      <c r="M35" s="231">
        <v>9</v>
      </c>
      <c r="N35" t="s">
        <v>259</v>
      </c>
      <c r="O35">
        <v>16</v>
      </c>
      <c r="Y35" s="233">
        <v>6</v>
      </c>
      <c r="Z35" s="192"/>
      <c r="AA35" s="192">
        <v>2</v>
      </c>
      <c r="AB35" s="192">
        <v>2</v>
      </c>
      <c r="AC35" s="192">
        <v>2</v>
      </c>
      <c r="AD35" s="192">
        <v>3</v>
      </c>
    </row>
    <row r="36" spans="6:30" x14ac:dyDescent="0.15">
      <c r="F36" s="231" t="s">
        <v>261</v>
      </c>
      <c r="G36" t="s">
        <v>129</v>
      </c>
      <c r="H36" t="s">
        <v>265</v>
      </c>
      <c r="I36">
        <v>8</v>
      </c>
      <c r="M36" s="231">
        <v>10</v>
      </c>
      <c r="N36" t="s">
        <v>128</v>
      </c>
      <c r="O36">
        <v>15</v>
      </c>
      <c r="Y36" s="233">
        <v>5</v>
      </c>
      <c r="Z36" s="192"/>
      <c r="AA36" s="192"/>
      <c r="AB36" s="192"/>
      <c r="AC36" s="192"/>
      <c r="AD36" s="192">
        <v>1</v>
      </c>
    </row>
    <row r="37" spans="6:30" x14ac:dyDescent="0.15">
      <c r="F37" s="231">
        <v>1</v>
      </c>
      <c r="G37" t="s">
        <v>2</v>
      </c>
      <c r="H37" t="s">
        <v>266</v>
      </c>
      <c r="I37">
        <v>12</v>
      </c>
      <c r="M37" s="231" t="s">
        <v>277</v>
      </c>
      <c r="N37" t="s">
        <v>130</v>
      </c>
      <c r="O37">
        <v>21</v>
      </c>
      <c r="Y37" s="233">
        <v>4</v>
      </c>
      <c r="Z37" s="192"/>
      <c r="AA37" s="192"/>
      <c r="AB37" s="192"/>
      <c r="AC37" s="192"/>
      <c r="AD37" s="192"/>
    </row>
    <row r="38" spans="6:30" x14ac:dyDescent="0.15">
      <c r="F38" s="231">
        <v>2</v>
      </c>
      <c r="G38" t="s">
        <v>3</v>
      </c>
      <c r="H38" t="s">
        <v>266</v>
      </c>
      <c r="I38">
        <v>14</v>
      </c>
      <c r="M38" s="231">
        <v>12</v>
      </c>
      <c r="N38" t="s">
        <v>131</v>
      </c>
      <c r="O38">
        <v>19</v>
      </c>
      <c r="Y38" s="233">
        <v>3</v>
      </c>
      <c r="Z38" s="192"/>
      <c r="AA38" s="192"/>
      <c r="AB38" s="192"/>
      <c r="AC38" s="192"/>
      <c r="AD38" s="192"/>
    </row>
    <row r="39" spans="6:30" x14ac:dyDescent="0.15">
      <c r="F39" s="231">
        <v>3</v>
      </c>
      <c r="G39" t="s">
        <v>9</v>
      </c>
      <c r="H39" t="s">
        <v>266</v>
      </c>
      <c r="I39">
        <v>9</v>
      </c>
      <c r="M39" s="231">
        <v>13</v>
      </c>
      <c r="N39" t="s">
        <v>129</v>
      </c>
      <c r="O39">
        <v>13</v>
      </c>
      <c r="Y39" s="233">
        <v>2</v>
      </c>
      <c r="Z39" s="192"/>
      <c r="AA39" s="192"/>
      <c r="AB39" s="192"/>
      <c r="AC39" s="192"/>
      <c r="AD39" s="192"/>
    </row>
    <row r="40" spans="6:30" ht="13.5" customHeight="1" x14ac:dyDescent="0.15">
      <c r="F40" s="231">
        <v>4</v>
      </c>
      <c r="G40" t="s">
        <v>113</v>
      </c>
      <c r="H40" t="s">
        <v>266</v>
      </c>
      <c r="I40">
        <v>14</v>
      </c>
      <c r="M40" s="231">
        <v>14</v>
      </c>
      <c r="N40" s="203" t="s">
        <v>135</v>
      </c>
      <c r="O40">
        <v>11</v>
      </c>
      <c r="Y40" s="233">
        <v>1</v>
      </c>
      <c r="Z40" s="192"/>
      <c r="AA40" s="192"/>
      <c r="AB40" s="192"/>
      <c r="AC40" s="192"/>
      <c r="AD40" s="192"/>
    </row>
    <row r="41" spans="6:30" ht="13.5" customHeight="1" x14ac:dyDescent="0.15">
      <c r="F41" s="231">
        <v>5</v>
      </c>
      <c r="G41" t="s">
        <v>124</v>
      </c>
      <c r="H41" t="s">
        <v>266</v>
      </c>
      <c r="I41">
        <v>13</v>
      </c>
      <c r="M41" s="231">
        <v>15</v>
      </c>
      <c r="N41" s="203" t="s">
        <v>278</v>
      </c>
      <c r="O41">
        <v>10</v>
      </c>
      <c r="Y41" s="234"/>
      <c r="Z41" s="235" t="s">
        <v>65</v>
      </c>
      <c r="AA41" s="235" t="s">
        <v>63</v>
      </c>
      <c r="AB41" s="235" t="s">
        <v>64</v>
      </c>
      <c r="AC41" s="235" t="s">
        <v>100</v>
      </c>
      <c r="AD41" s="235" t="s">
        <v>114</v>
      </c>
    </row>
    <row r="42" spans="6:30" ht="13.5" customHeight="1" x14ac:dyDescent="0.15">
      <c r="F42" s="231">
        <v>6</v>
      </c>
      <c r="G42" t="s">
        <v>125</v>
      </c>
      <c r="H42" t="s">
        <v>266</v>
      </c>
      <c r="I42">
        <v>24</v>
      </c>
      <c r="M42" s="231">
        <v>16</v>
      </c>
      <c r="N42" s="203" t="s">
        <v>136</v>
      </c>
      <c r="O42">
        <v>19</v>
      </c>
      <c r="AB42" t="s">
        <v>264</v>
      </c>
    </row>
    <row r="43" spans="6:30" ht="13.5" customHeight="1" x14ac:dyDescent="0.15">
      <c r="F43" s="231">
        <v>7</v>
      </c>
      <c r="G43" t="s">
        <v>126</v>
      </c>
      <c r="H43" t="s">
        <v>266</v>
      </c>
      <c r="I43">
        <v>10</v>
      </c>
      <c r="M43" s="231">
        <v>17</v>
      </c>
      <c r="N43" s="203" t="s">
        <v>295</v>
      </c>
      <c r="O43">
        <v>13</v>
      </c>
    </row>
    <row r="44" spans="6:30" x14ac:dyDescent="0.15">
      <c r="F44" s="231">
        <v>8</v>
      </c>
      <c r="G44" t="s">
        <v>127</v>
      </c>
      <c r="H44" t="s">
        <v>266</v>
      </c>
      <c r="I44">
        <v>12</v>
      </c>
      <c r="M44" s="231">
        <v>18</v>
      </c>
      <c r="N44" t="s">
        <v>296</v>
      </c>
      <c r="O44">
        <v>12</v>
      </c>
    </row>
    <row r="45" spans="6:30" x14ac:dyDescent="0.15">
      <c r="F45" s="231">
        <v>9</v>
      </c>
      <c r="G45" t="s">
        <v>259</v>
      </c>
      <c r="H45" t="s">
        <v>266</v>
      </c>
      <c r="I45">
        <v>11</v>
      </c>
      <c r="M45" s="231">
        <v>19</v>
      </c>
      <c r="N45" s="6" t="s">
        <v>279</v>
      </c>
      <c r="O45">
        <v>8</v>
      </c>
    </row>
    <row r="46" spans="6:30" ht="15.75" customHeight="1" x14ac:dyDescent="0.15">
      <c r="F46" s="231">
        <v>10</v>
      </c>
      <c r="G46" t="s">
        <v>128</v>
      </c>
      <c r="H46" t="s">
        <v>266</v>
      </c>
      <c r="I46">
        <v>5</v>
      </c>
      <c r="M46" s="231">
        <v>20</v>
      </c>
      <c r="N46" s="203" t="s">
        <v>297</v>
      </c>
      <c r="O46">
        <v>14</v>
      </c>
    </row>
    <row r="47" spans="6:30" ht="15.75" customHeight="1" x14ac:dyDescent="0.15">
      <c r="F47" s="231">
        <v>12</v>
      </c>
      <c r="G47" t="s">
        <v>130</v>
      </c>
      <c r="H47" t="s">
        <v>266</v>
      </c>
      <c r="I47">
        <v>18</v>
      </c>
      <c r="M47" s="231">
        <v>21</v>
      </c>
      <c r="N47" s="203" t="s">
        <v>138</v>
      </c>
      <c r="O47">
        <v>13</v>
      </c>
    </row>
    <row r="48" spans="6:30" ht="15.75" customHeight="1" x14ac:dyDescent="0.15">
      <c r="F48" s="231">
        <v>13</v>
      </c>
      <c r="G48" t="s">
        <v>131</v>
      </c>
      <c r="H48" t="s">
        <v>266</v>
      </c>
      <c r="I48">
        <v>11</v>
      </c>
      <c r="M48" s="231">
        <v>22</v>
      </c>
      <c r="N48" s="203" t="s">
        <v>280</v>
      </c>
      <c r="O48">
        <v>4</v>
      </c>
    </row>
    <row r="49" spans="6:15" ht="15.75" customHeight="1" x14ac:dyDescent="0.15">
      <c r="F49" s="231" t="s">
        <v>261</v>
      </c>
      <c r="G49" t="s">
        <v>129</v>
      </c>
      <c r="H49" t="s">
        <v>266</v>
      </c>
      <c r="I49">
        <v>11</v>
      </c>
      <c r="M49" s="231">
        <v>23</v>
      </c>
      <c r="N49" s="203" t="s">
        <v>139</v>
      </c>
      <c r="O49">
        <v>11</v>
      </c>
    </row>
    <row r="50" spans="6:15" ht="15.75" customHeight="1" x14ac:dyDescent="0.15">
      <c r="F50" s="231" t="s">
        <v>262</v>
      </c>
      <c r="G50" t="s">
        <v>31</v>
      </c>
      <c r="H50" t="s">
        <v>266</v>
      </c>
      <c r="I50">
        <v>9</v>
      </c>
      <c r="M50" s="231">
        <v>24</v>
      </c>
      <c r="N50" s="203" t="s">
        <v>140</v>
      </c>
      <c r="O50">
        <v>15</v>
      </c>
    </row>
    <row r="51" spans="6:15" ht="15.75" customHeight="1" x14ac:dyDescent="0.15">
      <c r="F51" s="231">
        <v>1</v>
      </c>
      <c r="G51" t="s">
        <v>2</v>
      </c>
      <c r="H51" t="s">
        <v>267</v>
      </c>
      <c r="I51">
        <v>25</v>
      </c>
      <c r="M51" s="231">
        <v>25</v>
      </c>
      <c r="N51" s="203" t="s">
        <v>141</v>
      </c>
      <c r="O51">
        <v>6</v>
      </c>
    </row>
    <row r="52" spans="6:15" ht="15.75" customHeight="1" x14ac:dyDescent="0.15">
      <c r="F52" s="231">
        <v>2</v>
      </c>
      <c r="G52" t="s">
        <v>3</v>
      </c>
      <c r="H52" t="s">
        <v>267</v>
      </c>
      <c r="I52">
        <v>20</v>
      </c>
      <c r="M52" s="238" t="s">
        <v>209</v>
      </c>
      <c r="N52" s="188" t="s">
        <v>256</v>
      </c>
      <c r="O52">
        <v>5</v>
      </c>
    </row>
    <row r="53" spans="6:15" ht="15.75" customHeight="1" x14ac:dyDescent="0.15">
      <c r="F53" s="231">
        <v>3</v>
      </c>
      <c r="G53" t="s">
        <v>224</v>
      </c>
      <c r="H53" t="s">
        <v>267</v>
      </c>
      <c r="I53">
        <v>15</v>
      </c>
      <c r="M53" s="231">
        <v>26</v>
      </c>
      <c r="N53" s="203" t="s">
        <v>142</v>
      </c>
      <c r="O53">
        <v>6</v>
      </c>
    </row>
    <row r="54" spans="6:15" ht="15.75" customHeight="1" x14ac:dyDescent="0.15">
      <c r="F54" s="231">
        <v>4</v>
      </c>
      <c r="G54" t="s">
        <v>113</v>
      </c>
      <c r="H54" t="s">
        <v>267</v>
      </c>
      <c r="I54">
        <v>16</v>
      </c>
      <c r="M54" s="231">
        <v>28</v>
      </c>
      <c r="N54" s="203" t="s">
        <v>143</v>
      </c>
      <c r="O54">
        <v>13</v>
      </c>
    </row>
    <row r="55" spans="6:15" x14ac:dyDescent="0.15">
      <c r="F55" s="231">
        <v>5</v>
      </c>
      <c r="G55" t="s">
        <v>124</v>
      </c>
      <c r="H55" t="s">
        <v>267</v>
      </c>
      <c r="I55">
        <v>17</v>
      </c>
      <c r="M55" s="231">
        <v>29</v>
      </c>
      <c r="N55" s="236" t="s">
        <v>144</v>
      </c>
      <c r="O55" s="237">
        <v>10</v>
      </c>
    </row>
    <row r="56" spans="6:15" x14ac:dyDescent="0.15">
      <c r="F56" s="231">
        <v>6</v>
      </c>
      <c r="G56" t="s">
        <v>125</v>
      </c>
      <c r="H56" t="s">
        <v>267</v>
      </c>
      <c r="I56">
        <v>18</v>
      </c>
      <c r="M56" s="231">
        <v>30</v>
      </c>
      <c r="N56" s="236" t="s">
        <v>145</v>
      </c>
      <c r="O56" s="237">
        <v>10</v>
      </c>
    </row>
    <row r="57" spans="6:15" x14ac:dyDescent="0.15">
      <c r="F57" s="231">
        <v>7</v>
      </c>
      <c r="G57" t="s">
        <v>126</v>
      </c>
      <c r="H57" t="s">
        <v>267</v>
      </c>
      <c r="I57">
        <v>13</v>
      </c>
      <c r="M57" s="231">
        <v>31</v>
      </c>
      <c r="N57" s="236" t="s">
        <v>298</v>
      </c>
      <c r="O57" s="237">
        <v>14</v>
      </c>
    </row>
    <row r="58" spans="6:15" x14ac:dyDescent="0.15">
      <c r="F58" s="231">
        <v>8</v>
      </c>
      <c r="G58" t="s">
        <v>127</v>
      </c>
      <c r="H58" t="s">
        <v>267</v>
      </c>
      <c r="I58">
        <v>14</v>
      </c>
      <c r="M58" s="231">
        <v>32</v>
      </c>
      <c r="N58" s="236" t="s">
        <v>147</v>
      </c>
      <c r="O58" s="237">
        <v>10</v>
      </c>
    </row>
    <row r="59" spans="6:15" x14ac:dyDescent="0.15">
      <c r="F59" s="231">
        <v>9</v>
      </c>
      <c r="G59" t="s">
        <v>259</v>
      </c>
      <c r="H59" t="s">
        <v>267</v>
      </c>
      <c r="I59">
        <v>13</v>
      </c>
      <c r="M59" s="231">
        <v>33</v>
      </c>
      <c r="N59" s="236" t="s">
        <v>148</v>
      </c>
      <c r="O59" s="237">
        <v>10</v>
      </c>
    </row>
    <row r="60" spans="6:15" x14ac:dyDescent="0.15">
      <c r="F60" s="231">
        <v>10</v>
      </c>
      <c r="G60" t="s">
        <v>128</v>
      </c>
      <c r="H60" t="s">
        <v>267</v>
      </c>
      <c r="I60">
        <v>10</v>
      </c>
      <c r="M60" s="231">
        <v>34</v>
      </c>
      <c r="N60" s="236" t="s">
        <v>148</v>
      </c>
      <c r="O60" s="237">
        <v>6</v>
      </c>
    </row>
    <row r="61" spans="6:15" x14ac:dyDescent="0.15">
      <c r="F61" s="231">
        <v>12</v>
      </c>
      <c r="G61" t="s">
        <v>130</v>
      </c>
      <c r="H61" t="s">
        <v>267</v>
      </c>
      <c r="I61">
        <v>17</v>
      </c>
      <c r="M61" s="231">
        <v>35</v>
      </c>
      <c r="N61" s="236" t="s">
        <v>149</v>
      </c>
      <c r="O61" s="237">
        <v>3</v>
      </c>
    </row>
    <row r="62" spans="6:15" x14ac:dyDescent="0.15">
      <c r="F62" s="231">
        <v>13</v>
      </c>
      <c r="G62" t="s">
        <v>131</v>
      </c>
      <c r="H62" t="s">
        <v>267</v>
      </c>
      <c r="I62">
        <v>11</v>
      </c>
      <c r="M62" s="231">
        <v>36</v>
      </c>
      <c r="N62" s="236" t="s">
        <v>150</v>
      </c>
      <c r="O62" s="237">
        <v>4</v>
      </c>
    </row>
    <row r="63" spans="6:15" x14ac:dyDescent="0.15">
      <c r="F63" s="231" t="s">
        <v>261</v>
      </c>
      <c r="G63" t="s">
        <v>129</v>
      </c>
      <c r="H63" t="s">
        <v>267</v>
      </c>
      <c r="I63">
        <v>18</v>
      </c>
      <c r="M63" s="231">
        <v>37</v>
      </c>
      <c r="N63" s="236" t="s">
        <v>151</v>
      </c>
      <c r="O63" s="237">
        <v>8</v>
      </c>
    </row>
    <row r="64" spans="6:15" x14ac:dyDescent="0.15">
      <c r="F64" s="231" t="s">
        <v>262</v>
      </c>
      <c r="G64" t="s">
        <v>31</v>
      </c>
      <c r="H64" t="s">
        <v>267</v>
      </c>
      <c r="I64">
        <v>14</v>
      </c>
      <c r="M64" s="231">
        <v>39</v>
      </c>
      <c r="N64" s="236" t="s">
        <v>281</v>
      </c>
      <c r="O64" s="237">
        <v>5</v>
      </c>
    </row>
    <row r="65" spans="6:15" x14ac:dyDescent="0.15">
      <c r="F65" s="231">
        <v>1</v>
      </c>
      <c r="G65" t="s">
        <v>2</v>
      </c>
      <c r="H65" t="s">
        <v>268</v>
      </c>
      <c r="I65">
        <v>23</v>
      </c>
      <c r="M65" s="231">
        <v>40</v>
      </c>
      <c r="N65" s="236" t="s">
        <v>281</v>
      </c>
      <c r="O65" s="237">
        <v>7</v>
      </c>
    </row>
    <row r="66" spans="6:15" x14ac:dyDescent="0.15">
      <c r="F66" s="231">
        <v>2</v>
      </c>
      <c r="G66" t="s">
        <v>3</v>
      </c>
      <c r="H66" t="s">
        <v>268</v>
      </c>
      <c r="I66">
        <v>24</v>
      </c>
      <c r="M66" s="231">
        <v>41</v>
      </c>
      <c r="N66" s="236" t="s">
        <v>152</v>
      </c>
      <c r="O66" s="237">
        <v>3</v>
      </c>
    </row>
    <row r="67" spans="6:15" x14ac:dyDescent="0.15">
      <c r="F67" s="231">
        <v>3</v>
      </c>
      <c r="G67" t="s">
        <v>9</v>
      </c>
      <c r="H67" t="s">
        <v>268</v>
      </c>
      <c r="I67">
        <v>19</v>
      </c>
      <c r="M67" s="231">
        <v>42</v>
      </c>
      <c r="N67" s="236" t="s">
        <v>153</v>
      </c>
      <c r="O67" s="237">
        <v>1</v>
      </c>
    </row>
    <row r="68" spans="6:15" x14ac:dyDescent="0.15">
      <c r="F68" s="231">
        <v>4</v>
      </c>
      <c r="G68" t="s">
        <v>113</v>
      </c>
      <c r="H68" t="s">
        <v>268</v>
      </c>
      <c r="I68">
        <v>20</v>
      </c>
      <c r="M68" s="231">
        <v>43</v>
      </c>
      <c r="N68" s="236" t="s">
        <v>154</v>
      </c>
      <c r="O68" s="237">
        <v>6</v>
      </c>
    </row>
    <row r="69" spans="6:15" x14ac:dyDescent="0.15">
      <c r="F69" s="231">
        <v>5</v>
      </c>
      <c r="G69" t="s">
        <v>124</v>
      </c>
      <c r="H69" t="s">
        <v>268</v>
      </c>
      <c r="I69">
        <v>16</v>
      </c>
      <c r="M69" s="231">
        <v>44</v>
      </c>
      <c r="N69" s="236" t="s">
        <v>300</v>
      </c>
      <c r="O69" s="237">
        <v>6</v>
      </c>
    </row>
    <row r="70" spans="6:15" x14ac:dyDescent="0.15">
      <c r="F70" s="231">
        <v>6</v>
      </c>
      <c r="G70" t="s">
        <v>125</v>
      </c>
      <c r="H70" t="s">
        <v>268</v>
      </c>
      <c r="I70">
        <v>26</v>
      </c>
      <c r="M70" s="231">
        <v>45</v>
      </c>
      <c r="N70" s="236" t="s">
        <v>282</v>
      </c>
      <c r="O70" s="237">
        <v>11</v>
      </c>
    </row>
    <row r="71" spans="6:15" x14ac:dyDescent="0.15">
      <c r="F71" s="231">
        <v>7</v>
      </c>
      <c r="G71" t="s">
        <v>126</v>
      </c>
      <c r="H71" t="s">
        <v>268</v>
      </c>
      <c r="I71">
        <v>16</v>
      </c>
      <c r="M71" s="231">
        <v>46</v>
      </c>
      <c r="N71" s="236" t="s">
        <v>283</v>
      </c>
      <c r="O71" s="237">
        <v>5</v>
      </c>
    </row>
    <row r="72" spans="6:15" x14ac:dyDescent="0.15">
      <c r="F72" s="231">
        <v>8</v>
      </c>
      <c r="G72" t="s">
        <v>127</v>
      </c>
      <c r="H72" t="s">
        <v>268</v>
      </c>
      <c r="I72">
        <v>19</v>
      </c>
    </row>
    <row r="73" spans="6:15" x14ac:dyDescent="0.15">
      <c r="F73" s="231">
        <v>9</v>
      </c>
      <c r="G73" t="s">
        <v>259</v>
      </c>
      <c r="H73" t="s">
        <v>268</v>
      </c>
      <c r="I73">
        <v>17</v>
      </c>
    </row>
    <row r="74" spans="6:15" x14ac:dyDescent="0.15">
      <c r="F74" s="231">
        <v>10</v>
      </c>
      <c r="G74" t="s">
        <v>128</v>
      </c>
      <c r="H74" t="s">
        <v>268</v>
      </c>
      <c r="I74">
        <v>8</v>
      </c>
    </row>
    <row r="75" spans="6:15" x14ac:dyDescent="0.15">
      <c r="F75" s="231">
        <v>12</v>
      </c>
      <c r="G75" t="s">
        <v>130</v>
      </c>
      <c r="H75" t="s">
        <v>268</v>
      </c>
      <c r="I75">
        <v>16</v>
      </c>
    </row>
    <row r="76" spans="6:15" x14ac:dyDescent="0.15">
      <c r="F76" s="231">
        <v>13</v>
      </c>
      <c r="G76" t="s">
        <v>131</v>
      </c>
      <c r="H76" t="s">
        <v>268</v>
      </c>
      <c r="I76">
        <v>13</v>
      </c>
    </row>
    <row r="77" spans="6:15" x14ac:dyDescent="0.15">
      <c r="F77" s="231" t="s">
        <v>261</v>
      </c>
      <c r="G77" t="s">
        <v>129</v>
      </c>
      <c r="H77" t="s">
        <v>268</v>
      </c>
      <c r="I77">
        <v>23</v>
      </c>
    </row>
    <row r="78" spans="6:15" x14ac:dyDescent="0.15">
      <c r="F78" s="231">
        <v>1</v>
      </c>
      <c r="G78" t="s">
        <v>2</v>
      </c>
      <c r="H78" t="s">
        <v>269</v>
      </c>
      <c r="I78">
        <v>26</v>
      </c>
    </row>
    <row r="79" spans="6:15" x14ac:dyDescent="0.15">
      <c r="F79" s="231">
        <v>2</v>
      </c>
      <c r="G79" t="s">
        <v>3</v>
      </c>
      <c r="H79" t="s">
        <v>269</v>
      </c>
      <c r="I79">
        <v>25</v>
      </c>
    </row>
    <row r="80" spans="6:15" x14ac:dyDescent="0.15">
      <c r="F80" s="231">
        <v>3</v>
      </c>
      <c r="G80" t="s">
        <v>9</v>
      </c>
      <c r="H80" t="s">
        <v>269</v>
      </c>
      <c r="I80">
        <v>20</v>
      </c>
    </row>
    <row r="81" spans="6:9" x14ac:dyDescent="0.15">
      <c r="F81" s="231">
        <v>4</v>
      </c>
      <c r="G81" t="s">
        <v>113</v>
      </c>
      <c r="H81" t="s">
        <v>269</v>
      </c>
      <c r="I81">
        <v>21</v>
      </c>
    </row>
    <row r="82" spans="6:9" x14ac:dyDescent="0.15">
      <c r="F82" s="231">
        <v>5</v>
      </c>
      <c r="G82" t="s">
        <v>124</v>
      </c>
      <c r="H82" t="s">
        <v>269</v>
      </c>
      <c r="I82">
        <v>23</v>
      </c>
    </row>
    <row r="83" spans="6:9" x14ac:dyDescent="0.15">
      <c r="F83" s="231">
        <v>6</v>
      </c>
      <c r="G83" t="s">
        <v>125</v>
      </c>
      <c r="H83" t="s">
        <v>269</v>
      </c>
      <c r="I83">
        <v>28</v>
      </c>
    </row>
    <row r="84" spans="6:9" x14ac:dyDescent="0.15">
      <c r="F84" s="231">
        <v>7</v>
      </c>
      <c r="G84" t="s">
        <v>126</v>
      </c>
      <c r="H84" t="s">
        <v>269</v>
      </c>
      <c r="I84">
        <v>18</v>
      </c>
    </row>
    <row r="85" spans="6:9" x14ac:dyDescent="0.15">
      <c r="F85" s="231">
        <v>8</v>
      </c>
      <c r="G85" t="s">
        <v>127</v>
      </c>
      <c r="H85" t="s">
        <v>269</v>
      </c>
      <c r="I85">
        <v>21</v>
      </c>
    </row>
    <row r="86" spans="6:9" x14ac:dyDescent="0.15">
      <c r="F86" s="231">
        <v>9</v>
      </c>
      <c r="G86" t="s">
        <v>259</v>
      </c>
      <c r="H86" t="s">
        <v>269</v>
      </c>
      <c r="I86">
        <v>18</v>
      </c>
    </row>
    <row r="87" spans="6:9" x14ac:dyDescent="0.15">
      <c r="F87" s="231">
        <v>10</v>
      </c>
      <c r="G87" t="s">
        <v>128</v>
      </c>
      <c r="H87" t="s">
        <v>269</v>
      </c>
      <c r="I87">
        <v>16</v>
      </c>
    </row>
    <row r="88" spans="6:9" x14ac:dyDescent="0.15">
      <c r="F88" s="231">
        <v>12</v>
      </c>
      <c r="G88" t="s">
        <v>130</v>
      </c>
      <c r="H88" t="s">
        <v>269</v>
      </c>
      <c r="I88">
        <v>18</v>
      </c>
    </row>
    <row r="89" spans="6:9" x14ac:dyDescent="0.15">
      <c r="F89" s="231">
        <v>13</v>
      </c>
      <c r="G89" t="s">
        <v>131</v>
      </c>
      <c r="H89" t="s">
        <v>269</v>
      </c>
      <c r="I89">
        <v>13</v>
      </c>
    </row>
    <row r="90" spans="6:9" x14ac:dyDescent="0.15">
      <c r="F90" s="231" t="s">
        <v>261</v>
      </c>
      <c r="G90" t="s">
        <v>129</v>
      </c>
      <c r="H90" t="s">
        <v>269</v>
      </c>
      <c r="I90">
        <v>24</v>
      </c>
    </row>
    <row r="91" spans="6:9" x14ac:dyDescent="0.15">
      <c r="F91" s="231">
        <v>1</v>
      </c>
      <c r="G91" t="s">
        <v>188</v>
      </c>
      <c r="H91" t="s">
        <v>187</v>
      </c>
      <c r="I91">
        <v>26</v>
      </c>
    </row>
    <row r="92" spans="6:9" x14ac:dyDescent="0.15">
      <c r="F92" s="231">
        <v>2</v>
      </c>
      <c r="G92" t="s">
        <v>223</v>
      </c>
      <c r="H92" t="s">
        <v>187</v>
      </c>
      <c r="I92">
        <v>23</v>
      </c>
    </row>
    <row r="93" spans="6:9" x14ac:dyDescent="0.15">
      <c r="F93" s="231">
        <v>3</v>
      </c>
      <c r="G93" t="s">
        <v>224</v>
      </c>
      <c r="H93" t="s">
        <v>187</v>
      </c>
      <c r="I93">
        <v>15</v>
      </c>
    </row>
    <row r="94" spans="6:9" x14ac:dyDescent="0.15">
      <c r="F94" s="231">
        <v>4</v>
      </c>
      <c r="G94" t="s">
        <v>225</v>
      </c>
      <c r="H94" t="s">
        <v>187</v>
      </c>
      <c r="I94">
        <v>18</v>
      </c>
    </row>
    <row r="95" spans="6:9" x14ac:dyDescent="0.15">
      <c r="F95" s="231">
        <v>5</v>
      </c>
      <c r="G95" t="s">
        <v>226</v>
      </c>
      <c r="H95" t="s">
        <v>187</v>
      </c>
      <c r="I95">
        <v>19</v>
      </c>
    </row>
    <row r="96" spans="6:9" x14ac:dyDescent="0.15">
      <c r="F96" s="231">
        <v>6</v>
      </c>
      <c r="G96" t="s">
        <v>125</v>
      </c>
      <c r="H96" t="s">
        <v>187</v>
      </c>
      <c r="I96">
        <v>32</v>
      </c>
    </row>
    <row r="97" spans="6:9" x14ac:dyDescent="0.15">
      <c r="F97" s="231">
        <v>7</v>
      </c>
      <c r="G97" t="s">
        <v>126</v>
      </c>
      <c r="H97" t="s">
        <v>187</v>
      </c>
      <c r="I97">
        <v>22</v>
      </c>
    </row>
    <row r="98" spans="6:9" x14ac:dyDescent="0.15">
      <c r="F98" s="231">
        <v>8</v>
      </c>
      <c r="G98" t="s">
        <v>127</v>
      </c>
      <c r="H98" t="s">
        <v>187</v>
      </c>
      <c r="I98">
        <v>21</v>
      </c>
    </row>
    <row r="99" spans="6:9" x14ac:dyDescent="0.15">
      <c r="F99" s="231">
        <v>9</v>
      </c>
      <c r="G99" t="s">
        <v>259</v>
      </c>
      <c r="H99" t="s">
        <v>187</v>
      </c>
      <c r="I99">
        <v>17</v>
      </c>
    </row>
    <row r="100" spans="6:9" x14ac:dyDescent="0.15">
      <c r="F100" s="231">
        <v>10</v>
      </c>
      <c r="G100" t="s">
        <v>128</v>
      </c>
      <c r="H100" t="s">
        <v>187</v>
      </c>
      <c r="I100">
        <v>18</v>
      </c>
    </row>
    <row r="101" spans="6:9" x14ac:dyDescent="0.15">
      <c r="F101" s="231">
        <v>12</v>
      </c>
      <c r="G101" t="s">
        <v>130</v>
      </c>
      <c r="H101" t="s">
        <v>187</v>
      </c>
      <c r="I101">
        <v>22</v>
      </c>
    </row>
    <row r="102" spans="6:9" x14ac:dyDescent="0.15">
      <c r="F102" s="231">
        <v>13</v>
      </c>
      <c r="G102" t="s">
        <v>131</v>
      </c>
      <c r="H102" t="s">
        <v>187</v>
      </c>
      <c r="I102">
        <v>17</v>
      </c>
    </row>
    <row r="103" spans="6:9" x14ac:dyDescent="0.15">
      <c r="F103" s="231" t="s">
        <v>277</v>
      </c>
      <c r="G103" t="s">
        <v>129</v>
      </c>
      <c r="H103" t="s">
        <v>187</v>
      </c>
      <c r="I103">
        <v>15</v>
      </c>
    </row>
    <row r="104" spans="6:9" x14ac:dyDescent="0.15">
      <c r="F104" s="231">
        <v>1</v>
      </c>
      <c r="G104" t="s">
        <v>188</v>
      </c>
      <c r="H104" t="s">
        <v>220</v>
      </c>
      <c r="I104">
        <v>24</v>
      </c>
    </row>
    <row r="105" spans="6:9" x14ac:dyDescent="0.15">
      <c r="F105" s="231">
        <v>2</v>
      </c>
      <c r="G105" t="s">
        <v>223</v>
      </c>
      <c r="H105" t="s">
        <v>220</v>
      </c>
      <c r="I105">
        <v>22</v>
      </c>
    </row>
    <row r="106" spans="6:9" x14ac:dyDescent="0.15">
      <c r="F106" s="231">
        <v>3</v>
      </c>
      <c r="G106" t="s">
        <v>224</v>
      </c>
      <c r="H106" t="s">
        <v>220</v>
      </c>
      <c r="I106">
        <v>18</v>
      </c>
    </row>
    <row r="107" spans="6:9" x14ac:dyDescent="0.15">
      <c r="F107" s="231">
        <v>4</v>
      </c>
      <c r="G107" t="s">
        <v>225</v>
      </c>
      <c r="H107" t="s">
        <v>220</v>
      </c>
      <c r="I107">
        <v>25</v>
      </c>
    </row>
    <row r="108" spans="6:9" x14ac:dyDescent="0.15">
      <c r="F108" s="231">
        <v>5</v>
      </c>
      <c r="G108" t="s">
        <v>226</v>
      </c>
      <c r="H108" t="s">
        <v>220</v>
      </c>
      <c r="I108">
        <v>21</v>
      </c>
    </row>
    <row r="109" spans="6:9" x14ac:dyDescent="0.15">
      <c r="F109" s="231">
        <v>6</v>
      </c>
      <c r="G109" t="s">
        <v>125</v>
      </c>
      <c r="H109" t="s">
        <v>220</v>
      </c>
      <c r="I109">
        <v>27</v>
      </c>
    </row>
    <row r="110" spans="6:9" x14ac:dyDescent="0.15">
      <c r="F110" s="231">
        <v>7</v>
      </c>
      <c r="G110" t="s">
        <v>126</v>
      </c>
      <c r="H110" t="s">
        <v>220</v>
      </c>
      <c r="I110">
        <v>23</v>
      </c>
    </row>
    <row r="111" spans="6:9" x14ac:dyDescent="0.15">
      <c r="F111" s="231">
        <v>8</v>
      </c>
      <c r="G111" t="s">
        <v>127</v>
      </c>
      <c r="H111" t="s">
        <v>220</v>
      </c>
      <c r="I111">
        <v>22</v>
      </c>
    </row>
    <row r="112" spans="6:9" x14ac:dyDescent="0.15">
      <c r="F112" s="231">
        <v>9</v>
      </c>
      <c r="G112" t="s">
        <v>259</v>
      </c>
      <c r="H112" t="s">
        <v>220</v>
      </c>
      <c r="I112">
        <v>19</v>
      </c>
    </row>
    <row r="113" spans="6:9" x14ac:dyDescent="0.15">
      <c r="F113" s="231">
        <v>10</v>
      </c>
      <c r="G113" t="s">
        <v>128</v>
      </c>
      <c r="H113" t="s">
        <v>220</v>
      </c>
      <c r="I113">
        <v>15</v>
      </c>
    </row>
    <row r="114" spans="6:9" x14ac:dyDescent="0.15">
      <c r="F114" s="231">
        <v>12</v>
      </c>
      <c r="G114" t="s">
        <v>130</v>
      </c>
      <c r="H114" t="s">
        <v>220</v>
      </c>
      <c r="I114">
        <v>21</v>
      </c>
    </row>
    <row r="115" spans="6:9" x14ac:dyDescent="0.15">
      <c r="F115" s="231">
        <v>13</v>
      </c>
      <c r="G115" t="s">
        <v>131</v>
      </c>
      <c r="H115" t="s">
        <v>220</v>
      </c>
      <c r="I115">
        <v>19</v>
      </c>
    </row>
    <row r="116" spans="6:9" x14ac:dyDescent="0.15">
      <c r="F116" s="231" t="s">
        <v>277</v>
      </c>
      <c r="G116" t="s">
        <v>129</v>
      </c>
      <c r="H116" t="s">
        <v>220</v>
      </c>
      <c r="I116">
        <v>13</v>
      </c>
    </row>
  </sheetData>
  <mergeCells count="38">
    <mergeCell ref="BZ4:CF4"/>
    <mergeCell ref="CG4:CM4"/>
    <mergeCell ref="CN4:CT4"/>
    <mergeCell ref="CU4:DA4"/>
    <mergeCell ref="AV4:AZ4"/>
    <mergeCell ref="BA4:BE4"/>
    <mergeCell ref="BF4:BG4"/>
    <mergeCell ref="BH4:BL4"/>
    <mergeCell ref="BM4:BQ4"/>
    <mergeCell ref="BS4:BY4"/>
    <mergeCell ref="CU3:DA3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BH3:BL3"/>
    <mergeCell ref="BM3:BQ3"/>
    <mergeCell ref="BS3:BY3"/>
    <mergeCell ref="BZ3:CF3"/>
    <mergeCell ref="CG3:CM3"/>
    <mergeCell ref="CN3:CT3"/>
    <mergeCell ref="BF3:BG3"/>
    <mergeCell ref="C3:G3"/>
    <mergeCell ref="H3:L3"/>
    <mergeCell ref="M3:Q3"/>
    <mergeCell ref="R3:V3"/>
    <mergeCell ref="W3:AA3"/>
    <mergeCell ref="AB3:AF3"/>
    <mergeCell ref="AG3:AK3"/>
    <mergeCell ref="AL3:AP3"/>
    <mergeCell ref="AQ3:AU3"/>
    <mergeCell ref="AV3:AZ3"/>
    <mergeCell ref="BA3:BE3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4</vt:i4>
      </vt:variant>
    </vt:vector>
  </HeadingPairs>
  <TitlesOfParts>
    <vt:vector size="21" baseType="lpstr">
      <vt:lpstr>R!集計</vt:lpstr>
      <vt:lpstr>R6のみ</vt:lpstr>
      <vt:lpstr>R7のみ</vt:lpstr>
      <vt:lpstr>表全体</vt:lpstr>
      <vt:lpstr>7-4-1</vt:lpstr>
      <vt:lpstr>地区別全体</vt:lpstr>
      <vt:lpstr>7-4-2</vt:lpstr>
      <vt:lpstr>7-4-3</vt:lpstr>
      <vt:lpstr>7-4-4</vt:lpstr>
      <vt:lpstr>7-4-5</vt:lpstr>
      <vt:lpstr>7-4-6</vt:lpstr>
      <vt:lpstr>7-4-7</vt:lpstr>
      <vt:lpstr>7-4-8</vt:lpstr>
      <vt:lpstr>7-4-9</vt:lpstr>
      <vt:lpstr>7-4-10</vt:lpstr>
      <vt:lpstr>7-4-11</vt:lpstr>
      <vt:lpstr>●グラフ作り</vt:lpstr>
      <vt:lpstr>'R!集計'!Print_Area</vt:lpstr>
      <vt:lpstr>'R6のみ'!Print_Area</vt:lpstr>
      <vt:lpstr>'R7のみ'!Print_Area</vt:lpstr>
      <vt:lpstr>表全体!Print_Area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PC159</dc:creator>
  <cp:lastModifiedBy>PC-67</cp:lastModifiedBy>
  <cp:lastPrinted>2025-12-10T06:49:26Z</cp:lastPrinted>
  <dcterms:created xsi:type="dcterms:W3CDTF">2010-09-27T03:54:06Z</dcterms:created>
  <dcterms:modified xsi:type="dcterms:W3CDTF">2025-12-11T01:14:43Z</dcterms:modified>
</cp:coreProperties>
</file>